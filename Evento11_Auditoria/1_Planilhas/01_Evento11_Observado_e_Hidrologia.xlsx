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teiro" sheetId="1" r:id="rId1"/>
    <sheet name="Evento" sheetId="2" r:id="rId2"/>
    <sheet name="Pesos_postos" sheetId="3" r:id="rId3"/>
    <sheet name="Serie_horaria" sheetId="4" r:id="rId4"/>
    <sheet name="HU" sheetId="5" r:id="rId5"/>
    <sheet name="Convolucao" sheetId="6" r:id="rId6"/>
    <sheet name="Checagem" sheetId="7" r:id="rId7"/>
  </sheets>
  <definedNames>
    <definedName name="HU_ord">HU!$B$17:$B$36</definedName>
    <definedName name="Qp_calc">Convolucao!$F$100</definedName>
    <definedName name="w1_DBT5">Pesos_postos!$B$24</definedName>
  </definedNames>
  <calcPr calcId="124519" fullCalcOnLoad="1"/>
</workbook>
</file>

<file path=xl/sharedStrings.xml><?xml version="1.0" encoding="utf-8"?>
<sst xmlns="http://schemas.openxmlformats.org/spreadsheetml/2006/main" count="227" uniqueCount="224">
  <si>
    <t>EVENTO 11 (04-08/jul/2019) - Planilha 01: dados observados e hidrologia</t>
  </si>
  <si>
    <t>Cores: celula AMARELA = dado de entrada (digitado/copiado das planilhas do projeto); celula VERDE = resultado-chave; demais = formulas do Excel (clique na celula para ver a conta).</t>
  </si>
  <si>
    <t>Abas, na ordem do raciocinio:</t>
  </si>
  <si>
    <t>Evento      - a linha do evento 11 em eventos_processados_manuais.xlsx (todas as colunas) e o que cada uma faz no modelo.</t>
  </si>
  <si>
    <t>Serie_horaria - 92 leituras horarias (chuva nos 2 postos, vazao, CSS). Reproduz T_R_m3, SYY_t, SSY_Ris, SSY_Fall e Q_pico da planilha de eventos. Tambem calcula a chuva de bacia, o escoamento SCS-CN concentrado e a separacao de vazao de base.</t>
  </si>
  <si>
    <t>Pesos_postos - peso w1 do posto DBT5 (minimos quadrados nos 17 eventos), usado na chuva de bacia.</t>
  </si>
  <si>
    <t>HU          - Tc (Giandotti), Tp, Tb e ordenadas do hidrograma unitario triangular do SCS.</t>
  </si>
  <si>
    <t>Convolucao  - matriz de convolucao (chuva efetiva x HU) -&gt; hidrograma calculado e Qp. Serve SO para validar o Qp: o Qp NAO alimenta o mapa de sedimentos.</t>
  </si>
  <si>
    <t>Checagem    - tabela final: valor da planilha do projeto x valor recalculado aqui.</t>
  </si>
  <si>
    <t>A parte espacial (pixel a pixel) esta na planilha 02.</t>
  </si>
  <si>
    <t>Linha do evento 11 em eventos_processados_manuais.xlsx (aba Sheet1, linha de indice 11)</t>
  </si>
  <si>
    <t>Coluna</t>
  </si>
  <si>
    <t>Valor</t>
  </si>
  <si>
    <t>Uso no modelo</t>
  </si>
  <si>
    <t>Inicio</t>
  </si>
  <si>
    <t>janela do evento (inicio) - recorta a serie horaria</t>
  </si>
  <si>
    <t>Fim</t>
  </si>
  <si>
    <t>janela do evento (fim) - recorta a serie horaria</t>
  </si>
  <si>
    <t>Qb_inicio</t>
  </si>
  <si>
    <t>vazao de base no inicio do evento (m3/s)</t>
  </si>
  <si>
    <t>Q_pico</t>
  </si>
  <si>
    <t>Qp MEDIDO (validacao da convolucao HU)</t>
  </si>
  <si>
    <t>Q_min</t>
  </si>
  <si>
    <t>Q_mean</t>
  </si>
  <si>
    <t>Q_range</t>
  </si>
  <si>
    <t>T_Qmax_h</t>
  </si>
  <si>
    <t>T_Qmin_h</t>
  </si>
  <si>
    <t>Iflow</t>
  </si>
  <si>
    <t>Ris_R_m3</t>
  </si>
  <si>
    <t>parcela do volume ate o pico (ramo ascendente)</t>
  </si>
  <si>
    <t>Fall_R_m3</t>
  </si>
  <si>
    <t>parcela do volume apos o pico (ramo descendente)</t>
  </si>
  <si>
    <t>T_R_m3</t>
  </si>
  <si>
    <t>volume MEDIDO total (= soma das 92 vazoes horarias x 3600) - usado no fator f do volume restrito</t>
  </si>
  <si>
    <t>CSS_pico</t>
  </si>
  <si>
    <t>chuva_p1_mm</t>
  </si>
  <si>
    <t>chuva total no posto DBT5 -&gt; IDW</t>
  </si>
  <si>
    <t>chuva_p2_mm</t>
  </si>
  <si>
    <t>chuva total no posto Campo Limpo Paulista -&gt; IDW</t>
  </si>
  <si>
    <t>Chuva_evento_mm</t>
  </si>
  <si>
    <t>R: lamina do evento (media ponderada dos 2 postos) -&gt; denominador de RI/R no calculo de pr</t>
  </si>
  <si>
    <t>Duracao_horas</t>
  </si>
  <si>
    <t>duracao da janela (h)</t>
  </si>
  <si>
    <t>Tempo_precipitacao_p1_h</t>
  </si>
  <si>
    <t>Tempo_precipitacao_p2_h</t>
  </si>
  <si>
    <t>i60_p1_mm/h</t>
  </si>
  <si>
    <t>intensidade 60 min no posto DBT5</t>
  </si>
  <si>
    <t>i60_p2_mm/h</t>
  </si>
  <si>
    <t>intensidade 60 min no posto Campo Limpo Paulista (RI usa o MAIOR dos dois)</t>
  </si>
  <si>
    <t>Intensidade_60min_mm/h</t>
  </si>
  <si>
    <t>RI: intensidade maxima em 60 min -&gt; numerador de RI/R no calculo de pr</t>
  </si>
  <si>
    <t>i120_p1_mm/h</t>
  </si>
  <si>
    <t>i120_p2_mm/h</t>
  </si>
  <si>
    <t>Intensidade_120min_mm</t>
  </si>
  <si>
    <t>IERI_p1</t>
  </si>
  <si>
    <t>IERI_p2</t>
  </si>
  <si>
    <t>Ap1_est1_mm</t>
  </si>
  <si>
    <t>Ap1_est2_mm</t>
  </si>
  <si>
    <t>Ap1_pond_mm</t>
  </si>
  <si>
    <t>Ap3_est1_mm</t>
  </si>
  <si>
    <t>Ap3_est2_mm</t>
  </si>
  <si>
    <t>Ap3_pond_mm</t>
  </si>
  <si>
    <t>Ap5_est1_mm</t>
  </si>
  <si>
    <t>Ap5_est2_mm</t>
  </si>
  <si>
    <t>Ap5_pond_mm</t>
  </si>
  <si>
    <t>Ap7_est1_mm</t>
  </si>
  <si>
    <t>Ap7_est2_mm</t>
  </si>
  <si>
    <t>Ap7_pond_mm</t>
  </si>
  <si>
    <t>Ap10_est1_mm</t>
  </si>
  <si>
    <t>Ap10_est2_mm</t>
  </si>
  <si>
    <t>Ap10_pond_mm</t>
  </si>
  <si>
    <t>Ap14_est1_mm</t>
  </si>
  <si>
    <t>Ap14_est2_mm</t>
  </si>
  <si>
    <t>Ap14_pond_mm</t>
  </si>
  <si>
    <t>Data_Q_pico</t>
  </si>
  <si>
    <t>TLe_h</t>
  </si>
  <si>
    <t>IEI</t>
  </si>
  <si>
    <t>CSSmax_1</t>
  </si>
  <si>
    <t>CSSmin_1</t>
  </si>
  <si>
    <t>CSSrange_1</t>
  </si>
  <si>
    <t>Qmax_1</t>
  </si>
  <si>
    <t>Qmin_1</t>
  </si>
  <si>
    <t>Qrange_1</t>
  </si>
  <si>
    <t>IQmax_E</t>
  </si>
  <si>
    <t>IQ_E</t>
  </si>
  <si>
    <t>CSS_mean</t>
  </si>
  <si>
    <t>CSS_max</t>
  </si>
  <si>
    <t>CSS_min</t>
  </si>
  <si>
    <t>CSS_range</t>
  </si>
  <si>
    <t>SYY_t</t>
  </si>
  <si>
    <t>SY OBSERVADO (t) - alvo da calibracao de c</t>
  </si>
  <si>
    <t>SYYmax_t</t>
  </si>
  <si>
    <t>SSY_Ris_t</t>
  </si>
  <si>
    <t>SY observado no ramo ascendente (t)</t>
  </si>
  <si>
    <t>SSY_Fall_t</t>
  </si>
  <si>
    <t>SY observado no ramo descendente (t)</t>
  </si>
  <si>
    <t>T_CSSmax_h</t>
  </si>
  <si>
    <t>CSS_fq</t>
  </si>
  <si>
    <t>HI</t>
  </si>
  <si>
    <t>HI_n_pontos</t>
  </si>
  <si>
    <t>Tipo_Histerese</t>
  </si>
  <si>
    <t>Clockwise</t>
  </si>
  <si>
    <t>Peso w1 do posto DBT5 na chuva de bacia (minimos quadrados nos 17 eventos)</t>
  </si>
  <si>
    <t>Modelo: R_evento = w1*p1 + (1-w1)*p2  =&gt;  (R-p2) = w1*(p1-p2).  Solucao por minimos quadrados pela origem: w1 = SUM[(p1-p2)(R-p2)] / SUM[(p1-p2)^2].</t>
  </si>
  <si>
    <t>Evento</t>
  </si>
  <si>
    <t>p1 DBT5 (mm)</t>
  </si>
  <si>
    <t>p2 CLP (mm)</t>
  </si>
  <si>
    <t>R_evento (mm)</t>
  </si>
  <si>
    <t>p1-p2</t>
  </si>
  <si>
    <t>R-p2</t>
  </si>
  <si>
    <t>R estimado (mm)</t>
  </si>
  <si>
    <t>Calculo de w1</t>
  </si>
  <si>
    <t>w1 (DBT5)</t>
  </si>
  <si>
    <t>1 - w1 (CLP)</t>
  </si>
  <si>
    <t>Obs.: para o evento 11, w1*62,8 + (1-w1)*79,0 reproduz Chuva_evento_mm = 74,0396 (ver aba Checagem).</t>
  </si>
  <si>
    <t>Data/hora</t>
  </si>
  <si>
    <t>P DBT5 (mm/h)</t>
  </si>
  <si>
    <t>P Campo Limpo (mm/h)</t>
  </si>
  <si>
    <t>Q medida (m3/s)</t>
  </si>
  <si>
    <t>CSS (mg/L)</t>
  </si>
  <si>
    <t>Q base Bt (m3/s)</t>
  </si>
  <si>
    <t>Volume na hora (m3) = Q*3600</t>
  </si>
  <si>
    <t>Carga na hora (t) = Q*CSS*3600/1e6</t>
  </si>
  <si>
    <t>Ramo (asc ate o pico, desc depois)</t>
  </si>
  <si>
    <t>P bacia (mm) = w1*P1+(1-w1)*P2</t>
  </si>
  <si>
    <t>P acumulada (mm)</t>
  </si>
  <si>
    <t>Q SCS acumulado (mm)</t>
  </si>
  <si>
    <t>Q SCS incremental (mm)</t>
  </si>
  <si>
    <t>Q SCS incremental (cm)</t>
  </si>
  <si>
    <t>Escoamento direto medido (m3) = (Q-Bt)*3600</t>
  </si>
  <si>
    <t>Parametros e resultados</t>
  </si>
  <si>
    <t>Comentario</t>
  </si>
  <si>
    <t>w1 (peso DBT5)</t>
  </si>
  <si>
    <t>aba Pesos_postos</t>
  </si>
  <si>
    <t>lambda (Ia = lambda*S)</t>
  </si>
  <si>
    <t>adotado: 0,05 (calibrado; ver notas)</t>
  </si>
  <si>
    <t>S medio da bacia, CN-I (mm)</t>
  </si>
  <si>
    <t>media do raster S - Seco recortado pela mascara (script spatialPeakFlowHU_convolucao.py)</t>
  </si>
  <si>
    <t>Q medida maxima (m3/s)</t>
  </si>
  <si>
    <t>igual ao Q_pico da planilha de eventos</t>
  </si>
  <si>
    <t>Data/hora do pico</t>
  </si>
  <si>
    <t/>
  </si>
  <si>
    <t>Numero de leituras horarias</t>
  </si>
  <si>
    <t>91 intervalos de 1 h, 92 pontos</t>
  </si>
  <si>
    <t>Soma da chuva DBT5 (mm)</t>
  </si>
  <si>
    <t>planilha: chuva_p1_mm = 62,800003</t>
  </si>
  <si>
    <t>Soma da chuva Campo Limpo (mm)</t>
  </si>
  <si>
    <t>planilha: chuva_p2_mm = 79,000002</t>
  </si>
  <si>
    <t>Chuva de bacia, soma (mm) = R</t>
  </si>
  <si>
    <t>planilha: Chuva_evento_mm = 74,039628</t>
  </si>
  <si>
    <t>Volume total medido T_R (m3) = soma(Q)*3600</t>
  </si>
  <si>
    <t>planilha: T_R_m3 = 2.436.681,6  (INCLUI vazao de base!)</t>
  </si>
  <si>
    <t>Ris_R (m3): ate o pico</t>
  </si>
  <si>
    <t>planilha: Ris_R_m3 = 1.283.688,0</t>
  </si>
  <si>
    <t>Fall_R (m3): depois do pico</t>
  </si>
  <si>
    <t>planilha: Fall_R_m3 = 1.152.993,6</t>
  </si>
  <si>
    <t>SY observado SYY_t (t) = soma(Q*CSS*3600/1e6)</t>
  </si>
  <si>
    <t>planilha: SYY_t = 1.821,7535 (carga TOTAL: inclui sedimento da vazao de base)</t>
  </si>
  <si>
    <t>SSY_Ris (t): ate o pico</t>
  </si>
  <si>
    <t>planilha: SSY_Ris_t = 1.239,8365</t>
  </si>
  <si>
    <t>SSY_Fall (t): depois do pico</t>
  </si>
  <si>
    <t>planilha: SSY_Fall_t = 581,9170</t>
  </si>
  <si>
    <t>Volume da vazao de base Bt (m3) = soma(Bt)*3600</t>
  </si>
  <si>
    <t>Bt = linha de base da serie (separacao feita pelos autores dos dados)</t>
  </si>
  <si>
    <t>Escoamento direto medido (m3) = soma(Q-Bt)*3600</t>
  </si>
  <si>
    <t>Fracao do T_R que e vazao de base</t>
  </si>
  <si>
    <t>ATENCAO: o T_R_m3 usado como 'volume medido' contem vazao de base</t>
  </si>
  <si>
    <t>Chuva de bacia acumulada final (mm)</t>
  </si>
  <si>
    <t>Escoamento SCS-CN concentrado total (mm)</t>
  </si>
  <si>
    <t>usando S medio e P de bacia (visao concentrada)</t>
  </si>
  <si>
    <t>Escoamento SCS-CN concentrado (m3) = mm/1000*138 km2</t>
  </si>
  <si>
    <t>so para comparar com o espacializado (IDW pixel a pixel)</t>
  </si>
  <si>
    <t>Leitura do aviso:</t>
  </si>
  <si>
    <t>T_R_m3 (planilha) = soma das 92 vazoes horarias x 3600, ou seja, volume TOTAL escoado no exutorio, que inclui a vazao de base. O SCS-CN calcula apenas o escoamento DIRETO. Para o evento 11: total 2,437 milhoes m3; vazao de base (Bt) ~0,96 milhao m3; direto ~1,479 milhao m3. Ver o impacto no fator f do volume restrito na planilha 02 e no texto da conversa.</t>
  </si>
  <si>
    <t>Hidrograma unitario triangular do SCS (D = 1 h)</t>
  </si>
  <si>
    <t>A, area da bacia (km2)</t>
  </si>
  <si>
    <t>area adotada nos scripts (138)</t>
  </si>
  <si>
    <t>L, comprimento do talvegue (km)</t>
  </si>
  <si>
    <t>medido no MDE/drenagem</t>
  </si>
  <si>
    <t>Hm, altitude media (m)</t>
  </si>
  <si>
    <t>Tc Giandotti adotado (h)</t>
  </si>
  <si>
    <t>valor usado no script (10,652). Formula: Tc=(4*raiz(A)+1,5*L)/(0,8*raiz(Hm)); com A, L e Hm arredondados acima da 10,6536 (celula D6)</t>
  </si>
  <si>
    <t>D, duracao unitaria (h)</t>
  </si>
  <si>
    <t>passo horario dos dados</t>
  </si>
  <si>
    <t>Tp = D/2 + 0,6*Tc (h)</t>
  </si>
  <si>
    <t>tempo de pico</t>
  </si>
  <si>
    <t>Tb = 2,67*Tp (h)</t>
  </si>
  <si>
    <t>tempo de base do triangulo SCS</t>
  </si>
  <si>
    <t>Fator de pico (2,08*0,5377)</t>
  </si>
  <si>
    <t>2,08 e o padrao SCS; 0,5377 e o fator de reducao calibrado nos 17 eventos</t>
  </si>
  <si>
    <t>qp do HU (m3/s por cm) = fator*A/Tp</t>
  </si>
  <si>
    <t>ordenada de pico do HU para 1 cm de chuva efetiva</t>
  </si>
  <si>
    <t>Numero de ordenadas (h = 0..ceil(Tb))</t>
  </si>
  <si>
    <t>Ordenadas do HU</t>
  </si>
  <si>
    <t>h (horas)</t>
  </si>
  <si>
    <t>u(h) (m3/s por cm)</t>
  </si>
  <si>
    <t>Soma das ordenadas (m3/s*h por cm) - mede quanto do volume unitario o triangulo carrega</t>
  </si>
  <si>
    <t>Volume unitario ideal da bacia (m3/s*h por cm) = A*10/3,6</t>
  </si>
  <si>
    <t>Fracao do volume unitario retida pelo HU (=~54%: o fator de pico e um fator de escala empirico)</t>
  </si>
  <si>
    <t>Convolucao: hidrograma(k) = soma_j [ chuva efetiva incremental(j) em cm  x  u(k-j) ]</t>
  </si>
  <si>
    <t>Linha j = hora da chuva efetiva; coluna k = hora do hidrograma. Cada celula = incremento(j) x u(k-j) quando 0 &lt;= k-j &lt;= 19. A linha 'Q total' soma cada coluna.</t>
  </si>
  <si>
    <t>j</t>
  </si>
  <si>
    <t>ef (cm)</t>
  </si>
  <si>
    <t>k -&gt;</t>
  </si>
  <si>
    <t>Q total</t>
  </si>
  <si>
    <t>Qp calculado (m3/s) = MAX(Q total)</t>
  </si>
  <si>
    <t>Valores da planilha do projeto x recalculados nesta planilha</t>
  </si>
  <si>
    <t>Grandeza</t>
  </si>
  <si>
    <t>Planilha do projeto</t>
  </si>
  <si>
    <t>Recalculado aqui</t>
  </si>
  <si>
    <t>Diferenca</t>
  </si>
  <si>
    <t>Dif. %</t>
  </si>
  <si>
    <t>Chuva DBT5 (mm)</t>
  </si>
  <si>
    <t>Chuva Campo Limpo (mm)</t>
  </si>
  <si>
    <t>Chuva de bacia R (mm)</t>
  </si>
  <si>
    <t>T_R_m3 (m3)</t>
  </si>
  <si>
    <t>Ris_R_m3 (m3)</t>
  </si>
  <si>
    <t>Fall_R_m3 (m3)</t>
  </si>
  <si>
    <t>SYY_t (t)</t>
  </si>
  <si>
    <t>SSY_Ris_t (t)</t>
  </si>
  <si>
    <t>SSY_Fall_t (t)</t>
  </si>
  <si>
    <t>Q_pico medido (m3/s)</t>
  </si>
  <si>
    <t>Qp calculado (convolucao HU) x Qp do CSV do projeto (m3/s)</t>
  </si>
  <si>
    <t>Qp calculado x medido: erro %</t>
  </si>
</sst>
</file>

<file path=xl/styles.xml><?xml version="1.0" encoding="utf-8"?>
<styleSheet xmlns="http://schemas.openxmlformats.org/spreadsheetml/2006/main">
  <numFmts count="6">
    <numFmt numFmtId="164" formatCode="dd/mm/yyyy hh:mm"/>
    <numFmt numFmtId="165" formatCode="0.000"/>
    <numFmt numFmtId="166" formatCode="0.0000"/>
    <numFmt numFmtId="167" formatCode="#,##0.0"/>
    <numFmt numFmtId="168" formatCode="#,##0.00"/>
    <numFmt numFmtId="169" formatCode="0.00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164" fontId="0" fillId="0" borderId="0" xfId="0" applyNumberFormat="1"/>
    <xf numFmtId="0" fontId="0" fillId="3" borderId="1" xfId="0" applyFill="1" applyBorder="1"/>
    <xf numFmtId="165" fontId="0" fillId="0" borderId="0" xfId="0" applyNumberFormat="1"/>
    <xf numFmtId="166" fontId="2" fillId="4" borderId="1" xfId="0" applyNumberFormat="1" applyFont="1" applyFill="1" applyBorder="1"/>
    <xf numFmtId="167" fontId="0" fillId="0" borderId="0" xfId="0" applyNumberFormat="1"/>
    <xf numFmtId="166" fontId="0" fillId="0" borderId="0" xfId="0" applyNumberFormat="1"/>
    <xf numFmtId="166" fontId="0" fillId="3" borderId="1" xfId="0" applyNumberFormat="1" applyFill="1" applyBorder="1"/>
    <xf numFmtId="168" fontId="2" fillId="4" borderId="1" xfId="0" applyNumberFormat="1" applyFont="1" applyFill="1" applyBorder="1"/>
    <xf numFmtId="0" fontId="0" fillId="5" borderId="1" xfId="0" applyFill="1" applyBorder="1" applyAlignment="1">
      <alignment vertical="top" wrapText="1"/>
    </xf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Evento 11: chuva de bacia e vazao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 bacia (mm/h)</c:v>
          </c:tx>
          <c:spPr>
            <a:solidFill>
              <a:srgbClr val="9DC3E6"/>
            </a:solidFill>
          </c:spPr>
          <c:cat>
            <c:numRef>
              <c:f>Serie_horaria!$A$2:$A$93</c:f>
              <c:numCache>
                <c:formatCode>General</c:formatCode>
                <c:ptCount val="92"/>
                <c:pt idx="0">
                  <c:v>43650.5</c:v>
                </c:pt>
                <c:pt idx="1">
                  <c:v>43650.54166666666</c:v>
                </c:pt>
                <c:pt idx="2">
                  <c:v>43650.58333333334</c:v>
                </c:pt>
                <c:pt idx="3">
                  <c:v>43650.625</c:v>
                </c:pt>
                <c:pt idx="4">
                  <c:v>43650.66666666666</c:v>
                </c:pt>
                <c:pt idx="5">
                  <c:v>43650.70833333334</c:v>
                </c:pt>
                <c:pt idx="6">
                  <c:v>43650.75</c:v>
                </c:pt>
                <c:pt idx="7">
                  <c:v>43650.79166666666</c:v>
                </c:pt>
                <c:pt idx="8">
                  <c:v>43650.83333333334</c:v>
                </c:pt>
                <c:pt idx="9">
                  <c:v>43650.875</c:v>
                </c:pt>
                <c:pt idx="10">
                  <c:v>43650.91666666666</c:v>
                </c:pt>
                <c:pt idx="11">
                  <c:v>43650.95833333334</c:v>
                </c:pt>
                <c:pt idx="12">
                  <c:v>43651</c:v>
                </c:pt>
                <c:pt idx="13">
                  <c:v>43651.04166666666</c:v>
                </c:pt>
                <c:pt idx="14">
                  <c:v>43651.08333333334</c:v>
                </c:pt>
                <c:pt idx="15">
                  <c:v>43651.125</c:v>
                </c:pt>
                <c:pt idx="16">
                  <c:v>43651.16666666666</c:v>
                </c:pt>
                <c:pt idx="17">
                  <c:v>43651.20833333334</c:v>
                </c:pt>
                <c:pt idx="18">
                  <c:v>43651.25</c:v>
                </c:pt>
                <c:pt idx="19">
                  <c:v>43651.29166666666</c:v>
                </c:pt>
                <c:pt idx="20">
                  <c:v>43651.33333333334</c:v>
                </c:pt>
                <c:pt idx="21">
                  <c:v>43651.375</c:v>
                </c:pt>
                <c:pt idx="22">
                  <c:v>43651.41666666666</c:v>
                </c:pt>
                <c:pt idx="23">
                  <c:v>43651.45833333334</c:v>
                </c:pt>
                <c:pt idx="24">
                  <c:v>43651.5</c:v>
                </c:pt>
                <c:pt idx="25">
                  <c:v>43651.54166666666</c:v>
                </c:pt>
                <c:pt idx="26">
                  <c:v>43651.58333333334</c:v>
                </c:pt>
                <c:pt idx="27">
                  <c:v>43651.625</c:v>
                </c:pt>
                <c:pt idx="28">
                  <c:v>43651.66666666666</c:v>
                </c:pt>
                <c:pt idx="29">
                  <c:v>43651.70833333334</c:v>
                </c:pt>
                <c:pt idx="30">
                  <c:v>43651.75</c:v>
                </c:pt>
                <c:pt idx="31">
                  <c:v>43651.79166666666</c:v>
                </c:pt>
                <c:pt idx="32">
                  <c:v>43651.83333333334</c:v>
                </c:pt>
                <c:pt idx="33">
                  <c:v>43651.875</c:v>
                </c:pt>
                <c:pt idx="34">
                  <c:v>43651.91666666666</c:v>
                </c:pt>
                <c:pt idx="35">
                  <c:v>43651.95833333334</c:v>
                </c:pt>
                <c:pt idx="36">
                  <c:v>43652</c:v>
                </c:pt>
                <c:pt idx="37">
                  <c:v>43652.04166666666</c:v>
                </c:pt>
                <c:pt idx="38">
                  <c:v>43652.08333333334</c:v>
                </c:pt>
                <c:pt idx="39">
                  <c:v>43652.125</c:v>
                </c:pt>
                <c:pt idx="40">
                  <c:v>43652.16666666666</c:v>
                </c:pt>
                <c:pt idx="41">
                  <c:v>43652.20833333334</c:v>
                </c:pt>
                <c:pt idx="42">
                  <c:v>43652.25</c:v>
                </c:pt>
                <c:pt idx="43">
                  <c:v>43652.29166666666</c:v>
                </c:pt>
                <c:pt idx="44">
                  <c:v>43652.33333333334</c:v>
                </c:pt>
                <c:pt idx="45">
                  <c:v>43652.375</c:v>
                </c:pt>
                <c:pt idx="46">
                  <c:v>43652.41666666666</c:v>
                </c:pt>
                <c:pt idx="47">
                  <c:v>43652.45833333334</c:v>
                </c:pt>
                <c:pt idx="48">
                  <c:v>43652.5</c:v>
                </c:pt>
                <c:pt idx="49">
                  <c:v>43652.54166666666</c:v>
                </c:pt>
                <c:pt idx="50">
                  <c:v>43652.58333333334</c:v>
                </c:pt>
                <c:pt idx="51">
                  <c:v>43652.625</c:v>
                </c:pt>
                <c:pt idx="52">
                  <c:v>43652.66666666666</c:v>
                </c:pt>
                <c:pt idx="53">
                  <c:v>43652.70833333334</c:v>
                </c:pt>
                <c:pt idx="54">
                  <c:v>43652.75</c:v>
                </c:pt>
                <c:pt idx="55">
                  <c:v>43652.79166666666</c:v>
                </c:pt>
                <c:pt idx="56">
                  <c:v>43652.83333333334</c:v>
                </c:pt>
                <c:pt idx="57">
                  <c:v>43652.875</c:v>
                </c:pt>
                <c:pt idx="58">
                  <c:v>43652.91666666666</c:v>
                </c:pt>
                <c:pt idx="59">
                  <c:v>43652.95833333334</c:v>
                </c:pt>
                <c:pt idx="60">
                  <c:v>43653</c:v>
                </c:pt>
                <c:pt idx="61">
                  <c:v>43653.04166666666</c:v>
                </c:pt>
                <c:pt idx="62">
                  <c:v>43653.08333333334</c:v>
                </c:pt>
                <c:pt idx="63">
                  <c:v>43653.125</c:v>
                </c:pt>
                <c:pt idx="64">
                  <c:v>43653.16666666666</c:v>
                </c:pt>
                <c:pt idx="65">
                  <c:v>43653.20833333334</c:v>
                </c:pt>
                <c:pt idx="66">
                  <c:v>43653.25</c:v>
                </c:pt>
                <c:pt idx="67">
                  <c:v>43653.29166666666</c:v>
                </c:pt>
                <c:pt idx="68">
                  <c:v>43653.33333333334</c:v>
                </c:pt>
                <c:pt idx="69">
                  <c:v>43653.375</c:v>
                </c:pt>
                <c:pt idx="70">
                  <c:v>43653.41666666666</c:v>
                </c:pt>
                <c:pt idx="71">
                  <c:v>43653.45833333334</c:v>
                </c:pt>
                <c:pt idx="72">
                  <c:v>43653.5</c:v>
                </c:pt>
                <c:pt idx="73">
                  <c:v>43653.54166666666</c:v>
                </c:pt>
                <c:pt idx="74">
                  <c:v>43653.58333333334</c:v>
                </c:pt>
                <c:pt idx="75">
                  <c:v>43653.625</c:v>
                </c:pt>
                <c:pt idx="76">
                  <c:v>43653.66666666666</c:v>
                </c:pt>
                <c:pt idx="77">
                  <c:v>43653.70833333334</c:v>
                </c:pt>
                <c:pt idx="78">
                  <c:v>43653.75</c:v>
                </c:pt>
                <c:pt idx="79">
                  <c:v>43653.79166666666</c:v>
                </c:pt>
                <c:pt idx="80">
                  <c:v>43653.83333333334</c:v>
                </c:pt>
                <c:pt idx="81">
                  <c:v>43653.875</c:v>
                </c:pt>
                <c:pt idx="82">
                  <c:v>43653.91666666666</c:v>
                </c:pt>
                <c:pt idx="83">
                  <c:v>43653.95833333334</c:v>
                </c:pt>
                <c:pt idx="84">
                  <c:v>43654</c:v>
                </c:pt>
                <c:pt idx="85">
                  <c:v>43654.04166666666</c:v>
                </c:pt>
                <c:pt idx="86">
                  <c:v>43654.08333333334</c:v>
                </c:pt>
                <c:pt idx="87">
                  <c:v>43654.125</c:v>
                </c:pt>
                <c:pt idx="88">
                  <c:v>43654.16666666666</c:v>
                </c:pt>
                <c:pt idx="89">
                  <c:v>43654.20833333334</c:v>
                </c:pt>
                <c:pt idx="90">
                  <c:v>43654.25</c:v>
                </c:pt>
                <c:pt idx="91">
                  <c:v>43654.29166666666</c:v>
                </c:pt>
              </c:numCache>
            </c:numRef>
          </c:cat>
          <c:val>
            <c:numRef>
              <c:f>Serie_horaria!$J$2:$J$93</c:f>
              <c:numCache>
                <c:formatCode>General</c:formatCode>
                <c:ptCount val="92"/>
                <c:pt idx="0">
                  <c:v>2.355081090487875</c:v>
                </c:pt>
                <c:pt idx="1">
                  <c:v>0.4302610829741267</c:v>
                </c:pt>
                <c:pt idx="2">
                  <c:v>0.6926707867310009</c:v>
                </c:pt>
                <c:pt idx="3">
                  <c:v>7.494559508937149</c:v>
                </c:pt>
                <c:pt idx="4">
                  <c:v>9.029316160405209</c:v>
                </c:pt>
                <c:pt idx="5">
                  <c:v>1.7999992000000002</c:v>
                </c:pt>
                <c:pt idx="6">
                  <c:v>6.833092219475933</c:v>
                </c:pt>
                <c:pt idx="7">
                  <c:v>4.368795363252012</c:v>
                </c:pt>
                <c:pt idx="8">
                  <c:v>8.031206636747989</c:v>
                </c:pt>
                <c:pt idx="9">
                  <c:v>2.753193138020828</c:v>
                </c:pt>
                <c:pt idx="10">
                  <c:v>6.447750062088426</c:v>
                </c:pt>
                <c:pt idx="11">
                  <c:v>1.6605246166562875</c:v>
                </c:pt>
                <c:pt idx="12">
                  <c:v>1.5385324114828296</c:v>
                </c:pt>
                <c:pt idx="13">
                  <c:v>2.338535442215751</c:v>
                </c:pt>
                <c:pt idx="14">
                  <c:v>5.956021288237015</c:v>
                </c:pt>
                <c:pt idx="15">
                  <c:v>3.0605249834388166</c:v>
                </c:pt>
                <c:pt idx="16">
                  <c:v>3.662405732129682</c:v>
                </c:pt>
                <c:pt idx="17">
                  <c:v>0.7073307340491226</c:v>
                </c:pt>
                <c:pt idx="18">
                  <c:v>1.7853430826818781</c:v>
                </c:pt>
                <c:pt idx="19">
                  <c:v>1.7375916118455978</c:v>
                </c:pt>
                <c:pt idx="20">
                  <c:v>0.8614658080202605</c:v>
                </c:pt>
                <c:pt idx="21">
                  <c:v>0.13853419197973954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  <c:pt idx="40">
                  <c:v>0.0</c:v>
                </c:pt>
                <c:pt idx="41">
                  <c:v>0.0</c:v>
                </c:pt>
                <c:pt idx="42">
                  <c:v>0.0</c:v>
                </c:pt>
                <c:pt idx="43">
                  <c:v>0.0</c:v>
                </c:pt>
                <c:pt idx="44">
                  <c:v>0.0</c:v>
                </c:pt>
                <c:pt idx="45">
                  <c:v>0.0</c:v>
                </c:pt>
                <c:pt idx="46">
                  <c:v>0.06146584265379982</c:v>
                </c:pt>
                <c:pt idx="47">
                  <c:v>0.0</c:v>
                </c:pt>
                <c:pt idx="48">
                  <c:v>0.0</c:v>
                </c:pt>
                <c:pt idx="49">
                  <c:v>0.0</c:v>
                </c:pt>
                <c:pt idx="50">
                  <c:v>0.0</c:v>
                </c:pt>
                <c:pt idx="51">
                  <c:v>0.0</c:v>
                </c:pt>
                <c:pt idx="52">
                  <c:v>0.0</c:v>
                </c:pt>
                <c:pt idx="53">
                  <c:v>0.0</c:v>
                </c:pt>
                <c:pt idx="54">
                  <c:v>0.0</c:v>
                </c:pt>
                <c:pt idx="55">
                  <c:v>0.0</c:v>
                </c:pt>
                <c:pt idx="56">
                  <c:v>0.0</c:v>
                </c:pt>
                <c:pt idx="57">
                  <c:v>0.0</c:v>
                </c:pt>
                <c:pt idx="58">
                  <c:v>0.0</c:v>
                </c:pt>
                <c:pt idx="59">
                  <c:v>0.0</c:v>
                </c:pt>
                <c:pt idx="60">
                  <c:v>0.0</c:v>
                </c:pt>
                <c:pt idx="61">
                  <c:v>0.0</c:v>
                </c:pt>
                <c:pt idx="62">
                  <c:v>0.0</c:v>
                </c:pt>
                <c:pt idx="63">
                  <c:v>0.1385341573462002</c:v>
                </c:pt>
                <c:pt idx="64">
                  <c:v>0.0</c:v>
                </c:pt>
                <c:pt idx="65">
                  <c:v>0.0</c:v>
                </c:pt>
                <c:pt idx="66">
                  <c:v>0.0</c:v>
                </c:pt>
                <c:pt idx="67">
                  <c:v>0.0</c:v>
                </c:pt>
                <c:pt idx="68">
                  <c:v>0.0</c:v>
                </c:pt>
                <c:pt idx="69">
                  <c:v>0.0</c:v>
                </c:pt>
                <c:pt idx="70">
                  <c:v>0.0</c:v>
                </c:pt>
                <c:pt idx="71">
                  <c:v>0.0</c:v>
                </c:pt>
                <c:pt idx="72">
                  <c:v>0.0</c:v>
                </c:pt>
                <c:pt idx="73">
                  <c:v>0.0</c:v>
                </c:pt>
                <c:pt idx="74">
                  <c:v>0.0</c:v>
                </c:pt>
                <c:pt idx="75">
                  <c:v>0.0</c:v>
                </c:pt>
                <c:pt idx="76">
                  <c:v>0.0</c:v>
                </c:pt>
                <c:pt idx="77">
                  <c:v>0.0</c:v>
                </c:pt>
                <c:pt idx="78">
                  <c:v>0.0</c:v>
                </c:pt>
                <c:pt idx="79">
                  <c:v>0.0</c:v>
                </c:pt>
                <c:pt idx="80">
                  <c:v>0.0</c:v>
                </c:pt>
                <c:pt idx="81">
                  <c:v>0.0</c:v>
                </c:pt>
                <c:pt idx="82">
                  <c:v>0.0</c:v>
                </c:pt>
                <c:pt idx="83">
                  <c:v>0.0</c:v>
                </c:pt>
                <c:pt idx="84">
                  <c:v>0.0</c:v>
                </c:pt>
                <c:pt idx="85">
                  <c:v>0.0</c:v>
                </c:pt>
                <c:pt idx="86">
                  <c:v>0.0</c:v>
                </c:pt>
                <c:pt idx="87">
                  <c:v>0.0</c:v>
                </c:pt>
                <c:pt idx="88">
                  <c:v>0.1385341573462002</c:v>
                </c:pt>
                <c:pt idx="89">
                  <c:v>0.0</c:v>
                </c:pt>
                <c:pt idx="90">
                  <c:v>0.0</c:v>
                </c:pt>
                <c:pt idx="91">
                  <c:v>0.0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Q medida (m3/s)</c:v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cat>
            <c:numRef>
              <c:f>Serie_horaria!$A$2:$A$93</c:f>
              <c:numCache>
                <c:formatCode>General</c:formatCode>
                <c:ptCount val="92"/>
                <c:pt idx="0">
                  <c:v>43650.5</c:v>
                </c:pt>
                <c:pt idx="1">
                  <c:v>43650.54166666666</c:v>
                </c:pt>
                <c:pt idx="2">
                  <c:v>43650.58333333334</c:v>
                </c:pt>
                <c:pt idx="3">
                  <c:v>43650.625</c:v>
                </c:pt>
                <c:pt idx="4">
                  <c:v>43650.66666666666</c:v>
                </c:pt>
                <c:pt idx="5">
                  <c:v>43650.70833333334</c:v>
                </c:pt>
                <c:pt idx="6">
                  <c:v>43650.75</c:v>
                </c:pt>
                <c:pt idx="7">
                  <c:v>43650.79166666666</c:v>
                </c:pt>
                <c:pt idx="8">
                  <c:v>43650.83333333334</c:v>
                </c:pt>
                <c:pt idx="9">
                  <c:v>43650.875</c:v>
                </c:pt>
                <c:pt idx="10">
                  <c:v>43650.91666666666</c:v>
                </c:pt>
                <c:pt idx="11">
                  <c:v>43650.95833333334</c:v>
                </c:pt>
                <c:pt idx="12">
                  <c:v>43651</c:v>
                </c:pt>
                <c:pt idx="13">
                  <c:v>43651.04166666666</c:v>
                </c:pt>
                <c:pt idx="14">
                  <c:v>43651.08333333334</c:v>
                </c:pt>
                <c:pt idx="15">
                  <c:v>43651.125</c:v>
                </c:pt>
                <c:pt idx="16">
                  <c:v>43651.16666666666</c:v>
                </c:pt>
                <c:pt idx="17">
                  <c:v>43651.20833333334</c:v>
                </c:pt>
                <c:pt idx="18">
                  <c:v>43651.25</c:v>
                </c:pt>
                <c:pt idx="19">
                  <c:v>43651.29166666666</c:v>
                </c:pt>
                <c:pt idx="20">
                  <c:v>43651.33333333334</c:v>
                </c:pt>
                <c:pt idx="21">
                  <c:v>43651.375</c:v>
                </c:pt>
                <c:pt idx="22">
                  <c:v>43651.41666666666</c:v>
                </c:pt>
                <c:pt idx="23">
                  <c:v>43651.45833333334</c:v>
                </c:pt>
                <c:pt idx="24">
                  <c:v>43651.5</c:v>
                </c:pt>
                <c:pt idx="25">
                  <c:v>43651.54166666666</c:v>
                </c:pt>
                <c:pt idx="26">
                  <c:v>43651.58333333334</c:v>
                </c:pt>
                <c:pt idx="27">
                  <c:v>43651.625</c:v>
                </c:pt>
                <c:pt idx="28">
                  <c:v>43651.66666666666</c:v>
                </c:pt>
                <c:pt idx="29">
                  <c:v>43651.70833333334</c:v>
                </c:pt>
                <c:pt idx="30">
                  <c:v>43651.75</c:v>
                </c:pt>
                <c:pt idx="31">
                  <c:v>43651.79166666666</c:v>
                </c:pt>
                <c:pt idx="32">
                  <c:v>43651.83333333334</c:v>
                </c:pt>
                <c:pt idx="33">
                  <c:v>43651.875</c:v>
                </c:pt>
                <c:pt idx="34">
                  <c:v>43651.91666666666</c:v>
                </c:pt>
                <c:pt idx="35">
                  <c:v>43651.95833333334</c:v>
                </c:pt>
                <c:pt idx="36">
                  <c:v>43652</c:v>
                </c:pt>
                <c:pt idx="37">
                  <c:v>43652.04166666666</c:v>
                </c:pt>
                <c:pt idx="38">
                  <c:v>43652.08333333334</c:v>
                </c:pt>
                <c:pt idx="39">
                  <c:v>43652.125</c:v>
                </c:pt>
                <c:pt idx="40">
                  <c:v>43652.16666666666</c:v>
                </c:pt>
                <c:pt idx="41">
                  <c:v>43652.20833333334</c:v>
                </c:pt>
                <c:pt idx="42">
                  <c:v>43652.25</c:v>
                </c:pt>
                <c:pt idx="43">
                  <c:v>43652.29166666666</c:v>
                </c:pt>
                <c:pt idx="44">
                  <c:v>43652.33333333334</c:v>
                </c:pt>
                <c:pt idx="45">
                  <c:v>43652.375</c:v>
                </c:pt>
                <c:pt idx="46">
                  <c:v>43652.41666666666</c:v>
                </c:pt>
                <c:pt idx="47">
                  <c:v>43652.45833333334</c:v>
                </c:pt>
                <c:pt idx="48">
                  <c:v>43652.5</c:v>
                </c:pt>
                <c:pt idx="49">
                  <c:v>43652.54166666666</c:v>
                </c:pt>
                <c:pt idx="50">
                  <c:v>43652.58333333334</c:v>
                </c:pt>
                <c:pt idx="51">
                  <c:v>43652.625</c:v>
                </c:pt>
                <c:pt idx="52">
                  <c:v>43652.66666666666</c:v>
                </c:pt>
                <c:pt idx="53">
                  <c:v>43652.70833333334</c:v>
                </c:pt>
                <c:pt idx="54">
                  <c:v>43652.75</c:v>
                </c:pt>
                <c:pt idx="55">
                  <c:v>43652.79166666666</c:v>
                </c:pt>
                <c:pt idx="56">
                  <c:v>43652.83333333334</c:v>
                </c:pt>
                <c:pt idx="57">
                  <c:v>43652.875</c:v>
                </c:pt>
                <c:pt idx="58">
                  <c:v>43652.91666666666</c:v>
                </c:pt>
                <c:pt idx="59">
                  <c:v>43652.95833333334</c:v>
                </c:pt>
                <c:pt idx="60">
                  <c:v>43653</c:v>
                </c:pt>
                <c:pt idx="61">
                  <c:v>43653.04166666666</c:v>
                </c:pt>
                <c:pt idx="62">
                  <c:v>43653.08333333334</c:v>
                </c:pt>
                <c:pt idx="63">
                  <c:v>43653.125</c:v>
                </c:pt>
                <c:pt idx="64">
                  <c:v>43653.16666666666</c:v>
                </c:pt>
                <c:pt idx="65">
                  <c:v>43653.20833333334</c:v>
                </c:pt>
                <c:pt idx="66">
                  <c:v>43653.25</c:v>
                </c:pt>
                <c:pt idx="67">
                  <c:v>43653.29166666666</c:v>
                </c:pt>
                <c:pt idx="68">
                  <c:v>43653.33333333334</c:v>
                </c:pt>
                <c:pt idx="69">
                  <c:v>43653.375</c:v>
                </c:pt>
                <c:pt idx="70">
                  <c:v>43653.41666666666</c:v>
                </c:pt>
                <c:pt idx="71">
                  <c:v>43653.45833333334</c:v>
                </c:pt>
                <c:pt idx="72">
                  <c:v>43653.5</c:v>
                </c:pt>
                <c:pt idx="73">
                  <c:v>43653.54166666666</c:v>
                </c:pt>
                <c:pt idx="74">
                  <c:v>43653.58333333334</c:v>
                </c:pt>
                <c:pt idx="75">
                  <c:v>43653.625</c:v>
                </c:pt>
                <c:pt idx="76">
                  <c:v>43653.66666666666</c:v>
                </c:pt>
                <c:pt idx="77">
                  <c:v>43653.70833333334</c:v>
                </c:pt>
                <c:pt idx="78">
                  <c:v>43653.75</c:v>
                </c:pt>
                <c:pt idx="79">
                  <c:v>43653.79166666666</c:v>
                </c:pt>
                <c:pt idx="80">
                  <c:v>43653.83333333334</c:v>
                </c:pt>
                <c:pt idx="81">
                  <c:v>43653.875</c:v>
                </c:pt>
                <c:pt idx="82">
                  <c:v>43653.91666666666</c:v>
                </c:pt>
                <c:pt idx="83">
                  <c:v>43653.95833333334</c:v>
                </c:pt>
                <c:pt idx="84">
                  <c:v>43654</c:v>
                </c:pt>
                <c:pt idx="85">
                  <c:v>43654.04166666666</c:v>
                </c:pt>
                <c:pt idx="86">
                  <c:v>43654.08333333334</c:v>
                </c:pt>
                <c:pt idx="87">
                  <c:v>43654.125</c:v>
                </c:pt>
                <c:pt idx="88">
                  <c:v>43654.16666666666</c:v>
                </c:pt>
                <c:pt idx="89">
                  <c:v>43654.20833333334</c:v>
                </c:pt>
                <c:pt idx="90">
                  <c:v>43654.25</c:v>
                </c:pt>
                <c:pt idx="91">
                  <c:v>43654.29166666666</c:v>
                </c:pt>
              </c:numCache>
            </c:numRef>
          </c:cat>
          <c:val>
            <c:numRef>
              <c:f>Serie_horaria!$D$2:$D$93</c:f>
              <c:numCache>
                <c:formatCode>General</c:formatCode>
                <c:ptCount val="92"/>
                <c:pt idx="0">
                  <c:v>1.869</c:v>
                </c:pt>
                <c:pt idx="1">
                  <c:v>1.819</c:v>
                </c:pt>
                <c:pt idx="2">
                  <c:v>2.589</c:v>
                </c:pt>
                <c:pt idx="3">
                  <c:v>2.049</c:v>
                </c:pt>
                <c:pt idx="4">
                  <c:v>2.723</c:v>
                </c:pt>
                <c:pt idx="5">
                  <c:v>2.242</c:v>
                </c:pt>
                <c:pt idx="6">
                  <c:v>2.318</c:v>
                </c:pt>
                <c:pt idx="7">
                  <c:v>6.704</c:v>
                </c:pt>
                <c:pt idx="8">
                  <c:v>4.575</c:v>
                </c:pt>
                <c:pt idx="9">
                  <c:v>4.967</c:v>
                </c:pt>
                <c:pt idx="10">
                  <c:v>8.31</c:v>
                </c:pt>
                <c:pt idx="11">
                  <c:v>8.769</c:v>
                </c:pt>
                <c:pt idx="12">
                  <c:v>10.142</c:v>
                </c:pt>
                <c:pt idx="13">
                  <c:v>10.68</c:v>
                </c:pt>
                <c:pt idx="14">
                  <c:v>13.691</c:v>
                </c:pt>
                <c:pt idx="15">
                  <c:v>12.783</c:v>
                </c:pt>
                <c:pt idx="16">
                  <c:v>13.215</c:v>
                </c:pt>
                <c:pt idx="17">
                  <c:v>14.092</c:v>
                </c:pt>
                <c:pt idx="18">
                  <c:v>16.278</c:v>
                </c:pt>
                <c:pt idx="19">
                  <c:v>15.276</c:v>
                </c:pt>
                <c:pt idx="20">
                  <c:v>16.11</c:v>
                </c:pt>
                <c:pt idx="21">
                  <c:v>15.414</c:v>
                </c:pt>
                <c:pt idx="22">
                  <c:v>15.414</c:v>
                </c:pt>
                <c:pt idx="23">
                  <c:v>14.919</c:v>
                </c:pt>
                <c:pt idx="24">
                  <c:v>14.646</c:v>
                </c:pt>
                <c:pt idx="25">
                  <c:v>14.619</c:v>
                </c:pt>
                <c:pt idx="26">
                  <c:v>15.359</c:v>
                </c:pt>
                <c:pt idx="27">
                  <c:v>16.32</c:v>
                </c:pt>
                <c:pt idx="28">
                  <c:v>17.948</c:v>
                </c:pt>
                <c:pt idx="29">
                  <c:v>19.416</c:v>
                </c:pt>
                <c:pt idx="30">
                  <c:v>20.374</c:v>
                </c:pt>
                <c:pt idx="31">
                  <c:v>20.95</c:v>
                </c:pt>
                <c:pt idx="32">
                  <c:v>20.495</c:v>
                </c:pt>
                <c:pt idx="33">
                  <c:v>19.878</c:v>
                </c:pt>
                <c:pt idx="34">
                  <c:v>19.031</c:v>
                </c:pt>
                <c:pt idx="35">
                  <c:v>17.992</c:v>
                </c:pt>
                <c:pt idx="36">
                  <c:v>16.914</c:v>
                </c:pt>
                <c:pt idx="37">
                  <c:v>15.802</c:v>
                </c:pt>
                <c:pt idx="38">
                  <c:v>14.484</c:v>
                </c:pt>
                <c:pt idx="39">
                  <c:v>13.149</c:v>
                </c:pt>
                <c:pt idx="40">
                  <c:v>11.565</c:v>
                </c:pt>
                <c:pt idx="41">
                  <c:v>10.167</c:v>
                </c:pt>
                <c:pt idx="42">
                  <c:v>8.573</c:v>
                </c:pt>
                <c:pt idx="43">
                  <c:v>7.122</c:v>
                </c:pt>
                <c:pt idx="44">
                  <c:v>6.086</c:v>
                </c:pt>
                <c:pt idx="45">
                  <c:v>5.507</c:v>
                </c:pt>
                <c:pt idx="46">
                  <c:v>5.112</c:v>
                </c:pt>
                <c:pt idx="47">
                  <c:v>4.794</c:v>
                </c:pt>
                <c:pt idx="48">
                  <c:v>4.547</c:v>
                </c:pt>
                <c:pt idx="49">
                  <c:v>4.36</c:v>
                </c:pt>
                <c:pt idx="50">
                  <c:v>4.185</c:v>
                </c:pt>
                <c:pt idx="51">
                  <c:v>4.048</c:v>
                </c:pt>
                <c:pt idx="52">
                  <c:v>3.913</c:v>
                </c:pt>
                <c:pt idx="53">
                  <c:v>3.806</c:v>
                </c:pt>
                <c:pt idx="54">
                  <c:v>3.717</c:v>
                </c:pt>
                <c:pt idx="55">
                  <c:v>3.612</c:v>
                </c:pt>
                <c:pt idx="56">
                  <c:v>3.49</c:v>
                </c:pt>
                <c:pt idx="57">
                  <c:v>3.404</c:v>
                </c:pt>
                <c:pt idx="58">
                  <c:v>3.301</c:v>
                </c:pt>
                <c:pt idx="59">
                  <c:v>3.208</c:v>
                </c:pt>
                <c:pt idx="60">
                  <c:v>3.099</c:v>
                </c:pt>
                <c:pt idx="61">
                  <c:v>3.041</c:v>
                </c:pt>
                <c:pt idx="62">
                  <c:v>2.992</c:v>
                </c:pt>
                <c:pt idx="63">
                  <c:v>2.967</c:v>
                </c:pt>
                <c:pt idx="64">
                  <c:v>2.95</c:v>
                </c:pt>
                <c:pt idx="65">
                  <c:v>2.942</c:v>
                </c:pt>
                <c:pt idx="66">
                  <c:v>2.893</c:v>
                </c:pt>
                <c:pt idx="67">
                  <c:v>2.844</c:v>
                </c:pt>
                <c:pt idx="68">
                  <c:v>2.764</c:v>
                </c:pt>
                <c:pt idx="69">
                  <c:v>2.676</c:v>
                </c:pt>
                <c:pt idx="70">
                  <c:v>2.573</c:v>
                </c:pt>
                <c:pt idx="71">
                  <c:v>2.479</c:v>
                </c:pt>
                <c:pt idx="72">
                  <c:v>2.425</c:v>
                </c:pt>
                <c:pt idx="73">
                  <c:v>2.409</c:v>
                </c:pt>
                <c:pt idx="74">
                  <c:v>2.379</c:v>
                </c:pt>
                <c:pt idx="75">
                  <c:v>2.333</c:v>
                </c:pt>
                <c:pt idx="76">
                  <c:v>2.325</c:v>
                </c:pt>
                <c:pt idx="77">
                  <c:v>2.318</c:v>
                </c:pt>
                <c:pt idx="78">
                  <c:v>2.295</c:v>
                </c:pt>
                <c:pt idx="79">
                  <c:v>2.272</c:v>
                </c:pt>
                <c:pt idx="80">
                  <c:v>2.249</c:v>
                </c:pt>
                <c:pt idx="81">
                  <c:v>2.219</c:v>
                </c:pt>
                <c:pt idx="82">
                  <c:v>2.212</c:v>
                </c:pt>
                <c:pt idx="83">
                  <c:v>2.182</c:v>
                </c:pt>
                <c:pt idx="84">
                  <c:v>2.123</c:v>
                </c:pt>
                <c:pt idx="85">
                  <c:v>2.093</c:v>
                </c:pt>
                <c:pt idx="86">
                  <c:v>2.071</c:v>
                </c:pt>
                <c:pt idx="87">
                  <c:v>2.042</c:v>
                </c:pt>
                <c:pt idx="88">
                  <c:v>2.005</c:v>
                </c:pt>
                <c:pt idx="89">
                  <c:v>1.976</c:v>
                </c:pt>
                <c:pt idx="90">
                  <c:v>1.94</c:v>
                </c:pt>
                <c:pt idx="91">
                  <c:v>1.926</c:v>
                </c:pt>
              </c:numCache>
            </c:numRef>
          </c:val>
        </c:ser>
        <c:ser>
          <c:idx val="2"/>
          <c:order val="2"/>
          <c:tx>
            <c:v>Q base Bt (m3/s)</c:v>
          </c:tx>
          <c:spPr>
            <a:ln>
              <a:solidFill>
                <a:srgbClr val="7F7F7F"/>
              </a:solidFill>
              <a:prstDash val="dash"/>
            </a:ln>
          </c:spPr>
          <c:marker>
            <c:symbol val="none"/>
          </c:marker>
          <c:cat>
            <c:numRef>
              <c:f>Serie_horaria!$A$2:$A$93</c:f>
              <c:numCache>
                <c:formatCode>General</c:formatCode>
                <c:ptCount val="92"/>
                <c:pt idx="0">
                  <c:v>43650.5</c:v>
                </c:pt>
                <c:pt idx="1">
                  <c:v>43650.54166666666</c:v>
                </c:pt>
                <c:pt idx="2">
                  <c:v>43650.58333333334</c:v>
                </c:pt>
                <c:pt idx="3">
                  <c:v>43650.625</c:v>
                </c:pt>
                <c:pt idx="4">
                  <c:v>43650.66666666666</c:v>
                </c:pt>
                <c:pt idx="5">
                  <c:v>43650.70833333334</c:v>
                </c:pt>
                <c:pt idx="6">
                  <c:v>43650.75</c:v>
                </c:pt>
                <c:pt idx="7">
                  <c:v>43650.79166666666</c:v>
                </c:pt>
                <c:pt idx="8">
                  <c:v>43650.83333333334</c:v>
                </c:pt>
                <c:pt idx="9">
                  <c:v>43650.875</c:v>
                </c:pt>
                <c:pt idx="10">
                  <c:v>43650.91666666666</c:v>
                </c:pt>
                <c:pt idx="11">
                  <c:v>43650.95833333334</c:v>
                </c:pt>
                <c:pt idx="12">
                  <c:v>43651</c:v>
                </c:pt>
                <c:pt idx="13">
                  <c:v>43651.04166666666</c:v>
                </c:pt>
                <c:pt idx="14">
                  <c:v>43651.08333333334</c:v>
                </c:pt>
                <c:pt idx="15">
                  <c:v>43651.125</c:v>
                </c:pt>
                <c:pt idx="16">
                  <c:v>43651.16666666666</c:v>
                </c:pt>
                <c:pt idx="17">
                  <c:v>43651.20833333334</c:v>
                </c:pt>
                <c:pt idx="18">
                  <c:v>43651.25</c:v>
                </c:pt>
                <c:pt idx="19">
                  <c:v>43651.29166666666</c:v>
                </c:pt>
                <c:pt idx="20">
                  <c:v>43651.33333333334</c:v>
                </c:pt>
                <c:pt idx="21">
                  <c:v>43651.375</c:v>
                </c:pt>
                <c:pt idx="22">
                  <c:v>43651.41666666666</c:v>
                </c:pt>
                <c:pt idx="23">
                  <c:v>43651.45833333334</c:v>
                </c:pt>
                <c:pt idx="24">
                  <c:v>43651.5</c:v>
                </c:pt>
                <c:pt idx="25">
                  <c:v>43651.54166666666</c:v>
                </c:pt>
                <c:pt idx="26">
                  <c:v>43651.58333333334</c:v>
                </c:pt>
                <c:pt idx="27">
                  <c:v>43651.625</c:v>
                </c:pt>
                <c:pt idx="28">
                  <c:v>43651.66666666666</c:v>
                </c:pt>
                <c:pt idx="29">
                  <c:v>43651.70833333334</c:v>
                </c:pt>
                <c:pt idx="30">
                  <c:v>43651.75</c:v>
                </c:pt>
                <c:pt idx="31">
                  <c:v>43651.79166666666</c:v>
                </c:pt>
                <c:pt idx="32">
                  <c:v>43651.83333333334</c:v>
                </c:pt>
                <c:pt idx="33">
                  <c:v>43651.875</c:v>
                </c:pt>
                <c:pt idx="34">
                  <c:v>43651.91666666666</c:v>
                </c:pt>
                <c:pt idx="35">
                  <c:v>43651.95833333334</c:v>
                </c:pt>
                <c:pt idx="36">
                  <c:v>43652</c:v>
                </c:pt>
                <c:pt idx="37">
                  <c:v>43652.04166666666</c:v>
                </c:pt>
                <c:pt idx="38">
                  <c:v>43652.08333333334</c:v>
                </c:pt>
                <c:pt idx="39">
                  <c:v>43652.125</c:v>
                </c:pt>
                <c:pt idx="40">
                  <c:v>43652.16666666666</c:v>
                </c:pt>
                <c:pt idx="41">
                  <c:v>43652.20833333334</c:v>
                </c:pt>
                <c:pt idx="42">
                  <c:v>43652.25</c:v>
                </c:pt>
                <c:pt idx="43">
                  <c:v>43652.29166666666</c:v>
                </c:pt>
                <c:pt idx="44">
                  <c:v>43652.33333333334</c:v>
                </c:pt>
                <c:pt idx="45">
                  <c:v>43652.375</c:v>
                </c:pt>
                <c:pt idx="46">
                  <c:v>43652.41666666666</c:v>
                </c:pt>
                <c:pt idx="47">
                  <c:v>43652.45833333334</c:v>
                </c:pt>
                <c:pt idx="48">
                  <c:v>43652.5</c:v>
                </c:pt>
                <c:pt idx="49">
                  <c:v>43652.54166666666</c:v>
                </c:pt>
                <c:pt idx="50">
                  <c:v>43652.58333333334</c:v>
                </c:pt>
                <c:pt idx="51">
                  <c:v>43652.625</c:v>
                </c:pt>
                <c:pt idx="52">
                  <c:v>43652.66666666666</c:v>
                </c:pt>
                <c:pt idx="53">
                  <c:v>43652.70833333334</c:v>
                </c:pt>
                <c:pt idx="54">
                  <c:v>43652.75</c:v>
                </c:pt>
                <c:pt idx="55">
                  <c:v>43652.79166666666</c:v>
                </c:pt>
                <c:pt idx="56">
                  <c:v>43652.83333333334</c:v>
                </c:pt>
                <c:pt idx="57">
                  <c:v>43652.875</c:v>
                </c:pt>
                <c:pt idx="58">
                  <c:v>43652.91666666666</c:v>
                </c:pt>
                <c:pt idx="59">
                  <c:v>43652.95833333334</c:v>
                </c:pt>
                <c:pt idx="60">
                  <c:v>43653</c:v>
                </c:pt>
                <c:pt idx="61">
                  <c:v>43653.04166666666</c:v>
                </c:pt>
                <c:pt idx="62">
                  <c:v>43653.08333333334</c:v>
                </c:pt>
                <c:pt idx="63">
                  <c:v>43653.125</c:v>
                </c:pt>
                <c:pt idx="64">
                  <c:v>43653.16666666666</c:v>
                </c:pt>
                <c:pt idx="65">
                  <c:v>43653.20833333334</c:v>
                </c:pt>
                <c:pt idx="66">
                  <c:v>43653.25</c:v>
                </c:pt>
                <c:pt idx="67">
                  <c:v>43653.29166666666</c:v>
                </c:pt>
                <c:pt idx="68">
                  <c:v>43653.33333333334</c:v>
                </c:pt>
                <c:pt idx="69">
                  <c:v>43653.375</c:v>
                </c:pt>
                <c:pt idx="70">
                  <c:v>43653.41666666666</c:v>
                </c:pt>
                <c:pt idx="71">
                  <c:v>43653.45833333334</c:v>
                </c:pt>
                <c:pt idx="72">
                  <c:v>43653.5</c:v>
                </c:pt>
                <c:pt idx="73">
                  <c:v>43653.54166666666</c:v>
                </c:pt>
                <c:pt idx="74">
                  <c:v>43653.58333333334</c:v>
                </c:pt>
                <c:pt idx="75">
                  <c:v>43653.625</c:v>
                </c:pt>
                <c:pt idx="76">
                  <c:v>43653.66666666666</c:v>
                </c:pt>
                <c:pt idx="77">
                  <c:v>43653.70833333334</c:v>
                </c:pt>
                <c:pt idx="78">
                  <c:v>43653.75</c:v>
                </c:pt>
                <c:pt idx="79">
                  <c:v>43653.79166666666</c:v>
                </c:pt>
                <c:pt idx="80">
                  <c:v>43653.83333333334</c:v>
                </c:pt>
                <c:pt idx="81">
                  <c:v>43653.875</c:v>
                </c:pt>
                <c:pt idx="82">
                  <c:v>43653.91666666666</c:v>
                </c:pt>
                <c:pt idx="83">
                  <c:v>43653.95833333334</c:v>
                </c:pt>
                <c:pt idx="84">
                  <c:v>43654</c:v>
                </c:pt>
                <c:pt idx="85">
                  <c:v>43654.04166666666</c:v>
                </c:pt>
                <c:pt idx="86">
                  <c:v>43654.08333333334</c:v>
                </c:pt>
                <c:pt idx="87">
                  <c:v>43654.125</c:v>
                </c:pt>
                <c:pt idx="88">
                  <c:v>43654.16666666666</c:v>
                </c:pt>
                <c:pt idx="89">
                  <c:v>43654.20833333334</c:v>
                </c:pt>
                <c:pt idx="90">
                  <c:v>43654.25</c:v>
                </c:pt>
                <c:pt idx="91">
                  <c:v>43654.29166666666</c:v>
                </c:pt>
              </c:numCache>
            </c:numRef>
          </c:cat>
          <c:val>
            <c:numRef>
              <c:f>Serie_horaria!$F$2:$F$93</c:f>
              <c:numCache>
                <c:formatCode>General</c:formatCode>
                <c:ptCount val="92"/>
                <c:pt idx="0">
                  <c:v>0.9447558959216897</c:v>
                </c:pt>
                <c:pt idx="1">
                  <c:v>0.950083106748054</c:v>
                </c:pt>
                <c:pt idx="2">
                  <c:v>0.9641280129728026</c:v>
                </c:pt>
                <c:pt idx="3">
                  <c:v>0.9717679988719481</c:v>
                </c:pt>
                <c:pt idx="4">
                  <c:v>0.9869900427764204</c:v>
                </c:pt>
                <c:pt idx="5">
                  <c:v>0.9964625519107149</c:v>
                </c:pt>
                <c:pt idx="6">
                  <c:v>1.006648981384386</c:v>
                </c:pt>
                <c:pt idx="7">
                  <c:v>1.066822452246868</c:v>
                </c:pt>
                <c:pt idx="8">
                  <c:v>1.101665316067831</c:v>
                </c:pt>
                <c:pt idx="9">
                  <c:v>1.140420046536993</c:v>
                </c:pt>
                <c:pt idx="10">
                  <c:v>1.216767235832829</c:v>
                </c:pt>
                <c:pt idx="11">
                  <c:v>1.297112685979856</c:v>
                </c:pt>
                <c:pt idx="12">
                  <c:v>1.391842496456092</c:v>
                </c:pt>
                <c:pt idx="13">
                  <c:v>1.49117286491674</c:v>
                </c:pt>
                <c:pt idx="14">
                  <c:v>1.623307178327277</c:v>
                </c:pt>
                <c:pt idx="15">
                  <c:v>1.742894447877849</c:v>
                </c:pt>
                <c:pt idx="16">
                  <c:v>1.865463055405129</c:v>
                </c:pt>
                <c:pt idx="17">
                  <c:v>1.996052744334624</c:v>
                </c:pt>
                <c:pt idx="18">
                  <c:v>2.149500550782658</c:v>
                </c:pt>
                <c:pt idx="19">
                  <c:v>2.288977355687116</c:v>
                </c:pt>
                <c:pt idx="20">
                  <c:v>2.435706618002626</c:v>
                </c:pt>
                <c:pt idx="21">
                  <c:v>2.57207402126701</c:v>
                </c:pt>
                <c:pt idx="22">
                  <c:v>2.706208024213919</c:v>
                </c:pt>
                <c:pt idx="23">
                  <c:v>2.832484884255422</c:v>
                </c:pt>
                <c:pt idx="24">
                  <c:v>2.953571852357079</c:v>
                </c:pt>
                <c:pt idx="25">
                  <c:v>3.072366935534161</c:v>
                </c:pt>
                <c:pt idx="26">
                  <c:v>3.197678308363132</c:v>
                </c:pt>
                <c:pt idx="27">
                  <c:v>3.331926381376042</c:v>
                </c:pt>
                <c:pt idx="28">
                  <c:v>3.482591930288783</c:v>
                </c:pt>
                <c:pt idx="29">
                  <c:v>3.647576474047217</c:v>
                </c:pt>
                <c:pt idx="30">
                  <c:v>3.820813653098562</c:v>
                </c:pt>
                <c:pt idx="31">
                  <c:v>3.997800140530249</c:v>
                </c:pt>
                <c:pt idx="32">
                  <c:v>4.166685054587162</c:v>
                </c:pt>
                <c:pt idx="33">
                  <c:v>4.325748612723707</c:v>
                </c:pt>
                <c:pt idx="34">
                  <c:v>4.472521619253155</c:v>
                </c:pt>
                <c:pt idx="35">
                  <c:v>4.605009848201058</c:v>
                </c:pt>
                <c:pt idx="36">
                  <c:v>4.723001288364688</c:v>
                </c:pt>
                <c:pt idx="37">
                  <c:v>4.82634457577957</c:v>
                </c:pt>
                <c:pt idx="38">
                  <c:v>4.912924006948855</c:v>
                </c:pt>
                <c:pt idx="39">
                  <c:v>4.982819742379168</c:v>
                </c:pt>
                <c:pt idx="40">
                  <c:v>5.033457711687482</c:v>
                </c:pt>
                <c:pt idx="41">
                  <c:v>5.067280223460061</c:v>
                </c:pt>
                <c:pt idx="42">
                  <c:v>5.08232141983565</c:v>
                </c:pt>
                <c:pt idx="43">
                  <c:v>5.080524101542028</c:v>
                </c:pt>
                <c:pt idx="44">
                  <c:v>5.0669095681699</c:v>
                </c:pt>
                <c:pt idx="45">
                  <c:v>5.04689715103068</c:v>
                </c:pt>
                <c:pt idx="46">
                  <c:v>5.022695671933185</c:v>
                </c:pt>
                <c:pt idx="47">
                  <c:v>4.794</c:v>
                </c:pt>
                <c:pt idx="48">
                  <c:v>4.547</c:v>
                </c:pt>
                <c:pt idx="49">
                  <c:v>4.36</c:v>
                </c:pt>
                <c:pt idx="50">
                  <c:v>4.185</c:v>
                </c:pt>
                <c:pt idx="51">
                  <c:v>4.048</c:v>
                </c:pt>
                <c:pt idx="52">
                  <c:v>3.913</c:v>
                </c:pt>
                <c:pt idx="53">
                  <c:v>3.806</c:v>
                </c:pt>
                <c:pt idx="54">
                  <c:v>3.717</c:v>
                </c:pt>
                <c:pt idx="55">
                  <c:v>3.612</c:v>
                </c:pt>
                <c:pt idx="56">
                  <c:v>3.49</c:v>
                </c:pt>
                <c:pt idx="57">
                  <c:v>3.404</c:v>
                </c:pt>
                <c:pt idx="58">
                  <c:v>3.301</c:v>
                </c:pt>
                <c:pt idx="59">
                  <c:v>3.208</c:v>
                </c:pt>
                <c:pt idx="60">
                  <c:v>3.099</c:v>
                </c:pt>
                <c:pt idx="61">
                  <c:v>3.041</c:v>
                </c:pt>
                <c:pt idx="62">
                  <c:v>2.992</c:v>
                </c:pt>
                <c:pt idx="63">
                  <c:v>2.967</c:v>
                </c:pt>
                <c:pt idx="64">
                  <c:v>2.95</c:v>
                </c:pt>
                <c:pt idx="65">
                  <c:v>2.935327186192846</c:v>
                </c:pt>
                <c:pt idx="66">
                  <c:v>2.893</c:v>
                </c:pt>
                <c:pt idx="67">
                  <c:v>2.844</c:v>
                </c:pt>
                <c:pt idx="68">
                  <c:v>2.764</c:v>
                </c:pt>
                <c:pt idx="69">
                  <c:v>2.676</c:v>
                </c:pt>
                <c:pt idx="70">
                  <c:v>2.573</c:v>
                </c:pt>
                <c:pt idx="71">
                  <c:v>2.479</c:v>
                </c:pt>
                <c:pt idx="72">
                  <c:v>2.425</c:v>
                </c:pt>
                <c:pt idx="73">
                  <c:v>2.409</c:v>
                </c:pt>
                <c:pt idx="74">
                  <c:v>2.379</c:v>
                </c:pt>
                <c:pt idx="75">
                  <c:v>2.333</c:v>
                </c:pt>
                <c:pt idx="76">
                  <c:v>2.321376909243968</c:v>
                </c:pt>
                <c:pt idx="77">
                  <c:v>2.309864134395643</c:v>
                </c:pt>
                <c:pt idx="78">
                  <c:v>2.295</c:v>
                </c:pt>
                <c:pt idx="79">
                  <c:v>2.272</c:v>
                </c:pt>
                <c:pt idx="80">
                  <c:v>2.249</c:v>
                </c:pt>
                <c:pt idx="81">
                  <c:v>2.219</c:v>
                </c:pt>
                <c:pt idx="82">
                  <c:v>2.207951826290326</c:v>
                </c:pt>
                <c:pt idx="83">
                  <c:v>2.182</c:v>
                </c:pt>
                <c:pt idx="84">
                  <c:v>2.123</c:v>
                </c:pt>
                <c:pt idx="85">
                  <c:v>2.093</c:v>
                </c:pt>
                <c:pt idx="86">
                  <c:v>2.071</c:v>
                </c:pt>
                <c:pt idx="87">
                  <c:v>2.042</c:v>
                </c:pt>
                <c:pt idx="88">
                  <c:v>2.005</c:v>
                </c:pt>
                <c:pt idx="89">
                  <c:v>1.976</c:v>
                </c:pt>
                <c:pt idx="90">
                  <c:v>1.94</c:v>
                </c:pt>
                <c:pt idx="91">
                  <c:v>1.926</c:v>
                </c:pt>
              </c:numCache>
            </c:numRef>
          </c:val>
        </c:ser>
        <c:marker val="1"/>
        <c:axId val="50010001"/>
        <c:axId val="50010002"/>
      </c:lineChart>
      <c:valAx>
        <c:axId val="50010002"/>
        <c:scaling>
          <c:orientation val="maxMin"/>
        </c:scaling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mm/h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max"/>
        <c:crossBetween val="between"/>
      </c:valAx>
      <c:catAx>
        <c:axId val="50010001"/>
        <c:scaling>
          <c:orientation val="minMax"/>
        </c:scaling>
        <c:delete val="1"/>
        <c:axPos val="t"/>
        <c:numFmt formatCode="General" sourceLinked="1"/>
        <c:tickLblPos val="none"/>
        <c:crossAx val="5001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36</xdr:row>
      <xdr:rowOff>0</xdr:rowOff>
    </xdr:from>
    <xdr:to>
      <xdr:col>18</xdr:col>
      <xdr:colOff>3943350</xdr:colOff>
      <xdr:row>52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cols>
    <col min="1" max="1" width="120.7109375" customWidth="1"/>
  </cols>
  <sheetData>
    <row r="1" spans="1:1">
      <c r="A1" s="1" t="s">
        <v>0</v>
      </c>
    </row>
    <row r="3" spans="1:1">
      <c r="A3" s="2" t="s">
        <v>1</v>
      </c>
    </row>
    <row r="5" spans="1:1">
      <c r="A5" s="3" t="s">
        <v>2</v>
      </c>
    </row>
    <row r="6" spans="1:1">
      <c r="A6" s="2" t="s">
        <v>3</v>
      </c>
    </row>
    <row r="7" spans="1:1">
      <c r="A7" s="2" t="s">
        <v>4</v>
      </c>
    </row>
    <row r="8" spans="1:1">
      <c r="A8" s="2" t="s">
        <v>5</v>
      </c>
    </row>
    <row r="9" spans="1:1">
      <c r="A9" s="2" t="s">
        <v>6</v>
      </c>
    </row>
    <row r="10" spans="1:1">
      <c r="A10" s="2" t="s">
        <v>7</v>
      </c>
    </row>
    <row r="11" spans="1:1">
      <c r="A11" s="2" t="s">
        <v>8</v>
      </c>
    </row>
    <row r="13" spans="1:1">
      <c r="A13" s="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cols>
    <col min="1" max="1" width="28.7109375" customWidth="1"/>
    <col min="2" max="2" width="24.7109375" customWidth="1"/>
    <col min="3" max="3" width="90.7109375" customWidth="1"/>
  </cols>
  <sheetData>
    <row r="1" spans="1:3">
      <c r="A1" s="1" t="s">
        <v>10</v>
      </c>
    </row>
    <row r="3" spans="1:3">
      <c r="A3" s="4" t="s">
        <v>11</v>
      </c>
      <c r="B3" s="4" t="s">
        <v>12</v>
      </c>
      <c r="C3" s="4" t="s">
        <v>13</v>
      </c>
    </row>
    <row r="4" spans="1:3">
      <c r="A4" t="s">
        <v>14</v>
      </c>
      <c r="B4" s="5">
        <v>43650.5</v>
      </c>
      <c r="C4" t="s">
        <v>15</v>
      </c>
    </row>
    <row r="5" spans="1:3">
      <c r="A5" t="s">
        <v>16</v>
      </c>
      <c r="B5" s="5">
        <v>43654.29166666666</v>
      </c>
      <c r="C5" t="s">
        <v>17</v>
      </c>
    </row>
    <row r="6" spans="1:3">
      <c r="A6" t="s">
        <v>18</v>
      </c>
      <c r="B6" s="6">
        <v>0.9447558959216897</v>
      </c>
      <c r="C6" t="s">
        <v>19</v>
      </c>
    </row>
    <row r="7" spans="1:3">
      <c r="A7" t="s">
        <v>20</v>
      </c>
      <c r="B7" s="6">
        <v>20.95</v>
      </c>
      <c r="C7" t="s">
        <v>21</v>
      </c>
    </row>
    <row r="8" spans="1:3">
      <c r="A8" t="s">
        <v>22</v>
      </c>
      <c r="B8">
        <v>1.819</v>
      </c>
    </row>
    <row r="9" spans="1:3">
      <c r="A9" t="s">
        <v>23</v>
      </c>
      <c r="B9">
        <v>7.35713043478261</v>
      </c>
    </row>
    <row r="10" spans="1:3">
      <c r="A10" t="s">
        <v>24</v>
      </c>
      <c r="B10">
        <v>19.131</v>
      </c>
    </row>
    <row r="11" spans="1:3">
      <c r="A11" t="s">
        <v>25</v>
      </c>
      <c r="B11">
        <v>31</v>
      </c>
    </row>
    <row r="12" spans="1:3">
      <c r="A12" t="s">
        <v>26</v>
      </c>
      <c r="B12">
        <v>60</v>
      </c>
    </row>
    <row r="13" spans="1:3">
      <c r="A13" t="s">
        <v>27</v>
      </c>
      <c r="B13">
        <v>0.645330454970268</v>
      </c>
    </row>
    <row r="14" spans="1:3">
      <c r="A14" t="s">
        <v>28</v>
      </c>
      <c r="B14" s="6">
        <v>1283688</v>
      </c>
      <c r="C14" t="s">
        <v>29</v>
      </c>
    </row>
    <row r="15" spans="1:3">
      <c r="A15" t="s">
        <v>30</v>
      </c>
      <c r="B15" s="6">
        <v>1152993.6</v>
      </c>
      <c r="C15" t="s">
        <v>31</v>
      </c>
    </row>
    <row r="16" spans="1:3">
      <c r="A16" t="s">
        <v>32</v>
      </c>
      <c r="B16" s="6">
        <v>2436681.600000001</v>
      </c>
      <c r="C16" t="s">
        <v>33</v>
      </c>
    </row>
    <row r="17" spans="1:3">
      <c r="A17" t="s">
        <v>34</v>
      </c>
      <c r="B17">
        <v>2719.150496292305</v>
      </c>
    </row>
    <row r="18" spans="1:3">
      <c r="A18" t="s">
        <v>35</v>
      </c>
      <c r="B18" s="6">
        <v>62.80000343</v>
      </c>
      <c r="C18" t="s">
        <v>36</v>
      </c>
    </row>
    <row r="19" spans="1:3">
      <c r="A19" t="s">
        <v>37</v>
      </c>
      <c r="B19" s="6">
        <v>79.00000218000001</v>
      </c>
      <c r="C19" t="s">
        <v>38</v>
      </c>
    </row>
    <row r="20" spans="1:3">
      <c r="A20" t="s">
        <v>39</v>
      </c>
      <c r="B20" s="6">
        <v>74.0396279229755</v>
      </c>
      <c r="C20" t="s">
        <v>40</v>
      </c>
    </row>
    <row r="21" spans="1:3">
      <c r="A21" t="s">
        <v>41</v>
      </c>
      <c r="B21" s="6">
        <v>91</v>
      </c>
      <c r="C21" t="s">
        <v>42</v>
      </c>
    </row>
    <row r="22" spans="1:3">
      <c r="A22" t="s">
        <v>43</v>
      </c>
      <c r="B22">
        <v>20</v>
      </c>
    </row>
    <row r="23" spans="1:3">
      <c r="A23" t="s">
        <v>44</v>
      </c>
      <c r="B23">
        <v>23</v>
      </c>
    </row>
    <row r="24" spans="1:3">
      <c r="A24" t="s">
        <v>45</v>
      </c>
      <c r="B24" s="6">
        <v>11.8</v>
      </c>
      <c r="C24" t="s">
        <v>46</v>
      </c>
    </row>
    <row r="25" spans="1:3">
      <c r="A25" t="s">
        <v>47</v>
      </c>
      <c r="B25" s="6">
        <v>9.400001</v>
      </c>
      <c r="C25" t="s">
        <v>48</v>
      </c>
    </row>
    <row r="26" spans="1:3">
      <c r="A26" t="s">
        <v>49</v>
      </c>
      <c r="B26" s="6">
        <v>11.8</v>
      </c>
      <c r="C26" t="s">
        <v>50</v>
      </c>
    </row>
    <row r="27" spans="1:3">
      <c r="A27" t="s">
        <v>51</v>
      </c>
      <c r="B27">
        <v>14.9999998</v>
      </c>
    </row>
    <row r="28" spans="1:3">
      <c r="A28" t="s">
        <v>52</v>
      </c>
      <c r="B28">
        <v>17.2</v>
      </c>
    </row>
    <row r="29" spans="1:3">
      <c r="A29" t="s">
        <v>53</v>
      </c>
      <c r="B29">
        <v>17.2</v>
      </c>
    </row>
    <row r="30" spans="1:3">
      <c r="A30" t="s">
        <v>54</v>
      </c>
      <c r="B30">
        <v>0.7802197802197802</v>
      </c>
    </row>
    <row r="31" spans="1:3">
      <c r="A31" t="s">
        <v>55</v>
      </c>
      <c r="B31">
        <v>0.7472527472527473</v>
      </c>
    </row>
    <row r="32" spans="1:3">
      <c r="A32" t="s">
        <v>56</v>
      </c>
      <c r="B32">
        <v>11.79999962</v>
      </c>
    </row>
    <row r="33" spans="1:2">
      <c r="A33" t="s">
        <v>57</v>
      </c>
      <c r="B33">
        <v>13.5999991</v>
      </c>
    </row>
    <row r="34" spans="1:2">
      <c r="A34" t="s">
        <v>58</v>
      </c>
      <c r="B34">
        <v>13.04884652146974</v>
      </c>
    </row>
    <row r="35" spans="1:2">
      <c r="A35" t="s">
        <v>59</v>
      </c>
      <c r="B35">
        <v>11.79999962</v>
      </c>
    </row>
    <row r="36" spans="1:2">
      <c r="A36" t="s">
        <v>60</v>
      </c>
      <c r="B36">
        <v>13.7999991</v>
      </c>
    </row>
    <row r="37" spans="1:2">
      <c r="A37" t="s">
        <v>61</v>
      </c>
      <c r="B37">
        <v>13.18760732838617</v>
      </c>
    </row>
    <row r="38" spans="1:2">
      <c r="A38" t="s">
        <v>62</v>
      </c>
      <c r="B38">
        <v>11.99999962</v>
      </c>
    </row>
    <row r="39" spans="1:2">
      <c r="A39" t="s">
        <v>63</v>
      </c>
      <c r="B39">
        <v>13.9999991</v>
      </c>
    </row>
    <row r="40" spans="1:2">
      <c r="A40" t="s">
        <v>64</v>
      </c>
      <c r="B40">
        <v>13.38760732838617</v>
      </c>
    </row>
    <row r="41" spans="1:2">
      <c r="A41" t="s">
        <v>65</v>
      </c>
      <c r="B41">
        <v>11.99999962</v>
      </c>
    </row>
    <row r="42" spans="1:2">
      <c r="A42" t="s">
        <v>66</v>
      </c>
      <c r="B42">
        <v>14.1999991</v>
      </c>
    </row>
    <row r="43" spans="1:2">
      <c r="A43" t="s">
        <v>67</v>
      </c>
      <c r="B43">
        <v>13.52636813530259</v>
      </c>
    </row>
    <row r="44" spans="1:2">
      <c r="A44" t="s">
        <v>68</v>
      </c>
      <c r="B44">
        <v>12.39999962</v>
      </c>
    </row>
    <row r="45" spans="1:2">
      <c r="A45" t="s">
        <v>69</v>
      </c>
      <c r="B45">
        <v>14.5999991</v>
      </c>
    </row>
    <row r="46" spans="1:2">
      <c r="A46" t="s">
        <v>70</v>
      </c>
      <c r="B46">
        <v>13.92636813530259</v>
      </c>
    </row>
    <row r="47" spans="1:2">
      <c r="A47" t="s">
        <v>71</v>
      </c>
      <c r="B47">
        <v>12.59999962</v>
      </c>
    </row>
    <row r="48" spans="1:2">
      <c r="A48" t="s">
        <v>72</v>
      </c>
      <c r="B48">
        <v>14.9999991</v>
      </c>
    </row>
    <row r="49" spans="1:2">
      <c r="A49" t="s">
        <v>73</v>
      </c>
      <c r="B49">
        <v>14.26512894221902</v>
      </c>
    </row>
    <row r="50" spans="1:2">
      <c r="A50" t="s">
        <v>74</v>
      </c>
      <c r="B50" s="5">
        <v>43651.79166666666</v>
      </c>
    </row>
    <row r="51" spans="1:2">
      <c r="A51" t="s">
        <v>75</v>
      </c>
      <c r="B51">
        <v>2640</v>
      </c>
    </row>
    <row r="52" spans="1:2">
      <c r="A52" t="s">
        <v>76</v>
      </c>
      <c r="B52">
        <v>0.6728711019707504</v>
      </c>
    </row>
    <row r="53" spans="1:2">
      <c r="A53" t="s">
        <v>77</v>
      </c>
      <c r="B53">
        <v>1725.241505453004</v>
      </c>
    </row>
    <row r="54" spans="1:2">
      <c r="A54" t="s">
        <v>78</v>
      </c>
      <c r="B54">
        <v>115.9526378073088</v>
      </c>
    </row>
    <row r="55" spans="1:2">
      <c r="A55" t="s">
        <v>79</v>
      </c>
      <c r="B55">
        <v>1609.288867645695</v>
      </c>
    </row>
    <row r="56" spans="1:2">
      <c r="A56" t="s">
        <v>80</v>
      </c>
      <c r="B56">
        <v>10.618</v>
      </c>
    </row>
    <row r="57" spans="1:2">
      <c r="A57" t="s">
        <v>81</v>
      </c>
      <c r="B57">
        <v>3.421</v>
      </c>
    </row>
    <row r="58" spans="1:2">
      <c r="A58" t="s">
        <v>82</v>
      </c>
      <c r="B58">
        <v>7.197000000000001</v>
      </c>
    </row>
    <row r="59" spans="1:2">
      <c r="A59" t="s">
        <v>83</v>
      </c>
      <c r="B59">
        <v>1.973064607270672</v>
      </c>
    </row>
    <row r="60" spans="1:2">
      <c r="A60" t="s">
        <v>84</v>
      </c>
      <c r="B60">
        <v>1.971691325334196</v>
      </c>
    </row>
    <row r="61" spans="1:2">
      <c r="A61" t="s">
        <v>85</v>
      </c>
      <c r="B61">
        <v>607.9695871799549</v>
      </c>
    </row>
    <row r="62" spans="1:2">
      <c r="A62" t="s">
        <v>86</v>
      </c>
      <c r="B62">
        <v>2719.150496292305</v>
      </c>
    </row>
    <row r="63" spans="1:2">
      <c r="A63" t="s">
        <v>87</v>
      </c>
      <c r="B63">
        <v>124.2834302316946</v>
      </c>
    </row>
    <row r="64" spans="1:2">
      <c r="A64" t="s">
        <v>88</v>
      </c>
      <c r="B64">
        <v>2594.86706606061</v>
      </c>
    </row>
    <row r="65" spans="1:3">
      <c r="A65" t="s">
        <v>89</v>
      </c>
      <c r="B65" s="6">
        <v>1821.753506089142</v>
      </c>
      <c r="C65" t="s">
        <v>90</v>
      </c>
    </row>
    <row r="66" spans="1:3">
      <c r="A66" t="s">
        <v>91</v>
      </c>
      <c r="B66">
        <v>78.12025972020562</v>
      </c>
    </row>
    <row r="67" spans="1:3">
      <c r="A67" t="s">
        <v>92</v>
      </c>
      <c r="B67" s="6">
        <v>1239.836469266639</v>
      </c>
      <c r="C67" t="s">
        <v>93</v>
      </c>
    </row>
    <row r="68" spans="1:3">
      <c r="A68" t="s">
        <v>94</v>
      </c>
      <c r="B68" s="6">
        <v>581.9170368225031</v>
      </c>
      <c r="C68" t="s">
        <v>95</v>
      </c>
    </row>
    <row r="69" spans="1:3">
      <c r="A69" t="s">
        <v>96</v>
      </c>
      <c r="B69">
        <v>6</v>
      </c>
    </row>
    <row r="70" spans="1:3">
      <c r="A70" t="s">
        <v>97</v>
      </c>
      <c r="B70">
        <v>747.6370758038889</v>
      </c>
    </row>
    <row r="71" spans="1:3">
      <c r="A71" t="s">
        <v>98</v>
      </c>
      <c r="B71">
        <v>0.2744983875180863</v>
      </c>
    </row>
    <row r="72" spans="1:3">
      <c r="A72" t="s">
        <v>99</v>
      </c>
      <c r="B72">
        <v>9</v>
      </c>
    </row>
    <row r="73" spans="1:3">
      <c r="A73" t="s">
        <v>100</v>
      </c>
      <c r="B73" t="s">
        <v>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cols>
    <col min="1" max="6" width="16.7109375" customWidth="1"/>
  </cols>
  <sheetData>
    <row r="1" spans="1:7">
      <c r="A1" s="1" t="s">
        <v>102</v>
      </c>
    </row>
    <row r="2" spans="1:7">
      <c r="A2" t="s">
        <v>103</v>
      </c>
    </row>
    <row r="4" spans="1:7">
      <c r="A4" s="4" t="s">
        <v>104</v>
      </c>
      <c r="B4" s="4" t="s">
        <v>105</v>
      </c>
      <c r="C4" s="4" t="s">
        <v>106</v>
      </c>
      <c r="D4" s="4" t="s">
        <v>107</v>
      </c>
      <c r="E4" s="4" t="s">
        <v>108</v>
      </c>
      <c r="F4" s="4" t="s">
        <v>109</v>
      </c>
      <c r="G4" s="4" t="s">
        <v>110</v>
      </c>
    </row>
    <row r="5" spans="1:7">
      <c r="A5">
        <v>1</v>
      </c>
      <c r="B5" s="6">
        <v>32.7999998</v>
      </c>
      <c r="C5" s="6">
        <v>19.19999968</v>
      </c>
      <c r="D5" s="6">
        <v>23.36426484642652</v>
      </c>
      <c r="E5" s="7">
        <f>B5-C5</f>
        <v>13.60000012</v>
      </c>
      <c r="F5" s="7">
        <f>D5-C5</f>
        <v>4.164265166426517</v>
      </c>
      <c r="G5" s="7">
        <f>$B$24*B5+(1-$B$24)*C5</f>
        <v>23.379677017337894</v>
      </c>
    </row>
    <row r="6" spans="1:7">
      <c r="A6">
        <v>2</v>
      </c>
      <c r="B6" s="6">
        <v>64.00000001000001</v>
      </c>
      <c r="C6" s="6">
        <v>54.40000159</v>
      </c>
      <c r="D6" s="6">
        <v>57.33948237422189</v>
      </c>
      <c r="E6" s="7">
        <f>B6-C6</f>
        <v>9.599998420000006</v>
      </c>
      <c r="F6" s="7">
        <f>D6-C6</f>
        <v>2.9394807842218853</v>
      </c>
      <c r="G6" s="7">
        <f>$B$24*B6+(1-$B$24)*C6</f>
        <v>57.35036155180224</v>
      </c>
    </row>
    <row r="7" spans="1:7">
      <c r="A7">
        <v>3</v>
      </c>
      <c r="B7" s="6">
        <v>50.99999871999999</v>
      </c>
      <c r="C7" s="6">
        <v>71.80000032000001</v>
      </c>
      <c r="D7" s="6">
        <v>65.4311237493948</v>
      </c>
      <c r="E7" s="7">
        <f>B7-C7</f>
        <v>-20.800001600000023</v>
      </c>
      <c r="F7" s="7">
        <f>D7-C7</f>
        <v>-6.3688765706052095</v>
      </c>
      <c r="G7" s="7">
        <f>$B$24*B7+(1-$B$24)*C7</f>
        <v>65.40755219227808</v>
      </c>
    </row>
    <row r="8" spans="1:7">
      <c r="A8">
        <v>4</v>
      </c>
      <c r="B8" s="6">
        <v>56.9999973</v>
      </c>
      <c r="C8" s="6">
        <v>27.0000018</v>
      </c>
      <c r="D8" s="6">
        <v>36.18587938465417</v>
      </c>
      <c r="E8" s="7">
        <f>B8-C8</f>
        <v>29.999995499999997</v>
      </c>
      <c r="F8" s="7">
        <f>D8-C8</f>
        <v>9.185877584654172</v>
      </c>
      <c r="G8" s="7">
        <f>$B$24*B8+(1-$B$24)*C8</f>
        <v>36.21987681508851</v>
      </c>
    </row>
    <row r="9" spans="1:7">
      <c r="A9">
        <v>5</v>
      </c>
      <c r="B9" s="6">
        <v>23.99999943</v>
      </c>
      <c r="C9" s="6">
        <v>77.20000262000001</v>
      </c>
      <c r="D9" s="6">
        <v>60.91037628300431</v>
      </c>
      <c r="E9" s="7">
        <f>B9-C9</f>
        <v>-53.200003190000004</v>
      </c>
      <c r="F9" s="7">
        <f>D9-C9</f>
        <v>-16.289626336995696</v>
      </c>
      <c r="G9" s="7">
        <f>$B$24*B9+(1-$B$24)*C9</f>
        <v>60.85008749370906</v>
      </c>
    </row>
    <row r="10" spans="1:7">
      <c r="A10">
        <v>6</v>
      </c>
      <c r="B10" s="6">
        <v>10.99999951</v>
      </c>
      <c r="C10" s="6">
        <v>44.799999</v>
      </c>
      <c r="D10" s="6">
        <v>34.45057552503602</v>
      </c>
      <c r="E10" s="7">
        <f>B10-C10</f>
        <v>-33.79999949</v>
      </c>
      <c r="F10" s="7">
        <f>D10-C10</f>
        <v>-10.349423474963977</v>
      </c>
      <c r="G10" s="7">
        <f>$B$24*B10+(1-$B$24)*C10</f>
        <v>34.41227174824573</v>
      </c>
    </row>
    <row r="11" spans="1:7">
      <c r="A11">
        <v>7</v>
      </c>
      <c r="B11" s="6">
        <v>29.00000053</v>
      </c>
      <c r="C11" s="6">
        <v>38.40000036</v>
      </c>
      <c r="D11" s="6">
        <v>35.52175833712536</v>
      </c>
      <c r="E11" s="7">
        <f>B11-C11</f>
        <v>-9.399999829999999</v>
      </c>
      <c r="F11" s="7">
        <f>D11-C11</f>
        <v>-2.8782420228746375</v>
      </c>
      <c r="G11" s="7">
        <f>$B$24*B11+(1-$B$24)*C11</f>
        <v>35.511105807517374</v>
      </c>
    </row>
    <row r="12" spans="1:7">
      <c r="A12">
        <v>8</v>
      </c>
      <c r="B12" s="6">
        <v>48.39999794</v>
      </c>
      <c r="C12" s="6">
        <v>97.60000177000001</v>
      </c>
      <c r="D12" s="6">
        <v>82.53515909871037</v>
      </c>
      <c r="E12" s="7">
        <f>B12-C12</f>
        <v>-49.20000383000001</v>
      </c>
      <c r="F12" s="7">
        <f>D12-C12</f>
        <v>-15.06484267128964</v>
      </c>
      <c r="G12" s="7">
        <f>$B$24*B12+(1-$B$24)*C12</f>
        <v>82.47940330009436</v>
      </c>
    </row>
    <row r="13" spans="1:7">
      <c r="A13">
        <v>9</v>
      </c>
      <c r="B13" s="6">
        <v>57.00000154</v>
      </c>
      <c r="C13" s="6">
        <v>108.80000162</v>
      </c>
      <c r="D13" s="6">
        <v>92.93905058685878</v>
      </c>
      <c r="E13" s="7">
        <f>B13-C13</f>
        <v>-51.800000080000004</v>
      </c>
      <c r="F13" s="7">
        <f>D13-C13</f>
        <v>-15.86095103314122</v>
      </c>
      <c r="G13" s="7">
        <f>$B$24*B13+(1-$B$24)*C13</f>
        <v>92.88034834807951</v>
      </c>
    </row>
    <row r="14" spans="1:7">
      <c r="A14">
        <v>10</v>
      </c>
      <c r="B14" s="6">
        <v>14.39999924</v>
      </c>
      <c r="C14" s="6">
        <v>30.79999914</v>
      </c>
      <c r="D14" s="6">
        <v>25.77838533776657</v>
      </c>
      <c r="E14" s="7">
        <f>B14-C14</f>
        <v>-16.3999999</v>
      </c>
      <c r="F14" s="7">
        <f>D14-C14</f>
        <v>-5.021613802233432</v>
      </c>
      <c r="G14" s="7">
        <f>$B$24*B14+(1-$B$24)*C14</f>
        <v>25.759800073121333</v>
      </c>
    </row>
    <row r="15" spans="1:7">
      <c r="A15">
        <v>11</v>
      </c>
      <c r="B15" s="6">
        <v>62.80000343</v>
      </c>
      <c r="C15" s="6">
        <v>79.00000218000001</v>
      </c>
      <c r="D15" s="6">
        <v>74.0396279229755</v>
      </c>
      <c r="E15" s="7">
        <f>B15-C15</f>
        <v>-16.199998750000013</v>
      </c>
      <c r="F15" s="7">
        <f>D15-C15</f>
        <v>-4.960374257024512</v>
      </c>
      <c r="G15" s="7">
        <f>$B$24*B15+(1-$B$24)*C15</f>
        <v>74.02126930920375</v>
      </c>
    </row>
    <row r="16" spans="1:7">
      <c r="A16">
        <v>12</v>
      </c>
      <c r="B16" s="6">
        <v>0</v>
      </c>
      <c r="C16" s="6">
        <v>34.2000015</v>
      </c>
      <c r="D16" s="6">
        <v>23.72809902341498</v>
      </c>
      <c r="E16" s="7">
        <f>B16-C16</f>
        <v>-34.2000015</v>
      </c>
      <c r="F16" s="7">
        <f>D16-C16</f>
        <v>-10.471902476585019</v>
      </c>
      <c r="G16" s="7">
        <f>$B$24*B16+(1-$B$24)*C16</f>
        <v>23.68934194520641</v>
      </c>
    </row>
    <row r="17" spans="1:7">
      <c r="A17">
        <v>13</v>
      </c>
      <c r="B17" s="6">
        <v>43.80000200000001</v>
      </c>
      <c r="C17" s="6">
        <v>88.59999816</v>
      </c>
      <c r="D17" s="6">
        <v>74.88242008507203</v>
      </c>
      <c r="E17" s="7">
        <f>B17-C17</f>
        <v>-44.799996159999985</v>
      </c>
      <c r="F17" s="7">
        <f>D17-C17</f>
        <v>-13.717578074927971</v>
      </c>
      <c r="G17" s="7">
        <f>$B$24*B17+(1-$B$24)*C17</f>
        <v>74.83165058569303</v>
      </c>
    </row>
    <row r="18" spans="1:7">
      <c r="A18">
        <v>14</v>
      </c>
      <c r="B18" s="6">
        <v>37.79999967</v>
      </c>
      <c r="C18" s="6">
        <v>101.79999791</v>
      </c>
      <c r="D18" s="6">
        <v>82.20345666216136</v>
      </c>
      <c r="E18" s="7">
        <f>B18-C18</f>
        <v>-63.999998240000004</v>
      </c>
      <c r="F18" s="7">
        <f>D18-C18</f>
        <v>-19.596541247838644</v>
      </c>
      <c r="G18" s="7">
        <f>$B$24*B18+(1-$B$24)*C18</f>
        <v>82.13092880168347</v>
      </c>
    </row>
    <row r="19" spans="1:7">
      <c r="A19">
        <v>15</v>
      </c>
      <c r="B19" s="6">
        <v>85.99999595</v>
      </c>
      <c r="C19" s="6">
        <v>162.99999777</v>
      </c>
      <c r="D19" s="6">
        <v>139.4229078755475</v>
      </c>
      <c r="E19" s="7">
        <f>B19-C19</f>
        <v>-77.00000182</v>
      </c>
      <c r="F19" s="7">
        <f>D19-C19</f>
        <v>-23.577089894452484</v>
      </c>
      <c r="G19" s="7">
        <f>$B$24*B19+(1-$B$24)*C19</f>
        <v>139.33564778894788</v>
      </c>
    </row>
    <row r="20" spans="1:7">
      <c r="A20">
        <v>16</v>
      </c>
      <c r="B20" s="6">
        <v>63.59999824000001</v>
      </c>
      <c r="C20" s="6">
        <v>113.59999786</v>
      </c>
      <c r="D20" s="6">
        <v>97.67780797059078</v>
      </c>
      <c r="E20" s="7">
        <f>B20-C20</f>
        <v>-49.99999961999999</v>
      </c>
      <c r="F20" s="7">
        <f>D20-C20</f>
        <v>-15.922189889409225</v>
      </c>
      <c r="G20" s="7">
        <f>$B$24*B20+(1-$B$24)*C20</f>
        <v>98.23353731333515</v>
      </c>
    </row>
    <row r="21" spans="1:7">
      <c r="A21">
        <v>17</v>
      </c>
      <c r="B21" s="6">
        <v>67.99999923999999</v>
      </c>
      <c r="C21" s="6">
        <v>64.60000332</v>
      </c>
      <c r="D21" s="6">
        <v>65.64106835314121</v>
      </c>
      <c r="E21" s="7">
        <f>B21-C21</f>
        <v>3.399995919999995</v>
      </c>
      <c r="F21" s="7">
        <f>D21-C21</f>
        <v>1.0410650331412086</v>
      </c>
      <c r="G21" s="7">
        <f>$B$24*B21+(1-$B$24)*C21</f>
        <v>65.6449213912114</v>
      </c>
    </row>
    <row r="23" spans="1:7">
      <c r="A23" s="3" t="s">
        <v>111</v>
      </c>
    </row>
    <row r="24" spans="1:7">
      <c r="A24" t="s">
        <v>112</v>
      </c>
      <c r="B24" s="8">
        <f>MIN(MAX(SUMPRODUCT(E5:E21,F5:F21)/SUMSQ(E5:E21),0),1)</f>
        <v>0.3073292132689991</v>
      </c>
    </row>
    <row r="25" spans="1:7">
      <c r="A25" t="s">
        <v>113</v>
      </c>
      <c r="B25" s="8">
        <f>1-B24</f>
        <v>0.6926707867310009</v>
      </c>
    </row>
    <row r="26" spans="1:7">
      <c r="A26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9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7.7109375" customWidth="1"/>
    <col min="2" max="15" width="15.7109375" customWidth="1"/>
    <col min="17" max="17" width="52.7109375" customWidth="1"/>
    <col min="18" max="18" width="16.7109375" customWidth="1"/>
    <col min="19" max="19" width="60.7109375" customWidth="1"/>
  </cols>
  <sheetData>
    <row r="1" spans="1:19" ht="60" customHeight="1">
      <c r="A1" s="4" t="s">
        <v>115</v>
      </c>
      <c r="B1" s="4" t="s">
        <v>116</v>
      </c>
      <c r="C1" s="4" t="s">
        <v>117</v>
      </c>
      <c r="D1" s="4" t="s">
        <v>118</v>
      </c>
      <c r="E1" s="4" t="s">
        <v>119</v>
      </c>
      <c r="F1" s="4" t="s">
        <v>120</v>
      </c>
      <c r="G1" s="4" t="s">
        <v>121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126</v>
      </c>
      <c r="M1" s="4" t="s">
        <v>127</v>
      </c>
      <c r="N1" s="4" t="s">
        <v>128</v>
      </c>
      <c r="O1" s="4" t="s">
        <v>129</v>
      </c>
      <c r="Q1" s="4" t="s">
        <v>130</v>
      </c>
      <c r="R1" s="4" t="s">
        <v>12</v>
      </c>
      <c r="S1" s="4" t="s">
        <v>131</v>
      </c>
    </row>
    <row r="2" spans="1:19">
      <c r="A2" s="5">
        <v>43650.5</v>
      </c>
      <c r="B2" s="6">
        <v>0</v>
      </c>
      <c r="C2" s="6">
        <v>3.4000006</v>
      </c>
      <c r="D2" s="6">
        <v>1.869</v>
      </c>
      <c r="E2" s="6">
        <v>263.19752709053</v>
      </c>
      <c r="F2" s="6">
        <v>0.9447558959216897</v>
      </c>
      <c r="G2" s="9">
        <f>D2*3600</f>
        <v>6728.4</v>
      </c>
      <c r="H2" s="7">
        <f>D2*E2*3600/1000000</f>
        <v>1.7708982412759222</v>
      </c>
      <c r="I2" t="str">
        <f>IF(A2&lt;=$R$8,"asc","desc")</f>
        <v>asc</v>
      </c>
      <c r="J2" s="7">
        <f>w1_DBT5*B2+(1-w1_DBT5)*C2</f>
        <v>2.355081090487875</v>
      </c>
      <c r="K2" s="7">
        <f>SUM(J$2:J2)</f>
        <v>2.355081090487875</v>
      </c>
      <c r="L2" s="10">
        <f>IF(K2&lt;=$R$4*$R$5,0,(K2-$R$4*$R$5)^2/(K2+(1-$R$4)*$R$5))</f>
        <v>0.0</v>
      </c>
      <c r="M2" s="10">
        <f>L2</f>
        <v>0.0</v>
      </c>
      <c r="N2" s="10">
        <f>M2/10</f>
        <v>0.0</v>
      </c>
      <c r="O2" s="9">
        <f>(D2-F2)*3600</f>
        <v>3327.2787746819167</v>
      </c>
    </row>
    <row r="3" spans="1:19">
      <c r="A3" s="5">
        <v>43650.54166666666</v>
      </c>
      <c r="B3" s="6">
        <v>1.4000006</v>
      </c>
      <c r="C3" s="6">
        <v>0</v>
      </c>
      <c r="D3" s="6">
        <v>1.819</v>
      </c>
      <c r="E3" s="6">
        <v>1094.886227419776</v>
      </c>
      <c r="F3" s="6">
        <v>0.950083106748054</v>
      </c>
      <c r="G3" s="9">
        <f>D3*3600</f>
        <v>6548.4</v>
      </c>
      <c r="H3" s="7">
        <f>D3*E3*3600/1000000</f>
        <v>7.169752971635661</v>
      </c>
      <c r="I3" t="str">
        <f>IF(A3&lt;=$R$8,"asc","desc")</f>
        <v>asc</v>
      </c>
      <c r="J3" s="7">
        <f>w1_DBT5*B3+(1-w1_DBT5)*C3</f>
        <v>0.4302610829741267</v>
      </c>
      <c r="K3" s="7">
        <f>SUM(J$2:J3)</f>
        <v>2.785342173462002</v>
      </c>
      <c r="L3" s="10">
        <f>IF(K3&lt;=$R$4*$R$5,0,(K3-$R$4*$R$5)^2/(K3+(1-$R$4)*$R$5))</f>
        <v>0.0</v>
      </c>
      <c r="M3" s="10">
        <f>L3-L2</f>
        <v>0.0</v>
      </c>
      <c r="N3" s="10">
        <f>M3/10</f>
        <v>0.0</v>
      </c>
      <c r="O3" s="9">
        <f>(D3-F3)*3600</f>
        <v>3128.1008157070055</v>
      </c>
      <c r="Q3" t="s">
        <v>132</v>
      </c>
      <c r="R3" s="10">
        <f>w1_DBT5</f>
        <v>0.3073292132689991</v>
      </c>
      <c r="S3" t="s">
        <v>133</v>
      </c>
    </row>
    <row r="4" spans="1:19">
      <c r="A4" s="5">
        <v>43650.58333333334</v>
      </c>
      <c r="B4" s="6">
        <v>0</v>
      </c>
      <c r="C4" s="6">
        <v>1</v>
      </c>
      <c r="D4" s="6">
        <v>2.589</v>
      </c>
      <c r="E4" s="6">
        <v>1178.427940203155</v>
      </c>
      <c r="F4" s="6">
        <v>0.9641280129728026</v>
      </c>
      <c r="G4" s="9">
        <f>D4*3600</f>
        <v>9320.4</v>
      </c>
      <c r="H4" s="7">
        <f>D4*E4*3600/1000000</f>
        <v>10.983419773869487</v>
      </c>
      <c r="I4" t="str">
        <f>IF(A4&lt;=$R$8,"asc","desc")</f>
        <v>asc</v>
      </c>
      <c r="J4" s="7">
        <f>w1_DBT5*B4+(1-w1_DBT5)*C4</f>
        <v>0.6926707867310009</v>
      </c>
      <c r="K4" s="7">
        <f>SUM(J$2:J4)</f>
        <v>3.478012960193003</v>
      </c>
      <c r="L4" s="10">
        <f>IF(K4&lt;=$R$4*$R$5,0,(K4-$R$4*$R$5)^2/(K4+(1-$R$4)*$R$5))</f>
        <v>0.0</v>
      </c>
      <c r="M4" s="10">
        <f>L4-L3</f>
        <v>0.0</v>
      </c>
      <c r="N4" s="10">
        <f>M4/10</f>
        <v>0.0</v>
      </c>
      <c r="O4" s="9">
        <f>(D4-F4)*3600</f>
        <v>5849.539153297911</v>
      </c>
      <c r="Q4" t="s">
        <v>134</v>
      </c>
      <c r="R4" s="11">
        <v>0.05</v>
      </c>
      <c r="S4" t="s">
        <v>135</v>
      </c>
    </row>
    <row r="5" spans="1:19">
      <c r="A5" s="5">
        <v>43650.625</v>
      </c>
      <c r="B5" s="6">
        <v>3.1999998</v>
      </c>
      <c r="C5" s="6">
        <v>9.400001</v>
      </c>
      <c r="D5" s="6">
        <v>2.049</v>
      </c>
      <c r="E5" s="6">
        <v>1171.427524553472</v>
      </c>
      <c r="F5" s="6">
        <v>0.9717679988719481</v>
      </c>
      <c r="G5" s="9">
        <f>D5*3600</f>
        <v>7376.4</v>
      </c>
      <c r="H5" s="7">
        <f>D5*E5*3600/1000000</f>
        <v>8.640917992116231</v>
      </c>
      <c r="I5" t="str">
        <f>IF(A5&lt;=$R$8,"asc","desc")</f>
        <v>asc</v>
      </c>
      <c r="J5" s="7">
        <f>w1_DBT5*B5+(1-w1_DBT5)*C5</f>
        <v>7.494559508937149</v>
      </c>
      <c r="K5" s="7">
        <f>SUM(J$2:J5)</f>
        <v>10.972572469130153</v>
      </c>
      <c r="L5" s="10">
        <f>IF(K5&lt;=$R$4*$R$5,0,(K5-$R$4*$R$5)^2/(K5+(1-$R$4)*$R$5))</f>
        <v>0.0</v>
      </c>
      <c r="M5" s="10">
        <f>L5-L4</f>
        <v>0.0</v>
      </c>
      <c r="N5" s="10">
        <f>M5/10</f>
        <v>0.0</v>
      </c>
      <c r="O5" s="9">
        <f>(D5-F5)*3600</f>
        <v>3878.0352040609864</v>
      </c>
      <c r="Q5" t="s">
        <v>136</v>
      </c>
      <c r="R5" s="11">
        <v>255.6940519793426</v>
      </c>
      <c r="S5" t="s">
        <v>137</v>
      </c>
    </row>
    <row r="6" spans="1:19">
      <c r="A6" s="5">
        <v>43650.66666666666</v>
      </c>
      <c r="B6" s="6">
        <v>11.8</v>
      </c>
      <c r="C6" s="6">
        <v>7.799999</v>
      </c>
      <c r="D6" s="6">
        <v>2.723</v>
      </c>
      <c r="E6" s="6">
        <v>1332.182177197374</v>
      </c>
      <c r="F6" s="6">
        <v>0.9869900427764204</v>
      </c>
      <c r="G6" s="9">
        <f>D6*3600</f>
        <v>9802.8</v>
      </c>
      <c r="H6" s="7">
        <f>D6*E6*3600/1000000</f>
        <v>13.059115446630416</v>
      </c>
      <c r="I6" t="str">
        <f>IF(A6&lt;=$R$8,"asc","desc")</f>
        <v>asc</v>
      </c>
      <c r="J6" s="7">
        <f>w1_DBT5*B6+(1-w1_DBT5)*C6</f>
        <v>9.029316160405209</v>
      </c>
      <c r="K6" s="7">
        <f>SUM(J$2:J6)</f>
        <v>20.00188862953536</v>
      </c>
      <c r="L6" s="10">
        <f>IF(K6&lt;=$R$4*$R$5,0,(K6-$R$4*$R$5)^2/(K6+(1-$R$4)*$R$5))</f>
        <v>0.19811923824216934</v>
      </c>
      <c r="M6" s="10">
        <f>L6-L5</f>
        <v>0.19811923824216934</v>
      </c>
      <c r="N6" s="10">
        <f>M6/10</f>
        <v>0.019811923824216933</v>
      </c>
      <c r="O6" s="9">
        <f>(D6-F6)*3600</f>
        <v>6249.635846004886</v>
      </c>
    </row>
    <row r="7" spans="1:19">
      <c r="A7" s="5">
        <v>43650.70833333334</v>
      </c>
      <c r="B7" s="6">
        <v>1.7999992</v>
      </c>
      <c r="C7" s="6">
        <v>1.7999992</v>
      </c>
      <c r="D7" s="6">
        <v>2.242</v>
      </c>
      <c r="E7" s="6">
        <v>2485.579273701457</v>
      </c>
      <c r="F7" s="6">
        <v>0.9964625519107149</v>
      </c>
      <c r="G7" s="9">
        <f>D7*3600</f>
        <v>8071.2</v>
      </c>
      <c r="H7" s="7">
        <f>D7*E7*3600/1000000</f>
        <v>20.0616074338992</v>
      </c>
      <c r="I7" t="str">
        <f>IF(A7&lt;=$R$8,"asc","desc")</f>
        <v>asc</v>
      </c>
      <c r="J7" s="7">
        <f>w1_DBT5*B7+(1-w1_DBT5)*C7</f>
        <v>1.7999992000000002</v>
      </c>
      <c r="K7" s="7">
        <f>SUM(J$2:J7)</f>
        <v>21.80188782953536</v>
      </c>
      <c r="L7" s="10">
        <f>IF(K7&lt;=$R$4*$R$5,0,(K7-$R$4*$R$5)^2/(K7+(1-$R$4)*$R$5))</f>
        <v>0.3071634976262865</v>
      </c>
      <c r="M7" s="10">
        <f>L7-L6</f>
        <v>0.10904425938411713</v>
      </c>
      <c r="N7" s="10">
        <f>M7/10</f>
        <v>0.010904425938411713</v>
      </c>
      <c r="O7" s="9">
        <f>(D7-F7)*3600</f>
        <v>4483.9348131214265</v>
      </c>
      <c r="Q7" t="s">
        <v>138</v>
      </c>
      <c r="R7" s="12">
        <f>MAX($D$2:$D$93)</f>
        <v>20.95</v>
      </c>
      <c r="S7" t="s">
        <v>139</v>
      </c>
    </row>
    <row r="8" spans="1:19">
      <c r="A8" s="5">
        <v>43650.75</v>
      </c>
      <c r="B8" s="6">
        <v>2.3999996</v>
      </c>
      <c r="C8" s="6">
        <v>8.799999</v>
      </c>
      <c r="D8" s="6">
        <v>2.318</v>
      </c>
      <c r="E8" s="6">
        <v>2719.150496292305</v>
      </c>
      <c r="F8" s="6">
        <v>1.006648981384386</v>
      </c>
      <c r="G8" s="9">
        <f>D8*3600</f>
        <v>8344.800000000001</v>
      </c>
      <c r="H8" s="7">
        <f>D8*E8*3600/1000000</f>
        <v>22.690767061460026</v>
      </c>
      <c r="I8" t="str">
        <f>IF(A8&lt;=$R$8,"asc","desc")</f>
        <v>asc</v>
      </c>
      <c r="J8" s="7">
        <f>w1_DBT5*B8+(1-w1_DBT5)*C8</f>
        <v>6.833092219475933</v>
      </c>
      <c r="K8" s="7">
        <f>SUM(J$2:J8)</f>
        <v>28.634980049011293</v>
      </c>
      <c r="L8" s="10">
        <f>IF(K8&lt;=$R$4*$R$5,0,(K8-$R$4*$R$5)^2/(K8+(1-$R$4)*$R$5))</f>
        <v>0.9251944084831624</v>
      </c>
      <c r="M8" s="10">
        <f>L8-L7</f>
        <v>0.6180309108568759</v>
      </c>
      <c r="N8" s="10">
        <f>M8/10</f>
        <v>0.061803091085687586</v>
      </c>
      <c r="O8" s="9">
        <f>(D8-F8)*3600</f>
        <v>4720.863667016211</v>
      </c>
      <c r="Q8" t="s">
        <v>140</v>
      </c>
      <c r="R8" s="5">
        <f>INDEX($A$2:$A$93,MATCH(MAX($D$2:$D$93),$D$2:$D$93,0))</f>
        <v>43651.791666666664</v>
      </c>
      <c r="S8" t="s">
        <v>141</v>
      </c>
    </row>
    <row r="9" spans="1:19">
      <c r="A9" s="5">
        <v>43650.79166666666</v>
      </c>
      <c r="B9" s="6">
        <v>5.200001</v>
      </c>
      <c r="C9" s="6">
        <v>4</v>
      </c>
      <c r="D9" s="6">
        <v>6.704</v>
      </c>
      <c r="E9" s="6">
        <v>2432.387635833948</v>
      </c>
      <c r="F9" s="6">
        <v>1.066822452246868</v>
      </c>
      <c r="G9" s="9">
        <f>D9*3600</f>
        <v>24134.399999999998</v>
      </c>
      <c r="H9" s="7">
        <f>D9*E9*3600/1000000</f>
        <v>58.70421615827083</v>
      </c>
      <c r="I9" t="str">
        <f>IF(A9&lt;=$R$8,"asc","desc")</f>
        <v>asc</v>
      </c>
      <c r="J9" s="7">
        <f>w1_DBT5*B9+(1-w1_DBT5)*C9</f>
        <v>4.368795363252012</v>
      </c>
      <c r="K9" s="7">
        <f>SUM(J$2:J9)</f>
        <v>33.00377541226331</v>
      </c>
      <c r="L9" s="10">
        <f>IF(K9&lt;=$R$4*$R$5,0,(K9-$R$4*$R$5)^2/(K9+(1-$R$4)*$R$5))</f>
        <v>1.4816653094578687</v>
      </c>
      <c r="M9" s="10">
        <f>L9-L8</f>
        <v>0.5564709009747063</v>
      </c>
      <c r="N9" s="10">
        <f>M9/10</f>
        <v>0.05564709009747063</v>
      </c>
      <c r="O9" s="9">
        <f>(D9-F9)*3600</f>
        <v>20293.839171911273</v>
      </c>
      <c r="Q9" t="s">
        <v>142</v>
      </c>
      <c r="R9" s="12">
        <f>COUNT($D$2:$D$93)</f>
        <v>92</v>
      </c>
      <c r="S9" t="s">
        <v>143</v>
      </c>
    </row>
    <row r="10" spans="1:19">
      <c r="A10" s="5">
        <v>43650.83333333334</v>
      </c>
      <c r="B10" s="6">
        <v>7.200001</v>
      </c>
      <c r="C10" s="6">
        <v>8.400002000000001</v>
      </c>
      <c r="D10" s="6">
        <v>4.575</v>
      </c>
      <c r="E10" s="6">
        <v>2035.901408335606</v>
      </c>
      <c r="F10" s="6">
        <v>1.101665316067831</v>
      </c>
      <c r="G10" s="9">
        <f>D10*3600</f>
        <v>16470.0</v>
      </c>
      <c r="H10" s="7">
        <f>D10*E10*3600/1000000</f>
        <v>33.53129619528743</v>
      </c>
      <c r="I10" t="str">
        <f>IF(A10&lt;=$R$8,"asc","desc")</f>
        <v>asc</v>
      </c>
      <c r="J10" s="7">
        <f>w1_DBT5*B10+(1-w1_DBT5)*C10</f>
        <v>8.031206636747989</v>
      </c>
      <c r="K10" s="7">
        <f>SUM(J$2:J10)</f>
        <v>41.0349820490113</v>
      </c>
      <c r="L10" s="10">
        <f>IF(K10&lt;=$R$4*$R$5,0,(K10-$R$4*$R$5)^2/(K10+(1-$R$4)*$R$5))</f>
        <v>2.8106857600855446</v>
      </c>
      <c r="M10" s="10">
        <f>L10-L9</f>
        <v>1.329020450627676</v>
      </c>
      <c r="N10" s="10">
        <f>M10/10</f>
        <v>0.1329020450627676</v>
      </c>
      <c r="O10" s="9">
        <f>(D10-F10)*3600</f>
        <v>12504.004862155809</v>
      </c>
      <c r="Q10" t="s">
        <v>144</v>
      </c>
      <c r="R10" s="12">
        <f>SUM($B$2:$B$93)</f>
        <v>62.800003430000004</v>
      </c>
      <c r="S10" t="s">
        <v>145</v>
      </c>
    </row>
    <row r="11" spans="1:19">
      <c r="A11" s="5">
        <v>43650.875</v>
      </c>
      <c r="B11" s="6">
        <v>4</v>
      </c>
      <c r="C11" s="6">
        <v>2.2000008</v>
      </c>
      <c r="D11" s="6">
        <v>4.967</v>
      </c>
      <c r="E11" s="6">
        <v>1725.241505453004</v>
      </c>
      <c r="F11" s="6">
        <v>1.140420046536993</v>
      </c>
      <c r="G11" s="9">
        <f>D11*3600</f>
        <v>17881.199999999997</v>
      </c>
      <c r="H11" s="7">
        <f>D11*E11*3600/1000000</f>
        <v>30.849388407306257</v>
      </c>
      <c r="I11" t="str">
        <f>IF(A11&lt;=$R$8,"asc","desc")</f>
        <v>asc</v>
      </c>
      <c r="J11" s="7">
        <f>w1_DBT5*B11+(1-w1_DBT5)*C11</f>
        <v>2.753193138020828</v>
      </c>
      <c r="K11" s="7">
        <f>SUM(J$2:J11)</f>
        <v>43.788175187032124</v>
      </c>
      <c r="L11" s="10">
        <f>IF(K11&lt;=$R$4*$R$5,0,(K11-$R$4*$R$5)^2/(K11+(1-$R$4)*$R$5))</f>
        <v>3.3527157723780725</v>
      </c>
      <c r="M11" s="10">
        <f>L11-L10</f>
        <v>0.5420300122925279</v>
      </c>
      <c r="N11" s="10">
        <f>M11/10</f>
        <v>0.05420300122925279</v>
      </c>
      <c r="O11" s="9">
        <f>(D11-F11)*3600</f>
        <v>13775.687832466825</v>
      </c>
      <c r="Q11" t="s">
        <v>146</v>
      </c>
      <c r="R11" s="12">
        <f>SUM($C$2:$C$93)</f>
        <v>79.00000218000001</v>
      </c>
      <c r="S11" t="s">
        <v>147</v>
      </c>
    </row>
    <row r="12" spans="1:19">
      <c r="A12" s="5">
        <v>43650.91666666666</v>
      </c>
      <c r="B12" s="6">
        <v>3.3999977</v>
      </c>
      <c r="C12" s="6">
        <v>7.799999</v>
      </c>
      <c r="D12" s="6">
        <v>8.31</v>
      </c>
      <c r="E12" s="6">
        <v>1649.681636411291</v>
      </c>
      <c r="F12" s="6">
        <v>1.216767235832829</v>
      </c>
      <c r="G12" s="9">
        <f>D12*3600</f>
        <v>29916.0</v>
      </c>
      <c r="H12" s="7">
        <f>D12*E12*3600/1000000</f>
        <v>49.35187583488018</v>
      </c>
      <c r="I12" t="str">
        <f>IF(A12&lt;=$R$8,"asc","desc")</f>
        <v>asc</v>
      </c>
      <c r="J12" s="7">
        <f>w1_DBT5*B12+(1-w1_DBT5)*C12</f>
        <v>6.447750062088426</v>
      </c>
      <c r="K12" s="7">
        <f>SUM(J$2:J12)</f>
        <v>50.23592524912055</v>
      </c>
      <c r="L12" s="10">
        <f>IF(K12&lt;=$R$4*$R$5,0,(K12-$R$4*$R$5)^2/(K12+(1-$R$4)*$R$5))</f>
        <v>4.784638196075621</v>
      </c>
      <c r="M12" s="10">
        <f>L12-L11</f>
        <v>1.4319224236975483</v>
      </c>
      <c r="N12" s="10">
        <f>M12/10</f>
        <v>0.14319224236975484</v>
      </c>
      <c r="O12" s="9">
        <f>(D12-F12)*3600</f>
        <v>25535.63795100182</v>
      </c>
      <c r="Q12" t="s">
        <v>148</v>
      </c>
      <c r="R12" s="12">
        <f>SUM($J$2:$J$93)</f>
        <v>74.02126930920373</v>
      </c>
      <c r="S12" t="s">
        <v>149</v>
      </c>
    </row>
    <row r="13" spans="1:19">
      <c r="A13" s="5">
        <v>43650.95833333334</v>
      </c>
      <c r="B13" s="6">
        <v>3.6000023</v>
      </c>
      <c r="C13" s="6">
        <v>0.80000305</v>
      </c>
      <c r="D13" s="6">
        <v>8.769</v>
      </c>
      <c r="E13" s="6">
        <v>1537.377391251143</v>
      </c>
      <c r="F13" s="6">
        <v>1.297112685979856</v>
      </c>
      <c r="G13" s="9">
        <f>D13*3600</f>
        <v>31568.4</v>
      </c>
      <c r="H13" s="7">
        <f>D13*E13*3600/1000000</f>
        <v>48.53254443797258</v>
      </c>
      <c r="I13" t="str">
        <f>IF(A13&lt;=$R$8,"asc","desc")</f>
        <v>asc</v>
      </c>
      <c r="J13" s="7">
        <f>w1_DBT5*B13+(1-w1_DBT5)*C13</f>
        <v>1.6605246166562875</v>
      </c>
      <c r="K13" s="7">
        <f>SUM(J$2:J13)</f>
        <v>51.89644986577684</v>
      </c>
      <c r="L13" s="10">
        <f>IF(K13&lt;=$R$4*$R$5,0,(K13-$R$4*$R$5)^2/(K13+(1-$R$4)*$R$5))</f>
        <v>5.188937185681098</v>
      </c>
      <c r="M13" s="10">
        <f>L13-L12</f>
        <v>0.4042989896054774</v>
      </c>
      <c r="N13" s="10">
        <f>M13/10</f>
        <v>0.04042989896054774</v>
      </c>
      <c r="O13" s="9">
        <f>(D13-F13)*3600</f>
        <v>26898.79433047252</v>
      </c>
      <c r="Q13" t="s">
        <v>150</v>
      </c>
      <c r="R13" s="12">
        <f>SUM($G$2:$G$93)</f>
        <v>2436681.6000000006</v>
      </c>
      <c r="S13" t="s">
        <v>151</v>
      </c>
    </row>
    <row r="14" spans="1:19">
      <c r="A14" s="5">
        <v>43651</v>
      </c>
      <c r="B14" s="6">
        <v>1.3999977</v>
      </c>
      <c r="C14" s="6">
        <v>1.5999985</v>
      </c>
      <c r="D14" s="6">
        <v>10.142</v>
      </c>
      <c r="E14" s="6">
        <v>1399.559829043418</v>
      </c>
      <c r="F14" s="6">
        <v>1.391842496456092</v>
      </c>
      <c r="G14" s="9">
        <f>D14*3600</f>
        <v>36511.2</v>
      </c>
      <c r="H14" s="7">
        <f>D14*E14*3600/1000000</f>
        <v>51.09960883017004</v>
      </c>
      <c r="I14" t="str">
        <f>IF(A14&lt;=$R$8,"asc","desc")</f>
        <v>asc</v>
      </c>
      <c r="J14" s="7">
        <f>w1_DBT5*B14+(1-w1_DBT5)*C14</f>
        <v>1.5385324114828296</v>
      </c>
      <c r="K14" s="7">
        <f>SUM(J$2:J14)</f>
        <v>53.434982277259664</v>
      </c>
      <c r="L14" s="10">
        <f>IF(K14&lt;=$R$4*$R$5,0,(K14-$R$4*$R$5)^2/(K14+(1-$R$4)*$R$5))</f>
        <v>5.5760986845277785</v>
      </c>
      <c r="M14" s="10">
        <f>L14-L13</f>
        <v>0.3871614988466803</v>
      </c>
      <c r="N14" s="10">
        <f>M14/10</f>
        <v>0.038716149884668025</v>
      </c>
      <c r="O14" s="9">
        <f>(D14-F14)*3600</f>
        <v>31500.567012758063</v>
      </c>
      <c r="Q14" t="s">
        <v>152</v>
      </c>
      <c r="R14" s="12">
        <f>SUMIF($I$2:$I$93,"asc",$G$2:$G$93)</f>
        <v>1283688.0</v>
      </c>
      <c r="S14" t="s">
        <v>153</v>
      </c>
    </row>
    <row r="15" spans="1:19">
      <c r="A15" s="5">
        <v>43651.04166666666</v>
      </c>
      <c r="B15" s="6">
        <v>2.2000008</v>
      </c>
      <c r="C15" s="6">
        <v>2.4000015</v>
      </c>
      <c r="D15" s="6">
        <v>10.68</v>
      </c>
      <c r="E15" s="6">
        <v>811.7008738908158</v>
      </c>
      <c r="F15" s="6">
        <v>1.49117286491674</v>
      </c>
      <c r="G15" s="9">
        <f>D15*3600</f>
        <v>38448.0</v>
      </c>
      <c r="H15" s="7">
        <f>D15*E15*3600/1000000</f>
        <v>31.208275199354084</v>
      </c>
      <c r="I15" t="str">
        <f>IF(A15&lt;=$R$8,"asc","desc")</f>
        <v>asc</v>
      </c>
      <c r="J15" s="7">
        <f>w1_DBT5*B15+(1-w1_DBT5)*C15</f>
        <v>2.338535442215751</v>
      </c>
      <c r="K15" s="7">
        <f>SUM(J$2:J15)</f>
        <v>55.773517719475414</v>
      </c>
      <c r="L15" s="10">
        <f>IF(K15&lt;=$R$4*$R$5,0,(K15-$R$4*$R$5)^2/(K15+(1-$R$4)*$R$5))</f>
        <v>6.187292372707254</v>
      </c>
      <c r="M15" s="10">
        <f>L15-L14</f>
        <v>0.6111936881794753</v>
      </c>
      <c r="N15" s="10">
        <f>M15/10</f>
        <v>0.06111936881794753</v>
      </c>
      <c r="O15" s="9">
        <f>(D15-F15)*3600</f>
        <v>33079.777686299734</v>
      </c>
      <c r="Q15" t="s">
        <v>154</v>
      </c>
      <c r="R15" s="12">
        <f>SUMIF($I$2:$I$93,"desc",$G$2:$G$93)</f>
        <v>1152993.6</v>
      </c>
      <c r="S15" t="s">
        <v>155</v>
      </c>
    </row>
    <row r="16" spans="1:19">
      <c r="A16" s="5">
        <v>43651.08333333334</v>
      </c>
      <c r="B16" s="6">
        <v>1.7999992</v>
      </c>
      <c r="C16" s="6">
        <v>7.7999954</v>
      </c>
      <c r="D16" s="6">
        <v>13.691</v>
      </c>
      <c r="E16" s="6">
        <v>1142.143430811638</v>
      </c>
      <c r="F16" s="6">
        <v>1.623307178327277</v>
      </c>
      <c r="G16" s="9">
        <f>D16*3600</f>
        <v>49287.600000000006</v>
      </c>
      <c r="H16" s="7">
        <f>D16*E16*3600/1000000</f>
        <v>56.29350856047169</v>
      </c>
      <c r="I16" t="str">
        <f>IF(A16&lt;=$R$8,"asc","desc")</f>
        <v>asc</v>
      </c>
      <c r="J16" s="7">
        <f>w1_DBT5*B16+(1-w1_DBT5)*C16</f>
        <v>5.956021288237015</v>
      </c>
      <c r="K16" s="7">
        <f>SUM(J$2:J16)</f>
        <v>61.72953900771243</v>
      </c>
      <c r="L16" s="10">
        <f>IF(K16&lt;=$R$4*$R$5,0,(K16-$R$4*$R$5)^2/(K16+(1-$R$4)*$R$5))</f>
        <v>7.863726866108513</v>
      </c>
      <c r="M16" s="10">
        <f>L16-L15</f>
        <v>1.676434493401259</v>
      </c>
      <c r="N16" s="10">
        <f>M16/10</f>
        <v>0.1676434493401259</v>
      </c>
      <c r="O16" s="9">
        <f>(D16-F16)*3600</f>
        <v>43443.694158021804</v>
      </c>
      <c r="Q16" t="s">
        <v>156</v>
      </c>
      <c r="R16" s="12">
        <f>SUM($H$2:$H$93)</f>
        <v>1821.7535060891419</v>
      </c>
      <c r="S16" t="s">
        <v>157</v>
      </c>
    </row>
    <row r="17" spans="1:19">
      <c r="A17" s="5">
        <v>43651.125</v>
      </c>
      <c r="B17" s="6">
        <v>5</v>
      </c>
      <c r="C17" s="6">
        <v>2.2000046</v>
      </c>
      <c r="D17" s="6">
        <v>12.783</v>
      </c>
      <c r="E17" s="6">
        <v>1086.563295918425</v>
      </c>
      <c r="F17" s="6">
        <v>1.742894447877849</v>
      </c>
      <c r="G17" s="9">
        <f>D17*3600</f>
        <v>46018.799999999996</v>
      </c>
      <c r="H17" s="7">
        <f>D17*E17*3600/1000000</f>
        <v>50.00233900221081</v>
      </c>
      <c r="I17" t="str">
        <f>IF(A17&lt;=$R$8,"asc","desc")</f>
        <v>asc</v>
      </c>
      <c r="J17" s="7">
        <f>w1_DBT5*B17+(1-w1_DBT5)*C17</f>
        <v>3.0605249834388166</v>
      </c>
      <c r="K17" s="7">
        <f>SUM(J$2:J17)</f>
        <v>64.79006399115124</v>
      </c>
      <c r="L17" s="10">
        <f>IF(K17&lt;=$R$4*$R$5,0,(K17-$R$4*$R$5)^2/(K17+(1-$R$4)*$R$5))</f>
        <v>8.789609261510353</v>
      </c>
      <c r="M17" s="10">
        <f>L17-L16</f>
        <v>0.9258823954018407</v>
      </c>
      <c r="N17" s="10">
        <f>M17/10</f>
        <v>0.09258823954018407</v>
      </c>
      <c r="O17" s="9">
        <f>(D17-F17)*3600</f>
        <v>39744.37998763974</v>
      </c>
      <c r="Q17" t="s">
        <v>158</v>
      </c>
      <c r="R17" s="12">
        <f>SUMIF($I$2:$I$93,"asc",$H$2:$H$93)</f>
        <v>1239.8364692666387</v>
      </c>
      <c r="S17" t="s">
        <v>159</v>
      </c>
    </row>
    <row r="18" spans="1:19">
      <c r="A18" s="5">
        <v>43651.16666666666</v>
      </c>
      <c r="B18" s="6">
        <v>2</v>
      </c>
      <c r="C18" s="6">
        <v>4.399994</v>
      </c>
      <c r="D18" s="6">
        <v>13.215</v>
      </c>
      <c r="E18" s="6">
        <v>965.1807622013814</v>
      </c>
      <c r="F18" s="6">
        <v>1.865463055405129</v>
      </c>
      <c r="G18" s="9">
        <f>D18*3600</f>
        <v>47574.0</v>
      </c>
      <c r="H18" s="7">
        <f>D18*E18*3600/1000000</f>
        <v>45.91750958096852</v>
      </c>
      <c r="I18" t="str">
        <f>IF(A18&lt;=$R$8,"asc","desc")</f>
        <v>asc</v>
      </c>
      <c r="J18" s="7">
        <f>w1_DBT5*B18+(1-w1_DBT5)*C18</f>
        <v>3.662405732129682</v>
      </c>
      <c r="K18" s="7">
        <f>SUM(J$2:J18)</f>
        <v>68.45246972328093</v>
      </c>
      <c r="L18" s="10">
        <f>IF(K18&lt;=$R$4*$R$5,0,(K18-$R$4*$R$5)^2/(K18+(1-$R$4)*$R$5))</f>
        <v>9.952730574120801</v>
      </c>
      <c r="M18" s="10">
        <f>L18-L17</f>
        <v>1.163121312610448</v>
      </c>
      <c r="N18" s="10">
        <f>M18/10</f>
        <v>0.11631213126104481</v>
      </c>
      <c r="O18" s="9">
        <f>(D18-F18)*3600</f>
        <v>40858.333000541534</v>
      </c>
      <c r="Q18" t="s">
        <v>160</v>
      </c>
      <c r="R18" s="12">
        <f>SUMIF($I$2:$I$93,"desc",$H$2:$H$93)</f>
        <v>581.9170368225031</v>
      </c>
      <c r="S18" t="s">
        <v>161</v>
      </c>
    </row>
    <row r="19" spans="1:19">
      <c r="A19" s="5">
        <v>43651.20833333334</v>
      </c>
      <c r="B19" s="6">
        <v>1.4000015</v>
      </c>
      <c r="C19" s="6">
        <v>0.40000153</v>
      </c>
      <c r="D19" s="6">
        <v>14.092</v>
      </c>
      <c r="E19" s="6">
        <v>843.5853850060153</v>
      </c>
      <c r="F19" s="6">
        <v>1.996052744334624</v>
      </c>
      <c r="G19" s="9">
        <f>D19*3600</f>
        <v>50731.200000000004</v>
      </c>
      <c r="H19" s="7">
        <f>D19*E19*3600/1000000</f>
        <v>42.79609888381716</v>
      </c>
      <c r="I19" t="str">
        <f>IF(A19&lt;=$R$8,"asc","desc")</f>
        <v>asc</v>
      </c>
      <c r="J19" s="7">
        <f>w1_DBT5*B19+(1-w1_DBT5)*C19</f>
        <v>0.7073307340491226</v>
      </c>
      <c r="K19" s="7">
        <f>SUM(J$2:J19)</f>
        <v>69.15980045733005</v>
      </c>
      <c r="L19" s="10">
        <f>IF(K19&lt;=$R$4*$R$5,0,(K19-$R$4*$R$5)^2/(K19+(1-$R$4)*$R$5))</f>
        <v>10.184126371327709</v>
      </c>
      <c r="M19" s="10">
        <f>L19-L18</f>
        <v>0.23139579720690762</v>
      </c>
      <c r="N19" s="10">
        <f>M19/10</f>
        <v>0.02313957972069076</v>
      </c>
      <c r="O19" s="9">
        <f>(D19-F19)*3600</f>
        <v>43545.410120395354</v>
      </c>
    </row>
    <row r="20" spans="1:19">
      <c r="A20" s="5">
        <v>43651.25</v>
      </c>
      <c r="B20" s="6">
        <v>0.40000153</v>
      </c>
      <c r="C20" s="6">
        <v>2.4000015</v>
      </c>
      <c r="D20" s="6">
        <v>16.278</v>
      </c>
      <c r="E20" s="6">
        <v>931.2992981931695</v>
      </c>
      <c r="F20" s="6">
        <v>2.149500550782658</v>
      </c>
      <c r="G20" s="9">
        <f>D20*3600</f>
        <v>58600.799999999996</v>
      </c>
      <c r="H20" s="7">
        <f>D20*E20*3600/1000000</f>
        <v>54.57488391355829</v>
      </c>
      <c r="I20" t="str">
        <f>IF(A20&lt;=$R$8,"asc","desc")</f>
        <v>asc</v>
      </c>
      <c r="J20" s="7">
        <f>w1_DBT5*B20+(1-w1_DBT5)*C20</f>
        <v>1.7853430826818781</v>
      </c>
      <c r="K20" s="7">
        <f>SUM(J$2:J20)</f>
        <v>70.94514354001193</v>
      </c>
      <c r="L20" s="10">
        <f>IF(K20&lt;=$R$4*$R$5,0,(K20-$R$4*$R$5)^2/(K20+(1-$R$4)*$R$5))</f>
        <v>10.777723329628428</v>
      </c>
      <c r="M20" s="10">
        <f>L20-L19</f>
        <v>0.5935969583007186</v>
      </c>
      <c r="N20" s="10">
        <f>M20/10</f>
        <v>0.059359695830071856</v>
      </c>
      <c r="O20" s="9">
        <f>(D20-F20)*3600</f>
        <v>50862.59801718243</v>
      </c>
      <c r="Q20" t="s">
        <v>162</v>
      </c>
      <c r="R20" s="12">
        <f>SUM($F$2:$F$93)*3600</f>
        <v>957727.0616270083</v>
      </c>
      <c r="S20" t="s">
        <v>163</v>
      </c>
    </row>
    <row r="21" spans="1:19">
      <c r="A21" s="5">
        <v>43651.29166666666</v>
      </c>
      <c r="B21" s="6">
        <v>3.4000015</v>
      </c>
      <c r="C21" s="6">
        <v>1.0000015</v>
      </c>
      <c r="D21" s="6">
        <v>15.276</v>
      </c>
      <c r="E21" s="6">
        <v>605.9423783185317</v>
      </c>
      <c r="F21" s="6">
        <v>2.288977355687116</v>
      </c>
      <c r="G21" s="9">
        <f>D21*3600</f>
        <v>54993.6</v>
      </c>
      <c r="H21" s="7">
        <f>D21*E21*3600/1000000</f>
        <v>33.322952776298</v>
      </c>
      <c r="I21" t="str">
        <f>IF(A21&lt;=$R$8,"asc","desc")</f>
        <v>asc</v>
      </c>
      <c r="J21" s="7">
        <f>w1_DBT5*B21+(1-w1_DBT5)*C21</f>
        <v>1.7375916118455978</v>
      </c>
      <c r="K21" s="7">
        <f>SUM(J$2:J21)</f>
        <v>72.68273515185753</v>
      </c>
      <c r="L21" s="10">
        <f>IF(K21&lt;=$R$4*$R$5,0,(K21-$R$4*$R$5)^2/(K21+(1-$R$4)*$R$5))</f>
        <v>11.368391285937593</v>
      </c>
      <c r="M21" s="10">
        <f>L21-L20</f>
        <v>0.590667956309165</v>
      </c>
      <c r="N21" s="10">
        <f>M21/10</f>
        <v>0.059066795630916505</v>
      </c>
      <c r="O21" s="9">
        <f>(D21-F21)*3600</f>
        <v>46753.28151952638</v>
      </c>
      <c r="Q21" t="s">
        <v>164</v>
      </c>
      <c r="R21" s="12">
        <f>SUM($O$2:$O$93)</f>
        <v>1478954.5383729916</v>
      </c>
      <c r="S21" t="s">
        <v>141</v>
      </c>
    </row>
    <row r="22" spans="1:19">
      <c r="A22" s="5">
        <v>43651.33333333334</v>
      </c>
      <c r="B22" s="6">
        <v>1</v>
      </c>
      <c r="C22" s="6">
        <v>0.79999995</v>
      </c>
      <c r="D22" s="6">
        <v>16.11</v>
      </c>
      <c r="E22" s="6">
        <v>380.0712924671073</v>
      </c>
      <c r="F22" s="6">
        <v>2.435706618002626</v>
      </c>
      <c r="G22" s="9">
        <f>D22*3600</f>
        <v>57996.0</v>
      </c>
      <c r="H22" s="7">
        <f>D22*E22*3600/1000000</f>
        <v>22.04261467792235</v>
      </c>
      <c r="I22" t="str">
        <f>IF(A22&lt;=$R$8,"asc","desc")</f>
        <v>asc</v>
      </c>
      <c r="J22" s="7">
        <f>w1_DBT5*B22+(1-w1_DBT5)*C22</f>
        <v>0.8614658080202605</v>
      </c>
      <c r="K22" s="7">
        <f>SUM(J$2:J22)</f>
        <v>73.54420095987778</v>
      </c>
      <c r="L22" s="10">
        <f>IF(K22&lt;=$R$4*$R$5,0,(K22-$R$4*$R$5)^2/(K22+(1-$R$4)*$R$5))</f>
        <v>11.665903691395284</v>
      </c>
      <c r="M22" s="10">
        <f>L22-L21</f>
        <v>0.29751240545769164</v>
      </c>
      <c r="N22" s="10">
        <f>M22/10</f>
        <v>0.029751240545769164</v>
      </c>
      <c r="O22" s="9">
        <f>(D22-F22)*3600</f>
        <v>49227.45617519054</v>
      </c>
      <c r="Q22" t="s">
        <v>165</v>
      </c>
      <c r="R22" s="8">
        <f>R20/R13</f>
        <v>0.39304563289147343</v>
      </c>
      <c r="S22" t="s">
        <v>166</v>
      </c>
    </row>
    <row r="23" spans="1:19">
      <c r="A23" s="5">
        <v>43651.375</v>
      </c>
      <c r="B23" s="6">
        <v>0</v>
      </c>
      <c r="C23" s="6">
        <v>0.20000005</v>
      </c>
      <c r="D23" s="6">
        <v>15.414</v>
      </c>
      <c r="E23" s="6">
        <v>597.6448352182249</v>
      </c>
      <c r="F23" s="6">
        <v>2.57207402126701</v>
      </c>
      <c r="G23" s="9">
        <f>D23*3600</f>
        <v>55490.4</v>
      </c>
      <c r="H23" s="7">
        <f>D23*E23*3600/1000000</f>
        <v>33.163550964193384</v>
      </c>
      <c r="I23" t="str">
        <f>IF(A23&lt;=$R$8,"asc","desc")</f>
        <v>asc</v>
      </c>
      <c r="J23" s="7">
        <f>w1_DBT5*B23+(1-w1_DBT5)*C23</f>
        <v>0.13853419197973954</v>
      </c>
      <c r="K23" s="7">
        <f>SUM(J$2:J23)</f>
        <v>73.68273515185753</v>
      </c>
      <c r="L23" s="10">
        <f>IF(K23&lt;=$R$4*$R$5,0,(K23-$R$4*$R$5)^2/(K23+(1-$R$4)*$R$5))</f>
        <v>11.71403376774987</v>
      </c>
      <c r="M23" s="10">
        <f>L23-L22</f>
        <v>0.04813007635458533</v>
      </c>
      <c r="N23" s="10">
        <f>M23/10</f>
        <v>0.004813007635458532</v>
      </c>
      <c r="O23" s="9">
        <f>(D23-F23)*3600</f>
        <v>46230.93352343876</v>
      </c>
    </row>
    <row r="24" spans="1:19">
      <c r="A24" s="5">
        <v>43651.41666666666</v>
      </c>
      <c r="B24" s="6">
        <v>0</v>
      </c>
      <c r="C24" s="6">
        <v>0</v>
      </c>
      <c r="D24" s="6">
        <v>15.414</v>
      </c>
      <c r="E24" s="6">
        <v>636.8066089405414</v>
      </c>
      <c r="F24" s="6">
        <v>2.706208024213919</v>
      </c>
      <c r="G24" s="9">
        <f>D24*3600</f>
        <v>55490.4</v>
      </c>
      <c r="H24" s="7">
        <f>D24*E24*3600/1000000</f>
        <v>35.33665345275421</v>
      </c>
      <c r="I24" t="str">
        <f>IF(A24&lt;=$R$8,"asc","desc")</f>
        <v>asc</v>
      </c>
      <c r="J24" s="7">
        <f>w1_DBT5*B24+(1-w1_DBT5)*C24</f>
        <v>0.0</v>
      </c>
      <c r="K24" s="7">
        <f>SUM(J$2:J24)</f>
        <v>73.68273515185753</v>
      </c>
      <c r="L24" s="10">
        <f>IF(K24&lt;=$R$4*$R$5,0,(K24-$R$4*$R$5)^2/(K24+(1-$R$4)*$R$5))</f>
        <v>11.71403376774987</v>
      </c>
      <c r="M24" s="10">
        <f>L24-L23</f>
        <v>0.0</v>
      </c>
      <c r="N24" s="10">
        <f>M24/10</f>
        <v>0.0</v>
      </c>
      <c r="O24" s="9">
        <f>(D24-F24)*3600</f>
        <v>45748.05111282989</v>
      </c>
      <c r="Q24" t="s">
        <v>167</v>
      </c>
      <c r="R24" s="12">
        <f>K93</f>
        <v>74.02126930920373</v>
      </c>
      <c r="S24" t="s">
        <v>141</v>
      </c>
    </row>
    <row r="25" spans="1:19">
      <c r="A25" s="5">
        <v>43651.45833333334</v>
      </c>
      <c r="B25" s="6">
        <v>0</v>
      </c>
      <c r="C25" s="6">
        <v>0</v>
      </c>
      <c r="D25" s="6">
        <v>14.919</v>
      </c>
      <c r="E25" s="6">
        <v>675.3653751984139</v>
      </c>
      <c r="F25" s="6">
        <v>2.832484884255422</v>
      </c>
      <c r="G25" s="9">
        <f>D25*3600</f>
        <v>53708.4</v>
      </c>
      <c r="H25" s="7">
        <f>D25*E25*3600/1000000</f>
        <v>36.272793717306484</v>
      </c>
      <c r="I25" t="str">
        <f>IF(A25&lt;=$R$8,"asc","desc")</f>
        <v>asc</v>
      </c>
      <c r="J25" s="7">
        <f>w1_DBT5*B25+(1-w1_DBT5)*C25</f>
        <v>0.0</v>
      </c>
      <c r="K25" s="7">
        <f>SUM(J$2:J25)</f>
        <v>73.68273515185753</v>
      </c>
      <c r="L25" s="10">
        <f>IF(K25&lt;=$R$4*$R$5,0,(K25-$R$4*$R$5)^2/(K25+(1-$R$4)*$R$5))</f>
        <v>11.71403376774987</v>
      </c>
      <c r="M25" s="10">
        <f>L25-L24</f>
        <v>0.0</v>
      </c>
      <c r="N25" s="10">
        <f>M25/10</f>
        <v>0.0</v>
      </c>
      <c r="O25" s="9">
        <f>(D25-F25)*3600</f>
        <v>43511.454416680484</v>
      </c>
      <c r="Q25" t="s">
        <v>168</v>
      </c>
      <c r="R25" s="12">
        <f>L93</f>
        <v>11.831981138212937</v>
      </c>
      <c r="S25" t="s">
        <v>169</v>
      </c>
    </row>
    <row r="26" spans="1:19">
      <c r="A26" s="5">
        <v>43651.5</v>
      </c>
      <c r="B26" s="6">
        <v>0</v>
      </c>
      <c r="C26" s="6">
        <v>0</v>
      </c>
      <c r="D26" s="6">
        <v>14.646</v>
      </c>
      <c r="E26" s="6">
        <v>645.6518126781084</v>
      </c>
      <c r="F26" s="6">
        <v>2.953571852357079</v>
      </c>
      <c r="G26" s="9">
        <f>D26*3600</f>
        <v>52725.600000000006</v>
      </c>
      <c r="H26" s="7">
        <f>D26*E26*3600/1000000</f>
        <v>34.042379214540865</v>
      </c>
      <c r="I26" t="str">
        <f>IF(A26&lt;=$R$8,"asc","desc")</f>
        <v>asc</v>
      </c>
      <c r="J26" s="7">
        <f>w1_DBT5*B26+(1-w1_DBT5)*C26</f>
        <v>0.0</v>
      </c>
      <c r="K26" s="7">
        <f>SUM(J$2:J26)</f>
        <v>73.68273515185753</v>
      </c>
      <c r="L26" s="10">
        <f>IF(K26&lt;=$R$4*$R$5,0,(K26-$R$4*$R$5)^2/(K26+(1-$R$4)*$R$5))</f>
        <v>11.71403376774987</v>
      </c>
      <c r="M26" s="10">
        <f>L26-L25</f>
        <v>0.0</v>
      </c>
      <c r="N26" s="10">
        <f>M26/10</f>
        <v>0.0</v>
      </c>
      <c r="O26" s="9">
        <f>(D26-F26)*3600</f>
        <v>42092.74133151452</v>
      </c>
      <c r="Q26" t="s">
        <v>170</v>
      </c>
      <c r="R26" s="12">
        <f>R25/1000*138*1000000</f>
        <v>1632813.3970733853</v>
      </c>
      <c r="S26" t="s">
        <v>171</v>
      </c>
    </row>
    <row r="27" spans="1:19">
      <c r="A27" s="5">
        <v>43651.54166666666</v>
      </c>
      <c r="B27" s="6">
        <v>0</v>
      </c>
      <c r="C27" s="6">
        <v>0</v>
      </c>
      <c r="D27" s="6">
        <v>14.619</v>
      </c>
      <c r="E27" s="6">
        <v>700.7618537126131</v>
      </c>
      <c r="F27" s="6">
        <v>3.072366935534161</v>
      </c>
      <c r="G27" s="9">
        <f>D27*3600</f>
        <v>52628.4</v>
      </c>
      <c r="H27" s="7">
        <f>D27*E27*3600/1000000</f>
        <v>36.87997514192889</v>
      </c>
      <c r="I27" t="str">
        <f>IF(A27&lt;=$R$8,"asc","desc")</f>
        <v>asc</v>
      </c>
      <c r="J27" s="7">
        <f>w1_DBT5*B27+(1-w1_DBT5)*C27</f>
        <v>0.0</v>
      </c>
      <c r="K27" s="7">
        <f>SUM(J$2:J27)</f>
        <v>73.68273515185753</v>
      </c>
      <c r="L27" s="10">
        <f>IF(K27&lt;=$R$4*$R$5,0,(K27-$R$4*$R$5)^2/(K27+(1-$R$4)*$R$5))</f>
        <v>11.71403376774987</v>
      </c>
      <c r="M27" s="10">
        <f>L27-L26</f>
        <v>0.0</v>
      </c>
      <c r="N27" s="10">
        <f>M27/10</f>
        <v>0.0</v>
      </c>
      <c r="O27" s="9">
        <f>(D27-F27)*3600</f>
        <v>41567.87903207702</v>
      </c>
    </row>
    <row r="28" spans="1:19">
      <c r="A28" s="5">
        <v>43651.58333333334</v>
      </c>
      <c r="B28" s="6">
        <v>0</v>
      </c>
      <c r="C28" s="6">
        <v>0</v>
      </c>
      <c r="D28" s="6">
        <v>15.359</v>
      </c>
      <c r="E28" s="6">
        <v>753.484917739045</v>
      </c>
      <c r="F28" s="6">
        <v>3.197678308363132</v>
      </c>
      <c r="G28" s="9">
        <f>D28*3600</f>
        <v>55292.4</v>
      </c>
      <c r="H28" s="7">
        <f>D28*E28*3600/1000000</f>
        <v>41.661989465594374</v>
      </c>
      <c r="I28" t="str">
        <f>IF(A28&lt;=$R$8,"asc","desc")</f>
        <v>asc</v>
      </c>
      <c r="J28" s="7">
        <f>w1_DBT5*B28+(1-w1_DBT5)*C28</f>
        <v>0.0</v>
      </c>
      <c r="K28" s="7">
        <f>SUM(J$2:J28)</f>
        <v>73.68273515185753</v>
      </c>
      <c r="L28" s="10">
        <f>IF(K28&lt;=$R$4*$R$5,0,(K28-$R$4*$R$5)^2/(K28+(1-$R$4)*$R$5))</f>
        <v>11.71403376774987</v>
      </c>
      <c r="M28" s="10">
        <f>L28-L27</f>
        <v>0.0</v>
      </c>
      <c r="N28" s="10">
        <f>M28/10</f>
        <v>0.0</v>
      </c>
      <c r="O28" s="9">
        <f>(D28-F28)*3600</f>
        <v>43780.758089892726</v>
      </c>
      <c r="Q28" s="3" t="s">
        <v>172</v>
      </c>
    </row>
    <row r="29" spans="1:19">
      <c r="A29" s="5">
        <v>43651.625</v>
      </c>
      <c r="B29" s="6">
        <v>0</v>
      </c>
      <c r="C29" s="6">
        <v>0</v>
      </c>
      <c r="D29" s="6">
        <v>16.32</v>
      </c>
      <c r="E29" s="6">
        <v>741.7060869026844</v>
      </c>
      <c r="F29" s="6">
        <v>3.331926381376042</v>
      </c>
      <c r="G29" s="9">
        <f>D29*3600</f>
        <v>58752.0</v>
      </c>
      <c r="H29" s="7">
        <f>D29*E29*3600/1000000</f>
        <v>43.57671601770652</v>
      </c>
      <c r="I29" t="str">
        <f>IF(A29&lt;=$R$8,"asc","desc")</f>
        <v>asc</v>
      </c>
      <c r="J29" s="7">
        <f>w1_DBT5*B29+(1-w1_DBT5)*C29</f>
        <v>0.0</v>
      </c>
      <c r="K29" s="7">
        <f>SUM(J$2:J29)</f>
        <v>73.68273515185753</v>
      </c>
      <c r="L29" s="10">
        <f>IF(K29&lt;=$R$4*$R$5,0,(K29-$R$4*$R$5)^2/(K29+(1-$R$4)*$R$5))</f>
        <v>11.71403376774987</v>
      </c>
      <c r="M29" s="10">
        <f>L29-L28</f>
        <v>0.0</v>
      </c>
      <c r="N29" s="10">
        <f>M29/10</f>
        <v>0.0</v>
      </c>
      <c r="O29" s="9">
        <f>(D29-F29)*3600</f>
        <v>46757.06502704625</v>
      </c>
      <c r="Q29" s="13" t="s">
        <v>173</v>
      </c>
      <c r="R29" s="13"/>
      <c r="S29" s="13"/>
    </row>
    <row r="30" spans="1:19">
      <c r="A30" s="5">
        <v>43651.66666666666</v>
      </c>
      <c r="B30" s="6">
        <v>0</v>
      </c>
      <c r="C30" s="6">
        <v>0</v>
      </c>
      <c r="D30" s="6">
        <v>17.948</v>
      </c>
      <c r="E30" s="6">
        <v>968.2458021259417</v>
      </c>
      <c r="F30" s="6">
        <v>3.482591930288783</v>
      </c>
      <c r="G30" s="9">
        <f>D30*3600</f>
        <v>64612.8</v>
      </c>
      <c r="H30" s="7">
        <f>D30*E30*3600/1000000</f>
        <v>62.56107236360305</v>
      </c>
      <c r="I30" t="str">
        <f>IF(A30&lt;=$R$8,"asc","desc")</f>
        <v>asc</v>
      </c>
      <c r="J30" s="7">
        <f>w1_DBT5*B30+(1-w1_DBT5)*C30</f>
        <v>0.0</v>
      </c>
      <c r="K30" s="7">
        <f>SUM(J$2:J30)</f>
        <v>73.68273515185753</v>
      </c>
      <c r="L30" s="10">
        <f>IF(K30&lt;=$R$4*$R$5,0,(K30-$R$4*$R$5)^2/(K30+(1-$R$4)*$R$5))</f>
        <v>11.71403376774987</v>
      </c>
      <c r="M30" s="10">
        <f>L30-L29</f>
        <v>0.0</v>
      </c>
      <c r="N30" s="10">
        <f>M30/10</f>
        <v>0.0</v>
      </c>
      <c r="O30" s="9">
        <f>(D30-F30)*3600</f>
        <v>52075.46905096038</v>
      </c>
      <c r="Q30" s="13"/>
      <c r="R30" s="13"/>
      <c r="S30" s="13"/>
    </row>
    <row r="31" spans="1:19">
      <c r="A31" s="5">
        <v>43651.70833333334</v>
      </c>
      <c r="B31" s="6">
        <v>0</v>
      </c>
      <c r="C31" s="6">
        <v>0</v>
      </c>
      <c r="D31" s="6">
        <v>19.416</v>
      </c>
      <c r="E31" s="6">
        <v>1065.08648986461</v>
      </c>
      <c r="F31" s="6">
        <v>3.647576474047217</v>
      </c>
      <c r="G31" s="9">
        <f>D31*3600</f>
        <v>69897.6</v>
      </c>
      <c r="H31" s="7">
        <f>D31*E31*3600/1000000</f>
        <v>74.44698943396057</v>
      </c>
      <c r="I31" t="str">
        <f>IF(A31&lt;=$R$8,"asc","desc")</f>
        <v>asc</v>
      </c>
      <c r="J31" s="7">
        <f>w1_DBT5*B31+(1-w1_DBT5)*C31</f>
        <v>0.0</v>
      </c>
      <c r="K31" s="7">
        <f>SUM(J$2:J31)</f>
        <v>73.68273515185753</v>
      </c>
      <c r="L31" s="10">
        <f>IF(K31&lt;=$R$4*$R$5,0,(K31-$R$4*$R$5)^2/(K31+(1-$R$4)*$R$5))</f>
        <v>11.71403376774987</v>
      </c>
      <c r="M31" s="10">
        <f>L31-L30</f>
        <v>0.0</v>
      </c>
      <c r="N31" s="10">
        <f>M31/10</f>
        <v>0.0</v>
      </c>
      <c r="O31" s="9">
        <f>(D31-F31)*3600</f>
        <v>56766.32469343002</v>
      </c>
      <c r="Q31" s="13"/>
      <c r="R31" s="13"/>
      <c r="S31" s="13"/>
    </row>
    <row r="32" spans="1:19">
      <c r="A32" s="5">
        <v>43651.75</v>
      </c>
      <c r="B32" s="6">
        <v>0</v>
      </c>
      <c r="C32" s="6">
        <v>0</v>
      </c>
      <c r="D32" s="6">
        <v>20.374</v>
      </c>
      <c r="E32" s="6">
        <v>1065.08648986461</v>
      </c>
      <c r="F32" s="6">
        <v>3.820813653098562</v>
      </c>
      <c r="G32" s="9">
        <f>D32*3600</f>
        <v>73346.4</v>
      </c>
      <c r="H32" s="7">
        <f>D32*E32*3600/1000000</f>
        <v>78.12025972020562</v>
      </c>
      <c r="I32" t="str">
        <f>IF(A32&lt;=$R$8,"asc","desc")</f>
        <v>asc</v>
      </c>
      <c r="J32" s="7">
        <f>w1_DBT5*B32+(1-w1_DBT5)*C32</f>
        <v>0.0</v>
      </c>
      <c r="K32" s="7">
        <f>SUM(J$2:J32)</f>
        <v>73.68273515185753</v>
      </c>
      <c r="L32" s="10">
        <f>IF(K32&lt;=$R$4*$R$5,0,(K32-$R$4*$R$5)^2/(K32+(1-$R$4)*$R$5))</f>
        <v>11.71403376774987</v>
      </c>
      <c r="M32" s="10">
        <f>L32-L31</f>
        <v>0.0</v>
      </c>
      <c r="N32" s="10">
        <f>M32/10</f>
        <v>0.0</v>
      </c>
      <c r="O32" s="9">
        <f>(D32-F32)*3600</f>
        <v>59591.47084884517</v>
      </c>
      <c r="Q32" s="13"/>
      <c r="R32" s="13"/>
      <c r="S32" s="13"/>
    </row>
    <row r="33" spans="1:19">
      <c r="A33" s="5">
        <v>43651.79166666666</v>
      </c>
      <c r="B33" s="6">
        <v>0</v>
      </c>
      <c r="C33" s="6">
        <v>0</v>
      </c>
      <c r="D33" s="6">
        <v>20.95</v>
      </c>
      <c r="E33" s="6">
        <v>943.6555077627905</v>
      </c>
      <c r="F33" s="6">
        <v>3.997800140530249</v>
      </c>
      <c r="G33" s="9">
        <f>D33*3600</f>
        <v>75420.0</v>
      </c>
      <c r="H33" s="7">
        <f>D33*E33*3600/1000000</f>
        <v>71.17049839546966</v>
      </c>
      <c r="I33" t="str">
        <f>IF(A33&lt;=$R$8,"asc","desc")</f>
        <v>asc</v>
      </c>
      <c r="J33" s="7">
        <f>w1_DBT5*B33+(1-w1_DBT5)*C33</f>
        <v>0.0</v>
      </c>
      <c r="K33" s="7">
        <f>SUM(J$2:J33)</f>
        <v>73.68273515185753</v>
      </c>
      <c r="L33" s="10">
        <f>IF(K33&lt;=$R$4*$R$5,0,(K33-$R$4*$R$5)^2/(K33+(1-$R$4)*$R$5))</f>
        <v>11.71403376774987</v>
      </c>
      <c r="M33" s="10">
        <f>L33-L32</f>
        <v>0.0</v>
      </c>
      <c r="N33" s="10">
        <f>M33/10</f>
        <v>0.0</v>
      </c>
      <c r="O33" s="9">
        <f>(D33-F33)*3600</f>
        <v>61027.919494091104</v>
      </c>
      <c r="Q33" s="13"/>
      <c r="R33" s="13"/>
      <c r="S33" s="13"/>
    </row>
    <row r="34" spans="1:19">
      <c r="A34" s="5">
        <v>43651.83333333334</v>
      </c>
      <c r="B34" s="6">
        <v>0</v>
      </c>
      <c r="C34" s="6">
        <v>0</v>
      </c>
      <c r="D34" s="6">
        <v>20.495</v>
      </c>
      <c r="E34" s="6">
        <v>931.2992981931695</v>
      </c>
      <c r="F34" s="6">
        <v>4.166685054587162</v>
      </c>
      <c r="G34" s="9">
        <f>D34*3600</f>
        <v>73782.0</v>
      </c>
      <c r="H34" s="7">
        <f>D34*E34*3600/1000000</f>
        <v>68.71312481928844</v>
      </c>
      <c r="I34" t="str">
        <f>IF(A34&lt;=$R$8,"asc","desc")</f>
        <v>desc</v>
      </c>
      <c r="J34" s="7">
        <f>w1_DBT5*B34+(1-w1_DBT5)*C34</f>
        <v>0.0</v>
      </c>
      <c r="K34" s="7">
        <f>SUM(J$2:J34)</f>
        <v>73.68273515185753</v>
      </c>
      <c r="L34" s="10">
        <f>IF(K34&lt;=$R$4*$R$5,0,(K34-$R$4*$R$5)^2/(K34+(1-$R$4)*$R$5))</f>
        <v>11.71403376774987</v>
      </c>
      <c r="M34" s="10">
        <f>L34-L33</f>
        <v>0.0</v>
      </c>
      <c r="N34" s="10">
        <f>M34/10</f>
        <v>0.0</v>
      </c>
      <c r="O34" s="9">
        <f>(D34-F34)*3600</f>
        <v>58781.933803486216</v>
      </c>
      <c r="Q34" s="13"/>
      <c r="R34" s="13"/>
      <c r="S34" s="13"/>
    </row>
    <row r="35" spans="1:19">
      <c r="A35" s="5">
        <v>43651.875</v>
      </c>
      <c r="B35" s="6">
        <v>0</v>
      </c>
      <c r="C35" s="6">
        <v>0</v>
      </c>
      <c r="D35" s="6">
        <v>19.878</v>
      </c>
      <c r="E35" s="6">
        <v>779.494816056889</v>
      </c>
      <c r="F35" s="6">
        <v>4.325748612723707</v>
      </c>
      <c r="G35" s="9">
        <f>D35*3600</f>
        <v>71560.8</v>
      </c>
      <c r="H35" s="7">
        <f>D35*E35*3600/1000000</f>
        <v>55.78127263288383</v>
      </c>
      <c r="I35" t="str">
        <f>IF(A35&lt;=$R$8,"asc","desc")</f>
        <v>desc</v>
      </c>
      <c r="J35" s="7">
        <f>w1_DBT5*B35+(1-w1_DBT5)*C35</f>
        <v>0.0</v>
      </c>
      <c r="K35" s="7">
        <f>SUM(J$2:J35)</f>
        <v>73.68273515185753</v>
      </c>
      <c r="L35" s="10">
        <f>IF(K35&lt;=$R$4*$R$5,0,(K35-$R$4*$R$5)^2/(K35+(1-$R$4)*$R$5))</f>
        <v>11.71403376774987</v>
      </c>
      <c r="M35" s="10">
        <f>L35-L34</f>
        <v>0.0</v>
      </c>
      <c r="N35" s="10">
        <f>M35/10</f>
        <v>0.0</v>
      </c>
      <c r="O35" s="9">
        <f>(D35-F35)*3600</f>
        <v>55988.104994194655</v>
      </c>
    </row>
    <row r="36" spans="1:19">
      <c r="A36" s="5">
        <v>43651.91666666666</v>
      </c>
      <c r="B36" s="6">
        <v>0</v>
      </c>
      <c r="C36" s="6">
        <v>0</v>
      </c>
      <c r="D36" s="6">
        <v>19.031</v>
      </c>
      <c r="E36" s="6">
        <v>750.2177417681889</v>
      </c>
      <c r="F36" s="6">
        <v>4.472521619253155</v>
      </c>
      <c r="G36" s="9">
        <f>D36*3600</f>
        <v>68511.59999999999</v>
      </c>
      <c r="H36" s="7">
        <f>D36*E36*3600/1000000</f>
        <v>51.39861783692545</v>
      </c>
      <c r="I36" t="str">
        <f>IF(A36&lt;=$R$8,"asc","desc")</f>
        <v>desc</v>
      </c>
      <c r="J36" s="7">
        <f>w1_DBT5*B36+(1-w1_DBT5)*C36</f>
        <v>0.0</v>
      </c>
      <c r="K36" s="7">
        <f>SUM(J$2:J36)</f>
        <v>73.68273515185753</v>
      </c>
      <c r="L36" s="10">
        <f>IF(K36&lt;=$R$4*$R$5,0,(K36-$R$4*$R$5)^2/(K36+(1-$R$4)*$R$5))</f>
        <v>11.71403376774987</v>
      </c>
      <c r="M36" s="10">
        <f>L36-L35</f>
        <v>0.0</v>
      </c>
      <c r="N36" s="10">
        <f>M36/10</f>
        <v>0.0</v>
      </c>
      <c r="O36" s="9">
        <f>(D36-F36)*3600</f>
        <v>52410.522170688644</v>
      </c>
    </row>
    <row r="37" spans="1:19">
      <c r="A37" s="5">
        <v>43651.95833333334</v>
      </c>
      <c r="B37" s="6">
        <v>0</v>
      </c>
      <c r="C37" s="6">
        <v>0</v>
      </c>
      <c r="D37" s="6">
        <v>17.992</v>
      </c>
      <c r="E37" s="6">
        <v>694.1015607319579</v>
      </c>
      <c r="F37" s="6">
        <v>4.605009848201058</v>
      </c>
      <c r="G37" s="9">
        <f>D37*3600</f>
        <v>64771.200000000004</v>
      </c>
      <c r="H37" s="7">
        <f>D37*E37*3600/1000000</f>
        <v>44.95779101048179</v>
      </c>
      <c r="I37" t="str">
        <f>IF(A37&lt;=$R$8,"asc","desc")</f>
        <v>desc</v>
      </c>
      <c r="J37" s="7">
        <f>w1_DBT5*B37+(1-w1_DBT5)*C37</f>
        <v>0.0</v>
      </c>
      <c r="K37" s="7">
        <f>SUM(J$2:J37)</f>
        <v>73.68273515185753</v>
      </c>
      <c r="L37" s="10">
        <f>IF(K37&lt;=$R$4*$R$5,0,(K37-$R$4*$R$5)^2/(K37+(1-$R$4)*$R$5))</f>
        <v>11.71403376774987</v>
      </c>
      <c r="M37" s="10">
        <f>L37-L36</f>
        <v>0.0</v>
      </c>
      <c r="N37" s="10">
        <f>M37/10</f>
        <v>0.0</v>
      </c>
      <c r="O37" s="9">
        <f>(D37-F37)*3600</f>
        <v>48193.1645464762</v>
      </c>
    </row>
    <row r="38" spans="1:19">
      <c r="A38" s="5">
        <v>43652</v>
      </c>
      <c r="B38" s="6">
        <v>0</v>
      </c>
      <c r="C38" s="6">
        <v>0</v>
      </c>
      <c r="D38" s="6">
        <v>16.914</v>
      </c>
      <c r="E38" s="6">
        <v>714.6965127775145</v>
      </c>
      <c r="F38" s="6">
        <v>4.723001288364688</v>
      </c>
      <c r="G38" s="9">
        <f>D38*3600</f>
        <v>60890.40000000001</v>
      </c>
      <c r="H38" s="7">
        <f>D38*E38*3600/1000000</f>
        <v>43.518156541627974</v>
      </c>
      <c r="I38" t="str">
        <f>IF(A38&lt;=$R$8,"asc","desc")</f>
        <v>desc</v>
      </c>
      <c r="J38" s="7">
        <f>w1_DBT5*B38+(1-w1_DBT5)*C38</f>
        <v>0.0</v>
      </c>
      <c r="K38" s="7">
        <f>SUM(J$2:J38)</f>
        <v>73.68273515185753</v>
      </c>
      <c r="L38" s="10">
        <f>IF(K38&lt;=$R$4*$R$5,0,(K38-$R$4*$R$5)^2/(K38+(1-$R$4)*$R$5))</f>
        <v>11.71403376774987</v>
      </c>
      <c r="M38" s="10">
        <f>L38-L37</f>
        <v>0.0</v>
      </c>
      <c r="N38" s="10">
        <f>M38/10</f>
        <v>0.0</v>
      </c>
      <c r="O38" s="9">
        <f>(D38-F38)*3600</f>
        <v>43887.59536188713</v>
      </c>
    </row>
    <row r="39" spans="1:19">
      <c r="A39" s="5">
        <v>43652.04166666666</v>
      </c>
      <c r="B39" s="6">
        <v>0</v>
      </c>
      <c r="C39" s="6">
        <v>0</v>
      </c>
      <c r="D39" s="6">
        <v>15.802</v>
      </c>
      <c r="E39" s="6">
        <v>667.9686468619948</v>
      </c>
      <c r="F39" s="6">
        <v>4.82634457577957</v>
      </c>
      <c r="G39" s="9">
        <f>D39*3600</f>
        <v>56887.2</v>
      </c>
      <c r="H39" s="7">
        <f>D39*E39*3600/1000000</f>
        <v>37.99886600776767</v>
      </c>
      <c r="I39" t="str">
        <f>IF(A39&lt;=$R$8,"asc","desc")</f>
        <v>desc</v>
      </c>
      <c r="J39" s="7">
        <f>w1_DBT5*B39+(1-w1_DBT5)*C39</f>
        <v>0.0</v>
      </c>
      <c r="K39" s="7">
        <f>SUM(J$2:J39)</f>
        <v>73.68273515185753</v>
      </c>
      <c r="L39" s="10">
        <f>IF(K39&lt;=$R$4*$R$5,0,(K39-$R$4*$R$5)^2/(K39+(1-$R$4)*$R$5))</f>
        <v>11.71403376774987</v>
      </c>
      <c r="M39" s="10">
        <f>L39-L38</f>
        <v>0.0</v>
      </c>
      <c r="N39" s="10">
        <f>M39/10</f>
        <v>0.0</v>
      </c>
      <c r="O39" s="9">
        <f>(D39-F39)*3600</f>
        <v>39512.35952719355</v>
      </c>
    </row>
    <row r="40" spans="1:19">
      <c r="A40" s="5">
        <v>43652.08333333334</v>
      </c>
      <c r="B40" s="6">
        <v>0</v>
      </c>
      <c r="C40" s="6">
        <v>0</v>
      </c>
      <c r="D40" s="6">
        <v>14.484</v>
      </c>
      <c r="E40" s="6">
        <v>637.4881130765698</v>
      </c>
      <c r="F40" s="6">
        <v>4.912924006948855</v>
      </c>
      <c r="G40" s="9">
        <f>D40*3600</f>
        <v>52142.4</v>
      </c>
      <c r="H40" s="7">
        <f>D40*E40*3600/1000000</f>
        <v>33.240160187283735</v>
      </c>
      <c r="I40" t="str">
        <f>IF(A40&lt;=$R$8,"asc","desc")</f>
        <v>desc</v>
      </c>
      <c r="J40" s="7">
        <f>w1_DBT5*B40+(1-w1_DBT5)*C40</f>
        <v>0.0</v>
      </c>
      <c r="K40" s="7">
        <f>SUM(J$2:J40)</f>
        <v>73.68273515185753</v>
      </c>
      <c r="L40" s="10">
        <f>IF(K40&lt;=$R$4*$R$5,0,(K40-$R$4*$R$5)^2/(K40+(1-$R$4)*$R$5))</f>
        <v>11.71403376774987</v>
      </c>
      <c r="M40" s="10">
        <f>L40-L39</f>
        <v>0.0</v>
      </c>
      <c r="N40" s="10">
        <f>M40/10</f>
        <v>0.0</v>
      </c>
      <c r="O40" s="9">
        <f>(D40-F40)*3600</f>
        <v>34455.87357498412</v>
      </c>
    </row>
    <row r="41" spans="1:19">
      <c r="A41" s="5">
        <v>43652.125</v>
      </c>
      <c r="B41" s="6">
        <v>0</v>
      </c>
      <c r="C41" s="6">
        <v>0</v>
      </c>
      <c r="D41" s="6">
        <v>13.149</v>
      </c>
      <c r="E41" s="6">
        <v>687.424989924438</v>
      </c>
      <c r="F41" s="6">
        <v>4.982819742379168</v>
      </c>
      <c r="G41" s="9">
        <f>D41*3600</f>
        <v>47336.399999999994</v>
      </c>
      <c r="H41" s="7">
        <f>D41*E41*3600/1000000</f>
        <v>32.54022429305917</v>
      </c>
      <c r="I41" t="str">
        <f>IF(A41&lt;=$R$8,"asc","desc")</f>
        <v>desc</v>
      </c>
      <c r="J41" s="7">
        <f>w1_DBT5*B41+(1-w1_DBT5)*C41</f>
        <v>0.0</v>
      </c>
      <c r="K41" s="7">
        <f>SUM(J$2:J41)</f>
        <v>73.68273515185753</v>
      </c>
      <c r="L41" s="10">
        <f>IF(K41&lt;=$R$4*$R$5,0,(K41-$R$4*$R$5)^2/(K41+(1-$R$4)*$R$5))</f>
        <v>11.71403376774987</v>
      </c>
      <c r="M41" s="10">
        <f>L41-L40</f>
        <v>0.0</v>
      </c>
      <c r="N41" s="10">
        <f>M41/10</f>
        <v>0.0</v>
      </c>
      <c r="O41" s="9">
        <f>(D41-F41)*3600</f>
        <v>29398.24892743499</v>
      </c>
    </row>
    <row r="42" spans="1:19">
      <c r="A42" s="5">
        <v>43652.16666666666</v>
      </c>
      <c r="B42" s="6">
        <v>0</v>
      </c>
      <c r="C42" s="6">
        <v>0</v>
      </c>
      <c r="D42" s="6">
        <v>11.565</v>
      </c>
      <c r="E42" s="6">
        <v>727.2448138132376</v>
      </c>
      <c r="F42" s="6">
        <v>5.033457711687482</v>
      </c>
      <c r="G42" s="9">
        <f>D42*3600</f>
        <v>41634.0</v>
      </c>
      <c r="H42" s="7">
        <f>D42*E42*3600/1000000</f>
        <v>30.27811057830033</v>
      </c>
      <c r="I42" t="str">
        <f>IF(A42&lt;=$R$8,"asc","desc")</f>
        <v>desc</v>
      </c>
      <c r="J42" s="7">
        <f>w1_DBT5*B42+(1-w1_DBT5)*C42</f>
        <v>0.0</v>
      </c>
      <c r="K42" s="7">
        <f>SUM(J$2:J42)</f>
        <v>73.68273515185753</v>
      </c>
      <c r="L42" s="10">
        <f>IF(K42&lt;=$R$4*$R$5,0,(K42-$R$4*$R$5)^2/(K42+(1-$R$4)*$R$5))</f>
        <v>11.71403376774987</v>
      </c>
      <c r="M42" s="10">
        <f>L42-L41</f>
        <v>0.0</v>
      </c>
      <c r="N42" s="10">
        <f>M42/10</f>
        <v>0.0</v>
      </c>
      <c r="O42" s="9">
        <f>(D42-F42)*3600</f>
        <v>23513.552237925065</v>
      </c>
    </row>
    <row r="43" spans="1:19">
      <c r="A43" s="5">
        <v>43652.20833333334</v>
      </c>
      <c r="B43" s="6">
        <v>0</v>
      </c>
      <c r="C43" s="6">
        <v>0</v>
      </c>
      <c r="D43" s="6">
        <v>10.167</v>
      </c>
      <c r="E43" s="6">
        <v>521.5640297496838</v>
      </c>
      <c r="F43" s="6">
        <v>5.067280223460061</v>
      </c>
      <c r="G43" s="9">
        <f>D43*3600</f>
        <v>36601.2</v>
      </c>
      <c r="H43" s="7">
        <f>D43*E43*3600/1000000</f>
        <v>19.089869365674126</v>
      </c>
      <c r="I43" t="str">
        <f>IF(A43&lt;=$R$8,"asc","desc")</f>
        <v>desc</v>
      </c>
      <c r="J43" s="7">
        <f>w1_DBT5*B43+(1-w1_DBT5)*C43</f>
        <v>0.0</v>
      </c>
      <c r="K43" s="7">
        <f>SUM(J$2:J43)</f>
        <v>73.68273515185753</v>
      </c>
      <c r="L43" s="10">
        <f>IF(K43&lt;=$R$4*$R$5,0,(K43-$R$4*$R$5)^2/(K43+(1-$R$4)*$R$5))</f>
        <v>11.71403376774987</v>
      </c>
      <c r="M43" s="10">
        <f>L43-L42</f>
        <v>0.0</v>
      </c>
      <c r="N43" s="10">
        <f>M43/10</f>
        <v>0.0</v>
      </c>
      <c r="O43" s="9">
        <f>(D43-F43)*3600</f>
        <v>18358.99119554378</v>
      </c>
    </row>
    <row r="44" spans="1:19">
      <c r="A44" s="5">
        <v>43652.25</v>
      </c>
      <c r="B44" s="6">
        <v>0</v>
      </c>
      <c r="C44" s="6">
        <v>0</v>
      </c>
      <c r="D44" s="6">
        <v>8.573</v>
      </c>
      <c r="E44" s="6">
        <v>516.5384388698582</v>
      </c>
      <c r="F44" s="6">
        <v>5.08232141983565</v>
      </c>
      <c r="G44" s="9">
        <f>D44*3600</f>
        <v>30862.800000000003</v>
      </c>
      <c r="H44" s="7">
        <f>D44*E44*3600/1000000</f>
        <v>15.94182253115266</v>
      </c>
      <c r="I44" t="str">
        <f>IF(A44&lt;=$R$8,"asc","desc")</f>
        <v>desc</v>
      </c>
      <c r="J44" s="7">
        <f>w1_DBT5*B44+(1-w1_DBT5)*C44</f>
        <v>0.0</v>
      </c>
      <c r="K44" s="7">
        <f>SUM(J$2:J44)</f>
        <v>73.68273515185753</v>
      </c>
      <c r="L44" s="10">
        <f>IF(K44&lt;=$R$4*$R$5,0,(K44-$R$4*$R$5)^2/(K44+(1-$R$4)*$R$5))</f>
        <v>11.71403376774987</v>
      </c>
      <c r="M44" s="10">
        <f>L44-L43</f>
        <v>0.0</v>
      </c>
      <c r="N44" s="10">
        <f>M44/10</f>
        <v>0.0</v>
      </c>
      <c r="O44" s="9">
        <f>(D44-F44)*3600</f>
        <v>12566.44288859166</v>
      </c>
    </row>
    <row r="45" spans="1:19">
      <c r="A45" s="5">
        <v>43652.29166666666</v>
      </c>
      <c r="B45" s="6">
        <v>0</v>
      </c>
      <c r="C45" s="6">
        <v>0</v>
      </c>
      <c r="D45" s="6">
        <v>7.122</v>
      </c>
      <c r="E45" s="6">
        <v>502.8342325927922</v>
      </c>
      <c r="F45" s="6">
        <v>5.080524101542028</v>
      </c>
      <c r="G45" s="9">
        <f>D45*3600</f>
        <v>25639.2</v>
      </c>
      <c r="H45" s="7">
        <f>D45*E45*3600/1000000</f>
        <v>12.892267456293117</v>
      </c>
      <c r="I45" t="str">
        <f>IF(A45&lt;=$R$8,"asc","desc")</f>
        <v>desc</v>
      </c>
      <c r="J45" s="7">
        <f>w1_DBT5*B45+(1-w1_DBT5)*C45</f>
        <v>0.0</v>
      </c>
      <c r="K45" s="7">
        <f>SUM(J$2:J45)</f>
        <v>73.68273515185753</v>
      </c>
      <c r="L45" s="10">
        <f>IF(K45&lt;=$R$4*$R$5,0,(K45-$R$4*$R$5)^2/(K45+(1-$R$4)*$R$5))</f>
        <v>11.71403376774987</v>
      </c>
      <c r="M45" s="10">
        <f>L45-L44</f>
        <v>0.0</v>
      </c>
      <c r="N45" s="10">
        <f>M45/10</f>
        <v>0.0</v>
      </c>
      <c r="O45" s="9">
        <f>(D45-F45)*3600</f>
        <v>7349.313234448699</v>
      </c>
    </row>
    <row r="46" spans="1:19">
      <c r="A46" s="5">
        <v>43652.33333333334</v>
      </c>
      <c r="B46" s="6">
        <v>0</v>
      </c>
      <c r="C46" s="6">
        <v>0</v>
      </c>
      <c r="D46" s="6">
        <v>6.086</v>
      </c>
      <c r="E46" s="6">
        <v>448.5097750987277</v>
      </c>
      <c r="F46" s="6">
        <v>5.0669095681699</v>
      </c>
      <c r="G46" s="9">
        <f>D46*3600</f>
        <v>21909.600000000002</v>
      </c>
      <c r="H46" s="7">
        <f>D46*E46*3600/1000000</f>
        <v>9.826669768503084</v>
      </c>
      <c r="I46" t="str">
        <f>IF(A46&lt;=$R$8,"asc","desc")</f>
        <v>desc</v>
      </c>
      <c r="J46" s="7">
        <f>w1_DBT5*B46+(1-w1_DBT5)*C46</f>
        <v>0.0</v>
      </c>
      <c r="K46" s="7">
        <f>SUM(J$2:J46)</f>
        <v>73.68273515185753</v>
      </c>
      <c r="L46" s="10">
        <f>IF(K46&lt;=$R$4*$R$5,0,(K46-$R$4*$R$5)^2/(K46+(1-$R$4)*$R$5))</f>
        <v>11.71403376774987</v>
      </c>
      <c r="M46" s="10">
        <f>L46-L45</f>
        <v>0.0</v>
      </c>
      <c r="N46" s="10">
        <f>M46/10</f>
        <v>0.0</v>
      </c>
      <c r="O46" s="9">
        <f>(D46-F46)*3600</f>
        <v>3668.72555458836</v>
      </c>
    </row>
    <row r="47" spans="1:19">
      <c r="A47" s="5">
        <v>43652.375</v>
      </c>
      <c r="B47" s="6">
        <v>0</v>
      </c>
      <c r="C47" s="6">
        <v>0</v>
      </c>
      <c r="D47" s="6">
        <v>5.507</v>
      </c>
      <c r="E47" s="6">
        <v>386.2752762173127</v>
      </c>
      <c r="F47" s="6">
        <v>5.04689715103068</v>
      </c>
      <c r="G47" s="9">
        <f>D47*3600</f>
        <v>19825.199999999997</v>
      </c>
      <c r="H47" s="7">
        <f>D47*E47*3600/1000000</f>
        <v>7.657984606063468</v>
      </c>
      <c r="I47" t="str">
        <f>IF(A47&lt;=$R$8,"asc","desc")</f>
        <v>desc</v>
      </c>
      <c r="J47" s="7">
        <f>w1_DBT5*B47+(1-w1_DBT5)*C47</f>
        <v>0.0</v>
      </c>
      <c r="K47" s="7">
        <f>SUM(J$2:J47)</f>
        <v>73.68273515185753</v>
      </c>
      <c r="L47" s="10">
        <f>IF(K47&lt;=$R$4*$R$5,0,(K47-$R$4*$R$5)^2/(K47+(1-$R$4)*$R$5))</f>
        <v>11.71403376774987</v>
      </c>
      <c r="M47" s="10">
        <f>L47-L46</f>
        <v>0.0</v>
      </c>
      <c r="N47" s="10">
        <f>M47/10</f>
        <v>0.0</v>
      </c>
      <c r="O47" s="9">
        <f>(D47-F47)*3600</f>
        <v>1656.370256289551</v>
      </c>
    </row>
    <row r="48" spans="1:19">
      <c r="A48" s="5">
        <v>43652.41666666666</v>
      </c>
      <c r="B48" s="6">
        <v>0.2</v>
      </c>
      <c r="C48" s="6">
        <v>0</v>
      </c>
      <c r="D48" s="6">
        <v>5.112</v>
      </c>
      <c r="E48" s="6">
        <v>373.0608931856024</v>
      </c>
      <c r="F48" s="6">
        <v>5.022695671933185</v>
      </c>
      <c r="G48" s="9">
        <f>D48*3600</f>
        <v>18403.2</v>
      </c>
      <c r="H48" s="7">
        <f>D48*E48*3600/1000000</f>
        <v>6.865514229473278</v>
      </c>
      <c r="I48" t="str">
        <f>IF(A48&lt;=$R$8,"asc","desc")</f>
        <v>desc</v>
      </c>
      <c r="J48" s="7">
        <f>w1_DBT5*B48+(1-w1_DBT5)*C48</f>
        <v>0.06146584265379982</v>
      </c>
      <c r="K48" s="7">
        <f>SUM(J$2:J48)</f>
        <v>73.74420099451133</v>
      </c>
      <c r="L48" s="10">
        <f>IF(K48&lt;=$R$4*$R$5,0,(K48-$R$4*$R$5)^2/(K48+(1-$R$4)*$R$5))</f>
        <v>11.735413799203906</v>
      </c>
      <c r="M48" s="10">
        <f>L48-L47</f>
        <v>0.02138003145403644</v>
      </c>
      <c r="N48" s="10">
        <f>M48/10</f>
        <v>0.0021380031454036443</v>
      </c>
      <c r="O48" s="9">
        <f>(D48-F48)*3600</f>
        <v>321.4955810405336</v>
      </c>
    </row>
    <row r="49" spans="1:15">
      <c r="A49" s="5">
        <v>43652.45833333334</v>
      </c>
      <c r="B49" s="6">
        <v>0</v>
      </c>
      <c r="C49" s="6">
        <v>0</v>
      </c>
      <c r="D49" s="6">
        <v>4.794</v>
      </c>
      <c r="E49" s="6">
        <v>304.218923782169</v>
      </c>
      <c r="F49" s="6">
        <v>4.794</v>
      </c>
      <c r="G49" s="9">
        <f>D49*3600</f>
        <v>17258.399999999998</v>
      </c>
      <c r="H49" s="7">
        <f>D49*E49*3600/1000000</f>
        <v>5.2503318742021845</v>
      </c>
      <c r="I49" t="str">
        <f>IF(A49&lt;=$R$8,"asc","desc")</f>
        <v>desc</v>
      </c>
      <c r="J49" s="7">
        <f>w1_DBT5*B49+(1-w1_DBT5)*C49</f>
        <v>0.0</v>
      </c>
      <c r="K49" s="7">
        <f>SUM(J$2:J49)</f>
        <v>73.74420099451133</v>
      </c>
      <c r="L49" s="10">
        <f>IF(K49&lt;=$R$4*$R$5,0,(K49-$R$4*$R$5)^2/(K49+(1-$R$4)*$R$5))</f>
        <v>11.735413799203906</v>
      </c>
      <c r="M49" s="10">
        <f>L49-L48</f>
        <v>0.0</v>
      </c>
      <c r="N49" s="10">
        <f>M49/10</f>
        <v>0.0</v>
      </c>
      <c r="O49" s="9">
        <f>(D49-F49)*3600</f>
        <v>0.0</v>
      </c>
    </row>
    <row r="50" spans="1:15">
      <c r="A50" s="5">
        <v>43652.5</v>
      </c>
      <c r="B50" s="6">
        <v>0</v>
      </c>
      <c r="C50" s="6">
        <v>0</v>
      </c>
      <c r="D50" s="6">
        <v>4.547</v>
      </c>
      <c r="E50" s="6">
        <v>296.7948938244194</v>
      </c>
      <c r="F50" s="6">
        <v>4.547</v>
      </c>
      <c r="G50" s="9">
        <f>D50*3600</f>
        <v>16369.199999999999</v>
      </c>
      <c r="H50" s="7">
        <f>D50*E50*3600/1000000</f>
        <v>4.8582949759906855</v>
      </c>
      <c r="I50" t="str">
        <f>IF(A50&lt;=$R$8,"asc","desc")</f>
        <v>desc</v>
      </c>
      <c r="J50" s="7">
        <f>w1_DBT5*B50+(1-w1_DBT5)*C50</f>
        <v>0.0</v>
      </c>
      <c r="K50" s="7">
        <f>SUM(J$2:J50)</f>
        <v>73.74420099451133</v>
      </c>
      <c r="L50" s="10">
        <f>IF(K50&lt;=$R$4*$R$5,0,(K50-$R$4*$R$5)^2/(K50+(1-$R$4)*$R$5))</f>
        <v>11.735413799203906</v>
      </c>
      <c r="M50" s="10">
        <f>L50-L49</f>
        <v>0.0</v>
      </c>
      <c r="N50" s="10">
        <f>M50/10</f>
        <v>0.0</v>
      </c>
      <c r="O50" s="9">
        <f>(D50-F50)*3600</f>
        <v>0.0</v>
      </c>
    </row>
    <row r="51" spans="1:15">
      <c r="A51" s="5">
        <v>43652.54166666666</v>
      </c>
      <c r="B51" s="6">
        <v>0</v>
      </c>
      <c r="C51" s="6">
        <v>0</v>
      </c>
      <c r="D51" s="6">
        <v>4.36</v>
      </c>
      <c r="E51" s="6">
        <v>302.5731527572462</v>
      </c>
      <c r="F51" s="6">
        <v>4.36</v>
      </c>
      <c r="G51" s="9">
        <f>D51*3600</f>
        <v>15696.000000000002</v>
      </c>
      <c r="H51" s="7">
        <f>D51*E51*3600/1000000</f>
        <v>4.749188205677736</v>
      </c>
      <c r="I51" t="str">
        <f>IF(A51&lt;=$R$8,"asc","desc")</f>
        <v>desc</v>
      </c>
      <c r="J51" s="7">
        <f>w1_DBT5*B51+(1-w1_DBT5)*C51</f>
        <v>0.0</v>
      </c>
      <c r="K51" s="7">
        <f>SUM(J$2:J51)</f>
        <v>73.74420099451133</v>
      </c>
      <c r="L51" s="10">
        <f>IF(K51&lt;=$R$4*$R$5,0,(K51-$R$4*$R$5)^2/(K51+(1-$R$4)*$R$5))</f>
        <v>11.735413799203906</v>
      </c>
      <c r="M51" s="10">
        <f>L51-L50</f>
        <v>0.0</v>
      </c>
      <c r="N51" s="10">
        <f>M51/10</f>
        <v>0.0</v>
      </c>
      <c r="O51" s="9">
        <f>(D51-F51)*3600</f>
        <v>0.0</v>
      </c>
    </row>
    <row r="52" spans="1:15">
      <c r="A52" s="5">
        <v>43652.58333333334</v>
      </c>
      <c r="B52" s="6">
        <v>0</v>
      </c>
      <c r="C52" s="6">
        <v>0</v>
      </c>
      <c r="D52" s="6">
        <v>4.185</v>
      </c>
      <c r="E52" s="6">
        <v>341.4825311771672</v>
      </c>
      <c r="F52" s="6">
        <v>4.185</v>
      </c>
      <c r="G52" s="9">
        <f>D52*3600</f>
        <v>15065.999999999998</v>
      </c>
      <c r="H52" s="7">
        <f>D52*E52*3600/1000000</f>
        <v>5.1447758147152</v>
      </c>
      <c r="I52" t="str">
        <f>IF(A52&lt;=$R$8,"asc","desc")</f>
        <v>desc</v>
      </c>
      <c r="J52" s="7">
        <f>w1_DBT5*B52+(1-w1_DBT5)*C52</f>
        <v>0.0</v>
      </c>
      <c r="K52" s="7">
        <f>SUM(J$2:J52)</f>
        <v>73.74420099451133</v>
      </c>
      <c r="L52" s="10">
        <f>IF(K52&lt;=$R$4*$R$5,0,(K52-$R$4*$R$5)^2/(K52+(1-$R$4)*$R$5))</f>
        <v>11.735413799203906</v>
      </c>
      <c r="M52" s="10">
        <f>L52-L51</f>
        <v>0.0</v>
      </c>
      <c r="N52" s="10">
        <f>M52/10</f>
        <v>0.0</v>
      </c>
      <c r="O52" s="9">
        <f>(D52-F52)*3600</f>
        <v>0.0</v>
      </c>
    </row>
    <row r="53" spans="1:15">
      <c r="A53" s="5">
        <v>43652.625</v>
      </c>
      <c r="B53" s="6">
        <v>0</v>
      </c>
      <c r="C53" s="6">
        <v>0</v>
      </c>
      <c r="D53" s="6">
        <v>4.048</v>
      </c>
      <c r="E53" s="6">
        <v>397.0719330648815</v>
      </c>
      <c r="F53" s="6">
        <v>4.048</v>
      </c>
      <c r="G53" s="9">
        <f>D53*3600</f>
        <v>14572.8</v>
      </c>
      <c r="H53" s="7">
        <f>D53*E53*3600/1000000</f>
        <v>5.786449866167905</v>
      </c>
      <c r="I53" t="str">
        <f>IF(A53&lt;=$R$8,"asc","desc")</f>
        <v>desc</v>
      </c>
      <c r="J53" s="7">
        <f>w1_DBT5*B53+(1-w1_DBT5)*C53</f>
        <v>0.0</v>
      </c>
      <c r="K53" s="7">
        <f>SUM(J$2:J53)</f>
        <v>73.74420099451133</v>
      </c>
      <c r="L53" s="10">
        <f>IF(K53&lt;=$R$4*$R$5,0,(K53-$R$4*$R$5)^2/(K53+(1-$R$4)*$R$5))</f>
        <v>11.735413799203906</v>
      </c>
      <c r="M53" s="10">
        <f>L53-L52</f>
        <v>0.0</v>
      </c>
      <c r="N53" s="10">
        <f>M53/10</f>
        <v>0.0</v>
      </c>
      <c r="O53" s="9">
        <f>(D53-F53)*3600</f>
        <v>0.0</v>
      </c>
    </row>
    <row r="54" spans="1:15">
      <c r="A54" s="5">
        <v>43652.66666666666</v>
      </c>
      <c r="B54" s="6">
        <v>0</v>
      </c>
      <c r="C54" s="6">
        <v>0</v>
      </c>
      <c r="D54" s="6">
        <v>3.913</v>
      </c>
      <c r="E54" s="6">
        <v>376.1807221234505</v>
      </c>
      <c r="F54" s="6">
        <v>3.913</v>
      </c>
      <c r="G54" s="9">
        <f>D54*3600</f>
        <v>14086.8</v>
      </c>
      <c r="H54" s="7">
        <f>D54*E54*3600/1000000</f>
        <v>5.299182596408622</v>
      </c>
      <c r="I54" t="str">
        <f>IF(A54&lt;=$R$8,"asc","desc")</f>
        <v>desc</v>
      </c>
      <c r="J54" s="7">
        <f>w1_DBT5*B54+(1-w1_DBT5)*C54</f>
        <v>0.0</v>
      </c>
      <c r="K54" s="7">
        <f>SUM(J$2:J54)</f>
        <v>73.74420099451133</v>
      </c>
      <c r="L54" s="10">
        <f>IF(K54&lt;=$R$4*$R$5,0,(K54-$R$4*$R$5)^2/(K54+(1-$R$4)*$R$5))</f>
        <v>11.735413799203906</v>
      </c>
      <c r="M54" s="10">
        <f>L54-L53</f>
        <v>0.0</v>
      </c>
      <c r="N54" s="10">
        <f>M54/10</f>
        <v>0.0</v>
      </c>
      <c r="O54" s="9">
        <f>(D54-F54)*3600</f>
        <v>0.0</v>
      </c>
    </row>
    <row r="55" spans="1:15">
      <c r="A55" s="5">
        <v>43652.70833333334</v>
      </c>
      <c r="B55" s="6">
        <v>0</v>
      </c>
      <c r="C55" s="6">
        <v>0</v>
      </c>
      <c r="D55" s="6">
        <v>3.806</v>
      </c>
      <c r="E55" s="6">
        <v>295.9671029449139</v>
      </c>
      <c r="F55" s="6">
        <v>3.806</v>
      </c>
      <c r="G55" s="9">
        <f>D55*3600</f>
        <v>13701.6</v>
      </c>
      <c r="H55" s="7">
        <f>D55*E55*3600/1000000</f>
        <v>4.055222857710032</v>
      </c>
      <c r="I55" t="str">
        <f>IF(A55&lt;=$R$8,"asc","desc")</f>
        <v>desc</v>
      </c>
      <c r="J55" s="7">
        <f>w1_DBT5*B55+(1-w1_DBT5)*C55</f>
        <v>0.0</v>
      </c>
      <c r="K55" s="7">
        <f>SUM(J$2:J55)</f>
        <v>73.74420099451133</v>
      </c>
      <c r="L55" s="10">
        <f>IF(K55&lt;=$R$4*$R$5,0,(K55-$R$4*$R$5)^2/(K55+(1-$R$4)*$R$5))</f>
        <v>11.735413799203906</v>
      </c>
      <c r="M55" s="10">
        <f>L55-L54</f>
        <v>0.0</v>
      </c>
      <c r="N55" s="10">
        <f>M55/10</f>
        <v>0.0</v>
      </c>
      <c r="O55" s="9">
        <f>(D55-F55)*3600</f>
        <v>0.0</v>
      </c>
    </row>
    <row r="56" spans="1:15">
      <c r="A56" s="5">
        <v>43652.75</v>
      </c>
      <c r="B56" s="6">
        <v>0</v>
      </c>
      <c r="C56" s="6">
        <v>0</v>
      </c>
      <c r="D56" s="6">
        <v>3.717</v>
      </c>
      <c r="E56" s="6">
        <v>271.694407085233</v>
      </c>
      <c r="F56" s="6">
        <v>3.717</v>
      </c>
      <c r="G56" s="9">
        <f>D56*3600</f>
        <v>13381.2</v>
      </c>
      <c r="H56" s="7">
        <f>D56*E56*3600/1000000</f>
        <v>3.6355972000889203</v>
      </c>
      <c r="I56" t="str">
        <f>IF(A56&lt;=$R$8,"asc","desc")</f>
        <v>desc</v>
      </c>
      <c r="J56" s="7">
        <f>w1_DBT5*B56+(1-w1_DBT5)*C56</f>
        <v>0.0</v>
      </c>
      <c r="K56" s="7">
        <f>SUM(J$2:J56)</f>
        <v>73.74420099451133</v>
      </c>
      <c r="L56" s="10">
        <f>IF(K56&lt;=$R$4*$R$5,0,(K56-$R$4*$R$5)^2/(K56+(1-$R$4)*$R$5))</f>
        <v>11.735413799203906</v>
      </c>
      <c r="M56" s="10">
        <f>L56-L55</f>
        <v>0.0</v>
      </c>
      <c r="N56" s="10">
        <f>M56/10</f>
        <v>0.0</v>
      </c>
      <c r="O56" s="9">
        <f>(D56-F56)*3600</f>
        <v>0.0</v>
      </c>
    </row>
    <row r="57" spans="1:15">
      <c r="A57" s="5">
        <v>43652.79166666666</v>
      </c>
      <c r="B57" s="6">
        <v>0</v>
      </c>
      <c r="C57" s="6">
        <v>0</v>
      </c>
      <c r="D57" s="6">
        <v>3.612</v>
      </c>
      <c r="E57" s="6">
        <v>309.1427555280974</v>
      </c>
      <c r="F57" s="6">
        <v>3.612</v>
      </c>
      <c r="G57" s="9">
        <f>D57*3600</f>
        <v>13003.2</v>
      </c>
      <c r="H57" s="7">
        <f>D57*E57*3600/1000000</f>
        <v>4.019845078682956</v>
      </c>
      <c r="I57" t="str">
        <f>IF(A57&lt;=$R$8,"asc","desc")</f>
        <v>desc</v>
      </c>
      <c r="J57" s="7">
        <f>w1_DBT5*B57+(1-w1_DBT5)*C57</f>
        <v>0.0</v>
      </c>
      <c r="K57" s="7">
        <f>SUM(J$2:J57)</f>
        <v>73.74420099451133</v>
      </c>
      <c r="L57" s="10">
        <f>IF(K57&lt;=$R$4*$R$5,0,(K57-$R$4*$R$5)^2/(K57+(1-$R$4)*$R$5))</f>
        <v>11.735413799203906</v>
      </c>
      <c r="M57" s="10">
        <f>L57-L56</f>
        <v>0.0</v>
      </c>
      <c r="N57" s="10">
        <f>M57/10</f>
        <v>0.0</v>
      </c>
      <c r="O57" s="9">
        <f>(D57-F57)*3600</f>
        <v>0.0</v>
      </c>
    </row>
    <row r="58" spans="1:15">
      <c r="A58" s="5">
        <v>43652.83333333334</v>
      </c>
      <c r="B58" s="6">
        <v>0</v>
      </c>
      <c r="C58" s="6">
        <v>0</v>
      </c>
      <c r="D58" s="6">
        <v>3.49</v>
      </c>
      <c r="E58" s="6">
        <v>224.9247943526057</v>
      </c>
      <c r="F58" s="6">
        <v>3.49</v>
      </c>
      <c r="G58" s="9">
        <f>D58*3600</f>
        <v>12564.0</v>
      </c>
      <c r="H58" s="7">
        <f>D58*E58*3600/1000000</f>
        <v>2.825955116246138</v>
      </c>
      <c r="I58" t="str">
        <f>IF(A58&lt;=$R$8,"asc","desc")</f>
        <v>desc</v>
      </c>
      <c r="J58" s="7">
        <f>w1_DBT5*B58+(1-w1_DBT5)*C58</f>
        <v>0.0</v>
      </c>
      <c r="K58" s="7">
        <f>SUM(J$2:J58)</f>
        <v>73.74420099451133</v>
      </c>
      <c r="L58" s="10">
        <f>IF(K58&lt;=$R$4*$R$5,0,(K58-$R$4*$R$5)^2/(K58+(1-$R$4)*$R$5))</f>
        <v>11.735413799203906</v>
      </c>
      <c r="M58" s="10">
        <f>L58-L57</f>
        <v>0.0</v>
      </c>
      <c r="N58" s="10">
        <f>M58/10</f>
        <v>0.0</v>
      </c>
      <c r="O58" s="9">
        <f>(D58-F58)*3600</f>
        <v>0.0</v>
      </c>
    </row>
    <row r="59" spans="1:15">
      <c r="A59" s="5">
        <v>43652.875</v>
      </c>
      <c r="B59" s="6">
        <v>0</v>
      </c>
      <c r="C59" s="6">
        <v>0</v>
      </c>
      <c r="D59" s="6">
        <v>3.404</v>
      </c>
      <c r="E59" s="6">
        <v>258.922946057715</v>
      </c>
      <c r="F59" s="6">
        <v>3.404</v>
      </c>
      <c r="G59" s="9">
        <f>D59*3600</f>
        <v>12254.4</v>
      </c>
      <c r="H59" s="7">
        <f>D59*E59*3600/1000000</f>
        <v>3.172945350169663</v>
      </c>
      <c r="I59" t="str">
        <f>IF(A59&lt;=$R$8,"asc","desc")</f>
        <v>desc</v>
      </c>
      <c r="J59" s="7">
        <f>w1_DBT5*B59+(1-w1_DBT5)*C59</f>
        <v>0.0</v>
      </c>
      <c r="K59" s="7">
        <f>SUM(J$2:J59)</f>
        <v>73.74420099451133</v>
      </c>
      <c r="L59" s="10">
        <f>IF(K59&lt;=$R$4*$R$5,0,(K59-$R$4*$R$5)^2/(K59+(1-$R$4)*$R$5))</f>
        <v>11.735413799203906</v>
      </c>
      <c r="M59" s="10">
        <f>L59-L58</f>
        <v>0.0</v>
      </c>
      <c r="N59" s="10">
        <f>M59/10</f>
        <v>0.0</v>
      </c>
      <c r="O59" s="9">
        <f>(D59-F59)*3600</f>
        <v>0.0</v>
      </c>
    </row>
    <row r="60" spans="1:15">
      <c r="A60" s="5">
        <v>43652.91666666666</v>
      </c>
      <c r="B60" s="6">
        <v>0</v>
      </c>
      <c r="C60" s="6">
        <v>0</v>
      </c>
      <c r="D60" s="6">
        <v>3.301</v>
      </c>
      <c r="E60" s="6">
        <v>358.9382101657743</v>
      </c>
      <c r="F60" s="6">
        <v>3.301</v>
      </c>
      <c r="G60" s="9">
        <f>D60*3600</f>
        <v>11883.6</v>
      </c>
      <c r="H60" s="7">
        <f>D60*E60*3600/1000000</f>
        <v>4.265478114325996</v>
      </c>
      <c r="I60" t="str">
        <f>IF(A60&lt;=$R$8,"asc","desc")</f>
        <v>desc</v>
      </c>
      <c r="J60" s="7">
        <f>w1_DBT5*B60+(1-w1_DBT5)*C60</f>
        <v>0.0</v>
      </c>
      <c r="K60" s="7">
        <f>SUM(J$2:J60)</f>
        <v>73.74420099451133</v>
      </c>
      <c r="L60" s="10">
        <f>IF(K60&lt;=$R$4*$R$5,0,(K60-$R$4*$R$5)^2/(K60+(1-$R$4)*$R$5))</f>
        <v>11.735413799203906</v>
      </c>
      <c r="M60" s="10">
        <f>L60-L59</f>
        <v>0.0</v>
      </c>
      <c r="N60" s="10">
        <f>M60/10</f>
        <v>0.0</v>
      </c>
      <c r="O60" s="9">
        <f>(D60-F60)*3600</f>
        <v>0.0</v>
      </c>
    </row>
    <row r="61" spans="1:15">
      <c r="A61" s="5">
        <v>43652.95833333334</v>
      </c>
      <c r="B61" s="6">
        <v>0</v>
      </c>
      <c r="C61" s="6">
        <v>0</v>
      </c>
      <c r="D61" s="6">
        <v>3.208</v>
      </c>
      <c r="E61" s="6">
        <v>341.4825311771672</v>
      </c>
      <c r="F61" s="6">
        <v>3.208</v>
      </c>
      <c r="G61" s="9">
        <f>D61*3600</f>
        <v>11548.800000000001</v>
      </c>
      <c r="H61" s="7">
        <f>D61*E61*3600/1000000</f>
        <v>3.943713456058869</v>
      </c>
      <c r="I61" t="str">
        <f>IF(A61&lt;=$R$8,"asc","desc")</f>
        <v>desc</v>
      </c>
      <c r="J61" s="7">
        <f>w1_DBT5*B61+(1-w1_DBT5)*C61</f>
        <v>0.0</v>
      </c>
      <c r="K61" s="7">
        <f>SUM(J$2:J61)</f>
        <v>73.74420099451133</v>
      </c>
      <c r="L61" s="10">
        <f>IF(K61&lt;=$R$4*$R$5,0,(K61-$R$4*$R$5)^2/(K61+(1-$R$4)*$R$5))</f>
        <v>11.735413799203906</v>
      </c>
      <c r="M61" s="10">
        <f>L61-L60</f>
        <v>0.0</v>
      </c>
      <c r="N61" s="10">
        <f>M61/10</f>
        <v>0.0</v>
      </c>
      <c r="O61" s="9">
        <f>(D61-F61)*3600</f>
        <v>0.0</v>
      </c>
    </row>
    <row r="62" spans="1:15">
      <c r="A62" s="5">
        <v>43653</v>
      </c>
      <c r="B62" s="6">
        <v>0</v>
      </c>
      <c r="C62" s="6">
        <v>0</v>
      </c>
      <c r="D62" s="6">
        <v>3.099</v>
      </c>
      <c r="E62" s="6">
        <v>320.5553176057931</v>
      </c>
      <c r="F62" s="6">
        <v>3.099</v>
      </c>
      <c r="G62" s="9">
        <f>D62*3600</f>
        <v>11156.400000000001</v>
      </c>
      <c r="H62" s="7">
        <f>D62*E62*3600/1000000</f>
        <v>3.57624334533727</v>
      </c>
      <c r="I62" t="str">
        <f>IF(A62&lt;=$R$8,"asc","desc")</f>
        <v>desc</v>
      </c>
      <c r="J62" s="7">
        <f>w1_DBT5*B62+(1-w1_DBT5)*C62</f>
        <v>0.0</v>
      </c>
      <c r="K62" s="7">
        <f>SUM(J$2:J62)</f>
        <v>73.74420099451133</v>
      </c>
      <c r="L62" s="10">
        <f>IF(K62&lt;=$R$4*$R$5,0,(K62-$R$4*$R$5)^2/(K62+(1-$R$4)*$R$5))</f>
        <v>11.735413799203906</v>
      </c>
      <c r="M62" s="10">
        <f>L62-L61</f>
        <v>0.0</v>
      </c>
      <c r="N62" s="10">
        <f>M62/10</f>
        <v>0.0</v>
      </c>
      <c r="O62" s="9">
        <f>(D62-F62)*3600</f>
        <v>0.0</v>
      </c>
    </row>
    <row r="63" spans="1:15">
      <c r="A63" s="5">
        <v>43653.04166666666</v>
      </c>
      <c r="B63" s="6">
        <v>0</v>
      </c>
      <c r="C63" s="6">
        <v>0</v>
      </c>
      <c r="D63" s="6">
        <v>3.041</v>
      </c>
      <c r="E63" s="6">
        <v>295.9671029449139</v>
      </c>
      <c r="F63" s="6">
        <v>3.041</v>
      </c>
      <c r="G63" s="9">
        <f>D63*3600</f>
        <v>10947.6</v>
      </c>
      <c r="H63" s="7">
        <f>D63*E63*3600/1000000</f>
        <v>3.24012945619974</v>
      </c>
      <c r="I63" t="str">
        <f>IF(A63&lt;=$R$8,"asc","desc")</f>
        <v>desc</v>
      </c>
      <c r="J63" s="7">
        <f>w1_DBT5*B63+(1-w1_DBT5)*C63</f>
        <v>0.0</v>
      </c>
      <c r="K63" s="7">
        <f>SUM(J$2:J63)</f>
        <v>73.74420099451133</v>
      </c>
      <c r="L63" s="10">
        <f>IF(K63&lt;=$R$4*$R$5,0,(K63-$R$4*$R$5)^2/(K63+(1-$R$4)*$R$5))</f>
        <v>11.735413799203906</v>
      </c>
      <c r="M63" s="10">
        <f>L63-L62</f>
        <v>0.0</v>
      </c>
      <c r="N63" s="10">
        <f>M63/10</f>
        <v>0.0</v>
      </c>
      <c r="O63" s="9">
        <f>(D63-F63)*3600</f>
        <v>0.0</v>
      </c>
    </row>
    <row r="64" spans="1:15">
      <c r="A64" s="5">
        <v>43653.08333333334</v>
      </c>
      <c r="B64" s="6">
        <v>0</v>
      </c>
      <c r="C64" s="6">
        <v>0</v>
      </c>
      <c r="D64" s="6">
        <v>2.992</v>
      </c>
      <c r="E64" s="6">
        <v>276.7601770628983</v>
      </c>
      <c r="F64" s="6">
        <v>2.992</v>
      </c>
      <c r="G64" s="9">
        <f>D64*3600</f>
        <v>10771.2</v>
      </c>
      <c r="H64" s="7">
        <f>D64*E64*3600/1000000</f>
        <v>2.9810392191798902</v>
      </c>
      <c r="I64" t="str">
        <f>IF(A64&lt;=$R$8,"asc","desc")</f>
        <v>desc</v>
      </c>
      <c r="J64" s="7">
        <f>w1_DBT5*B64+(1-w1_DBT5)*C64</f>
        <v>0.0</v>
      </c>
      <c r="K64" s="7">
        <f>SUM(J$2:J64)</f>
        <v>73.74420099451133</v>
      </c>
      <c r="L64" s="10">
        <f>IF(K64&lt;=$R$4*$R$5,0,(K64-$R$4*$R$5)^2/(K64+(1-$R$4)*$R$5))</f>
        <v>11.735413799203906</v>
      </c>
      <c r="M64" s="10">
        <f>L64-L63</f>
        <v>0.0</v>
      </c>
      <c r="N64" s="10">
        <f>M64/10</f>
        <v>0.0</v>
      </c>
      <c r="O64" s="9">
        <f>(D64-F64)*3600</f>
        <v>0.0</v>
      </c>
    </row>
    <row r="65" spans="1:15">
      <c r="A65" s="5">
        <v>43653.125</v>
      </c>
      <c r="B65" s="6">
        <v>0</v>
      </c>
      <c r="C65" s="6">
        <v>0.2</v>
      </c>
      <c r="D65" s="6">
        <v>2.967</v>
      </c>
      <c r="E65" s="6">
        <v>194.1832526074895</v>
      </c>
      <c r="F65" s="6">
        <v>2.967</v>
      </c>
      <c r="G65" s="9">
        <f>D65*3600</f>
        <v>10681.2</v>
      </c>
      <c r="H65" s="7">
        <f>D65*E65*3600/1000000</f>
        <v>2.0741101577511167</v>
      </c>
      <c r="I65" t="str">
        <f>IF(A65&lt;=$R$8,"asc","desc")</f>
        <v>desc</v>
      </c>
      <c r="J65" s="7">
        <f>w1_DBT5*B65+(1-w1_DBT5)*C65</f>
        <v>0.1385341573462002</v>
      </c>
      <c r="K65" s="7">
        <f>SUM(J$2:J65)</f>
        <v>73.88273515185753</v>
      </c>
      <c r="L65" s="10">
        <f>IF(K65&lt;=$R$4*$R$5,0,(K65-$R$4*$R$5)^2/(K65+(1-$R$4)*$R$5))</f>
        <v>11.783658001891244</v>
      </c>
      <c r="M65" s="10">
        <f>L65-L64</f>
        <v>0.048244202687337534</v>
      </c>
      <c r="N65" s="10">
        <f>M65/10</f>
        <v>0.004824420268733753</v>
      </c>
      <c r="O65" s="9">
        <f>(D65-F65)*3600</f>
        <v>0.0</v>
      </c>
    </row>
    <row r="66" spans="1:15">
      <c r="A66" s="5">
        <v>43653.16666666666</v>
      </c>
      <c r="B66" s="6">
        <v>0</v>
      </c>
      <c r="C66" s="6">
        <v>0</v>
      </c>
      <c r="D66" s="6">
        <v>2.95</v>
      </c>
      <c r="E66" s="6">
        <v>178.3472297418518</v>
      </c>
      <c r="F66" s="6">
        <v>2.95</v>
      </c>
      <c r="G66" s="9">
        <f>D66*3600</f>
        <v>10620.0</v>
      </c>
      <c r="H66" s="7">
        <f>D66*E66*3600/1000000</f>
        <v>1.8940475798584664</v>
      </c>
      <c r="I66" t="str">
        <f>IF(A66&lt;=$R$8,"asc","desc")</f>
        <v>desc</v>
      </c>
      <c r="J66" s="7">
        <f>w1_DBT5*B66+(1-w1_DBT5)*C66</f>
        <v>0.0</v>
      </c>
      <c r="K66" s="7">
        <f>SUM(J$2:J66)</f>
        <v>73.88273515185753</v>
      </c>
      <c r="L66" s="10">
        <f>IF(K66&lt;=$R$4*$R$5,0,(K66-$R$4*$R$5)^2/(K66+(1-$R$4)*$R$5))</f>
        <v>11.783658001891244</v>
      </c>
      <c r="M66" s="10">
        <f>L66-L65</f>
        <v>0.0</v>
      </c>
      <c r="N66" s="10">
        <f>M66/10</f>
        <v>0.0</v>
      </c>
      <c r="O66" s="9">
        <f>(D66-F66)*3600</f>
        <v>0.0</v>
      </c>
    </row>
    <row r="67" spans="1:15">
      <c r="A67" s="5">
        <v>43653.20833333334</v>
      </c>
      <c r="B67" s="6">
        <v>0</v>
      </c>
      <c r="C67" s="6">
        <v>0</v>
      </c>
      <c r="D67" s="6">
        <v>2.942</v>
      </c>
      <c r="E67" s="6">
        <v>258.0658834611547</v>
      </c>
      <c r="F67" s="6">
        <v>2.935327186192846</v>
      </c>
      <c r="G67" s="9">
        <f>D67*3600</f>
        <v>10591.2</v>
      </c>
      <c r="H67" s="7">
        <f>D67*E67*3600/1000000</f>
        <v>2.733227384913782</v>
      </c>
      <c r="I67" t="str">
        <f>IF(A67&lt;=$R$8,"asc","desc")</f>
        <v>desc</v>
      </c>
      <c r="J67" s="7">
        <f>w1_DBT5*B67+(1-w1_DBT5)*C67</f>
        <v>0.0</v>
      </c>
      <c r="K67" s="7">
        <f>SUM(J$2:J67)</f>
        <v>73.88273515185753</v>
      </c>
      <c r="L67" s="10">
        <f>IF(K67&lt;=$R$4*$R$5,0,(K67-$R$4*$R$5)^2/(K67+(1-$R$4)*$R$5))</f>
        <v>11.783658001891244</v>
      </c>
      <c r="M67" s="10">
        <f>L67-L66</f>
        <v>0.0</v>
      </c>
      <c r="N67" s="10">
        <f>M67/10</f>
        <v>0.0</v>
      </c>
      <c r="O67" s="9">
        <f>(D67-F67)*3600</f>
        <v>24.022129705756434</v>
      </c>
    </row>
    <row r="68" spans="1:15">
      <c r="A68" s="5">
        <v>43653.25</v>
      </c>
      <c r="B68" s="6">
        <v>0</v>
      </c>
      <c r="C68" s="6">
        <v>0</v>
      </c>
      <c r="D68" s="6">
        <v>2.893</v>
      </c>
      <c r="E68" s="6">
        <v>254.6303583549138</v>
      </c>
      <c r="F68" s="6">
        <v>2.893</v>
      </c>
      <c r="G68" s="9">
        <f>D68*3600</f>
        <v>10414.8</v>
      </c>
      <c r="H68" s="7">
        <f>D68*E68*3600/1000000</f>
        <v>2.651924256194756</v>
      </c>
      <c r="I68" t="str">
        <f>IF(A68&lt;=$R$8,"asc","desc")</f>
        <v>desc</v>
      </c>
      <c r="J68" s="7">
        <f>w1_DBT5*B68+(1-w1_DBT5)*C68</f>
        <v>0.0</v>
      </c>
      <c r="K68" s="7">
        <f>SUM(J$2:J68)</f>
        <v>73.88273515185753</v>
      </c>
      <c r="L68" s="10">
        <f>IF(K68&lt;=$R$4*$R$5,0,(K68-$R$4*$R$5)^2/(K68+(1-$R$4)*$R$5))</f>
        <v>11.783658001891244</v>
      </c>
      <c r="M68" s="10">
        <f>L68-L67</f>
        <v>0.0</v>
      </c>
      <c r="N68" s="10">
        <f>M68/10</f>
        <v>0.0</v>
      </c>
      <c r="O68" s="9">
        <f>(D68-F68)*3600</f>
        <v>0.0</v>
      </c>
    </row>
    <row r="69" spans="1:15">
      <c r="A69" s="5">
        <v>43653.29166666666</v>
      </c>
      <c r="B69" s="6">
        <v>0</v>
      </c>
      <c r="C69" s="6">
        <v>0</v>
      </c>
      <c r="D69" s="6">
        <v>2.844</v>
      </c>
      <c r="E69" s="6">
        <v>273.3856430024905</v>
      </c>
      <c r="F69" s="6">
        <v>2.844</v>
      </c>
      <c r="G69" s="9">
        <f>D69*3600</f>
        <v>10238.4</v>
      </c>
      <c r="H69" s="7">
        <f>D69*E69*3600/1000000</f>
        <v>2.7990315673166983</v>
      </c>
      <c r="I69" t="str">
        <f>IF(A69&lt;=$R$8,"asc","desc")</f>
        <v>desc</v>
      </c>
      <c r="J69" s="7">
        <f>w1_DBT5*B69+(1-w1_DBT5)*C69</f>
        <v>0.0</v>
      </c>
      <c r="K69" s="7">
        <f>SUM(J$2:J69)</f>
        <v>73.88273515185753</v>
      </c>
      <c r="L69" s="10">
        <f>IF(K69&lt;=$R$4*$R$5,0,(K69-$R$4*$R$5)^2/(K69+(1-$R$4)*$R$5))</f>
        <v>11.783658001891244</v>
      </c>
      <c r="M69" s="10">
        <f>L69-L68</f>
        <v>0.0</v>
      </c>
      <c r="N69" s="10">
        <f>M69/10</f>
        <v>0.0</v>
      </c>
      <c r="O69" s="9">
        <f>(D69-F69)*3600</f>
        <v>0.0</v>
      </c>
    </row>
    <row r="70" spans="1:15">
      <c r="A70" s="5">
        <v>43653.33333333334</v>
      </c>
      <c r="B70" s="6">
        <v>0</v>
      </c>
      <c r="C70" s="6">
        <v>0</v>
      </c>
      <c r="D70" s="6">
        <v>2.764</v>
      </c>
      <c r="E70" s="6">
        <v>271.694407085233</v>
      </c>
      <c r="F70" s="6">
        <v>2.764</v>
      </c>
      <c r="G70" s="9">
        <f>D70*3600</f>
        <v>9950.4</v>
      </c>
      <c r="H70" s="7">
        <f>D70*E70*3600/1000000</f>
        <v>2.7034680282609025</v>
      </c>
      <c r="I70" t="str">
        <f>IF(A70&lt;=$R$8,"asc","desc")</f>
        <v>desc</v>
      </c>
      <c r="J70" s="7">
        <f>w1_DBT5*B70+(1-w1_DBT5)*C70</f>
        <v>0.0</v>
      </c>
      <c r="K70" s="7">
        <f>SUM(J$2:J70)</f>
        <v>73.88273515185753</v>
      </c>
      <c r="L70" s="10">
        <f>IF(K70&lt;=$R$4*$R$5,0,(K70-$R$4*$R$5)^2/(K70+(1-$R$4)*$R$5))</f>
        <v>11.783658001891244</v>
      </c>
      <c r="M70" s="10">
        <f>L70-L69</f>
        <v>0.0</v>
      </c>
      <c r="N70" s="10">
        <f>M70/10</f>
        <v>0.0</v>
      </c>
      <c r="O70" s="9">
        <f>(D70-F70)*3600</f>
        <v>0.0</v>
      </c>
    </row>
    <row r="71" spans="1:15">
      <c r="A71" s="5">
        <v>43653.375</v>
      </c>
      <c r="B71" s="6">
        <v>0</v>
      </c>
      <c r="C71" s="6">
        <v>0</v>
      </c>
      <c r="D71" s="6">
        <v>2.676</v>
      </c>
      <c r="E71" s="6">
        <v>267.4545407480229</v>
      </c>
      <c r="F71" s="6">
        <v>2.676</v>
      </c>
      <c r="G71" s="9">
        <f>D71*3600</f>
        <v>9633.6</v>
      </c>
      <c r="H71" s="7">
        <f>D71*E71*3600/1000000</f>
        <v>2.5765500637501533</v>
      </c>
      <c r="I71" t="str">
        <f>IF(A71&lt;=$R$8,"asc","desc")</f>
        <v>desc</v>
      </c>
      <c r="J71" s="7">
        <f>w1_DBT5*B71+(1-w1_DBT5)*C71</f>
        <v>0.0</v>
      </c>
      <c r="K71" s="7">
        <f>SUM(J$2:J71)</f>
        <v>73.88273515185753</v>
      </c>
      <c r="L71" s="10">
        <f>IF(K71&lt;=$R$4*$R$5,0,(K71-$R$4*$R$5)^2/(K71+(1-$R$4)*$R$5))</f>
        <v>11.783658001891244</v>
      </c>
      <c r="M71" s="10">
        <f>L71-L70</f>
        <v>0.0</v>
      </c>
      <c r="N71" s="10">
        <f>M71/10</f>
        <v>0.0</v>
      </c>
      <c r="O71" s="9">
        <f>(D71-F71)*3600</f>
        <v>0.0</v>
      </c>
    </row>
    <row r="72" spans="1:15">
      <c r="A72" s="5">
        <v>43653.41666666666</v>
      </c>
      <c r="B72" s="6">
        <v>0</v>
      </c>
      <c r="C72" s="6">
        <v>0</v>
      </c>
      <c r="D72" s="6">
        <v>2.573</v>
      </c>
      <c r="E72" s="6">
        <v>266.6045229768445</v>
      </c>
      <c r="F72" s="6">
        <v>2.573</v>
      </c>
      <c r="G72" s="9">
        <f>D72*3600</f>
        <v>9262.8</v>
      </c>
      <c r="H72" s="7">
        <f>D72*E72*3600/1000000</f>
        <v>2.4695043754299153</v>
      </c>
      <c r="I72" t="str">
        <f>IF(A72&lt;=$R$8,"asc","desc")</f>
        <v>desc</v>
      </c>
      <c r="J72" s="7">
        <f>w1_DBT5*B72+(1-w1_DBT5)*C72</f>
        <v>0.0</v>
      </c>
      <c r="K72" s="7">
        <f>SUM(J$2:J72)</f>
        <v>73.88273515185753</v>
      </c>
      <c r="L72" s="10">
        <f>IF(K72&lt;=$R$4*$R$5,0,(K72-$R$4*$R$5)^2/(K72+(1-$R$4)*$R$5))</f>
        <v>11.783658001891244</v>
      </c>
      <c r="M72" s="10">
        <f>L72-L71</f>
        <v>0.0</v>
      </c>
      <c r="N72" s="10">
        <f>M72/10</f>
        <v>0.0</v>
      </c>
      <c r="O72" s="9">
        <f>(D72-F72)*3600</f>
        <v>0.0</v>
      </c>
    </row>
    <row r="73" spans="1:15">
      <c r="A73" s="5">
        <v>43653.45833333334</v>
      </c>
      <c r="B73" s="6">
        <v>0</v>
      </c>
      <c r="C73" s="6">
        <v>0</v>
      </c>
      <c r="D73" s="6">
        <v>2.479</v>
      </c>
      <c r="E73" s="6">
        <v>172.6732228955437</v>
      </c>
      <c r="F73" s="6">
        <v>2.479</v>
      </c>
      <c r="G73" s="9">
        <f>D73*3600</f>
        <v>8924.4</v>
      </c>
      <c r="H73" s="7">
        <f>D73*E73*3600/1000000</f>
        <v>1.5410049104089902</v>
      </c>
      <c r="I73" t="str">
        <f>IF(A73&lt;=$R$8,"asc","desc")</f>
        <v>desc</v>
      </c>
      <c r="J73" s="7">
        <f>w1_DBT5*B73+(1-w1_DBT5)*C73</f>
        <v>0.0</v>
      </c>
      <c r="K73" s="7">
        <f>SUM(J$2:J73)</f>
        <v>73.88273515185753</v>
      </c>
      <c r="L73" s="10">
        <f>IF(K73&lt;=$R$4*$R$5,0,(K73-$R$4*$R$5)^2/(K73+(1-$R$4)*$R$5))</f>
        <v>11.783658001891244</v>
      </c>
      <c r="M73" s="10">
        <f>L73-L72</f>
        <v>0.0</v>
      </c>
      <c r="N73" s="10">
        <f>M73/10</f>
        <v>0.0</v>
      </c>
      <c r="O73" s="9">
        <f>(D73-F73)*3600</f>
        <v>0.0</v>
      </c>
    </row>
    <row r="74" spans="1:15">
      <c r="A74" s="5">
        <v>43653.5</v>
      </c>
      <c r="B74" s="6">
        <v>0</v>
      </c>
      <c r="C74" s="6">
        <v>0</v>
      </c>
      <c r="D74" s="6">
        <v>2.425</v>
      </c>
      <c r="E74" s="6">
        <v>168.8641547582116</v>
      </c>
      <c r="F74" s="6">
        <v>2.425</v>
      </c>
      <c r="G74" s="9">
        <f>D74*3600</f>
        <v>8730.0</v>
      </c>
      <c r="H74" s="7">
        <f>D74*E74*3600/1000000</f>
        <v>1.4741840710391874</v>
      </c>
      <c r="I74" t="str">
        <f>IF(A74&lt;=$R$8,"asc","desc")</f>
        <v>desc</v>
      </c>
      <c r="J74" s="7">
        <f>w1_DBT5*B74+(1-w1_DBT5)*C74</f>
        <v>0.0</v>
      </c>
      <c r="K74" s="7">
        <f>SUM(J$2:J74)</f>
        <v>73.88273515185753</v>
      </c>
      <c r="L74" s="10">
        <f>IF(K74&lt;=$R$4*$R$5,0,(K74-$R$4*$R$5)^2/(K74+(1-$R$4)*$R$5))</f>
        <v>11.783658001891244</v>
      </c>
      <c r="M74" s="10">
        <f>L74-L73</f>
        <v>0.0</v>
      </c>
      <c r="N74" s="10">
        <f>M74/10</f>
        <v>0.0</v>
      </c>
      <c r="O74" s="9">
        <f>(D74-F74)*3600</f>
        <v>0.0</v>
      </c>
    </row>
    <row r="75" spans="1:15">
      <c r="A75" s="5">
        <v>43653.54166666666</v>
      </c>
      <c r="B75" s="6">
        <v>0</v>
      </c>
      <c r="C75" s="6">
        <v>0</v>
      </c>
      <c r="D75" s="6">
        <v>2.409</v>
      </c>
      <c r="E75" s="6">
        <v>165.9929845383329</v>
      </c>
      <c r="F75" s="6">
        <v>2.409</v>
      </c>
      <c r="G75" s="9">
        <f>D75*3600</f>
        <v>8672.4</v>
      </c>
      <c r="H75" s="7">
        <f>D75*E75*3600/1000000</f>
        <v>1.4395575591102383</v>
      </c>
      <c r="I75" t="str">
        <f>IF(A75&lt;=$R$8,"asc","desc")</f>
        <v>desc</v>
      </c>
      <c r="J75" s="7">
        <f>w1_DBT5*B75+(1-w1_DBT5)*C75</f>
        <v>0.0</v>
      </c>
      <c r="K75" s="7">
        <f>SUM(J$2:J75)</f>
        <v>73.88273515185753</v>
      </c>
      <c r="L75" s="10">
        <f>IF(K75&lt;=$R$4*$R$5,0,(K75-$R$4*$R$5)^2/(K75+(1-$R$4)*$R$5))</f>
        <v>11.783658001891244</v>
      </c>
      <c r="M75" s="10">
        <f>L75-L74</f>
        <v>0.0</v>
      </c>
      <c r="N75" s="10">
        <f>M75/10</f>
        <v>0.0</v>
      </c>
      <c r="O75" s="9">
        <f>(D75-F75)*3600</f>
        <v>0.0</v>
      </c>
    </row>
    <row r="76" spans="1:15">
      <c r="A76" s="5">
        <v>43653.58333333334</v>
      </c>
      <c r="B76" s="6">
        <v>0</v>
      </c>
      <c r="C76" s="6">
        <v>0</v>
      </c>
      <c r="D76" s="6">
        <v>2.379</v>
      </c>
      <c r="E76" s="6">
        <v>150.4573745019385</v>
      </c>
      <c r="F76" s="6">
        <v>2.379</v>
      </c>
      <c r="G76" s="9">
        <f>D76*3600</f>
        <v>8564.4</v>
      </c>
      <c r="H76" s="7">
        <f>D76*E76*3600/1000000</f>
        <v>1.2885771381844022</v>
      </c>
      <c r="I76" t="str">
        <f>IF(A76&lt;=$R$8,"asc","desc")</f>
        <v>desc</v>
      </c>
      <c r="J76" s="7">
        <f>w1_DBT5*B76+(1-w1_DBT5)*C76</f>
        <v>0.0</v>
      </c>
      <c r="K76" s="7">
        <f>SUM(J$2:J76)</f>
        <v>73.88273515185753</v>
      </c>
      <c r="L76" s="10">
        <f>IF(K76&lt;=$R$4*$R$5,0,(K76-$R$4*$R$5)^2/(K76+(1-$R$4)*$R$5))</f>
        <v>11.783658001891244</v>
      </c>
      <c r="M76" s="10">
        <f>L76-L75</f>
        <v>0.0</v>
      </c>
      <c r="N76" s="10">
        <f>M76/10</f>
        <v>0.0</v>
      </c>
      <c r="O76" s="9">
        <f>(D76-F76)*3600</f>
        <v>0.0</v>
      </c>
    </row>
    <row r="77" spans="1:15">
      <c r="A77" s="5">
        <v>43653.625</v>
      </c>
      <c r="B77" s="6">
        <v>0</v>
      </c>
      <c r="C77" s="6">
        <v>0</v>
      </c>
      <c r="D77" s="6">
        <v>2.333</v>
      </c>
      <c r="E77" s="6">
        <v>156.3289388296414</v>
      </c>
      <c r="F77" s="6">
        <v>2.333</v>
      </c>
      <c r="G77" s="9">
        <f>D77*3600</f>
        <v>8398.800000000001</v>
      </c>
      <c r="H77" s="7">
        <f>D77*E77*3600/1000000</f>
        <v>1.3129754914423921</v>
      </c>
      <c r="I77" t="str">
        <f>IF(A77&lt;=$R$8,"asc","desc")</f>
        <v>desc</v>
      </c>
      <c r="J77" s="7">
        <f>w1_DBT5*B77+(1-w1_DBT5)*C77</f>
        <v>0.0</v>
      </c>
      <c r="K77" s="7">
        <f>SUM(J$2:J77)</f>
        <v>73.88273515185753</v>
      </c>
      <c r="L77" s="10">
        <f>IF(K77&lt;=$R$4*$R$5,0,(K77-$R$4*$R$5)^2/(K77+(1-$R$4)*$R$5))</f>
        <v>11.783658001891244</v>
      </c>
      <c r="M77" s="10">
        <f>L77-L76</f>
        <v>0.0</v>
      </c>
      <c r="N77" s="10">
        <f>M77/10</f>
        <v>0.0</v>
      </c>
      <c r="O77" s="9">
        <f>(D77-F77)*3600</f>
        <v>0.0</v>
      </c>
    </row>
    <row r="78" spans="1:15">
      <c r="A78" s="5">
        <v>43653.66666666666</v>
      </c>
      <c r="B78" s="6">
        <v>0</v>
      </c>
      <c r="C78" s="6">
        <v>0</v>
      </c>
      <c r="D78" s="6">
        <v>2.325</v>
      </c>
      <c r="E78" s="6">
        <v>152.4209281304789</v>
      </c>
      <c r="F78" s="6">
        <v>2.321376909243968</v>
      </c>
      <c r="G78" s="9">
        <f>D78*3600</f>
        <v>8370.0</v>
      </c>
      <c r="H78" s="7">
        <f>D78*E78*3600/1000000</f>
        <v>1.2757631684521085</v>
      </c>
      <c r="I78" t="str">
        <f>IF(A78&lt;=$R$8,"asc","desc")</f>
        <v>desc</v>
      </c>
      <c r="J78" s="7">
        <f>w1_DBT5*B78+(1-w1_DBT5)*C78</f>
        <v>0.0</v>
      </c>
      <c r="K78" s="7">
        <f>SUM(J$2:J78)</f>
        <v>73.88273515185753</v>
      </c>
      <c r="L78" s="10">
        <f>IF(K78&lt;=$R$4*$R$5,0,(K78-$R$4*$R$5)^2/(K78+(1-$R$4)*$R$5))</f>
        <v>11.783658001891244</v>
      </c>
      <c r="M78" s="10">
        <f>L78-L77</f>
        <v>0.0</v>
      </c>
      <c r="N78" s="10">
        <f>M78/10</f>
        <v>0.0</v>
      </c>
      <c r="O78" s="9">
        <f>(D78-F78)*3600</f>
        <v>13.043126721717435</v>
      </c>
    </row>
    <row r="79" spans="1:15">
      <c r="A79" s="5">
        <v>43653.70833333334</v>
      </c>
      <c r="B79" s="6">
        <v>0</v>
      </c>
      <c r="C79" s="6">
        <v>0</v>
      </c>
      <c r="D79" s="6">
        <v>2.318</v>
      </c>
      <c r="E79" s="6">
        <v>167.9084860159426</v>
      </c>
      <c r="F79" s="6">
        <v>2.309864134395643</v>
      </c>
      <c r="G79" s="9">
        <f>D79*3600</f>
        <v>8344.800000000001</v>
      </c>
      <c r="H79" s="7">
        <f>D79*E79*3600/1000000</f>
        <v>1.4011627341058377</v>
      </c>
      <c r="I79" t="str">
        <f>IF(A79&lt;=$R$8,"asc","desc")</f>
        <v>desc</v>
      </c>
      <c r="J79" s="7">
        <f>w1_DBT5*B79+(1-w1_DBT5)*C79</f>
        <v>0.0</v>
      </c>
      <c r="K79" s="7">
        <f>SUM(J$2:J79)</f>
        <v>73.88273515185753</v>
      </c>
      <c r="L79" s="10">
        <f>IF(K79&lt;=$R$4*$R$5,0,(K79-$R$4*$R$5)^2/(K79+(1-$R$4)*$R$5))</f>
        <v>11.783658001891244</v>
      </c>
      <c r="M79" s="10">
        <f>L79-L78</f>
        <v>0.0</v>
      </c>
      <c r="N79" s="10">
        <f>M79/10</f>
        <v>0.0</v>
      </c>
      <c r="O79" s="9">
        <f>(D79-F79)*3600</f>
        <v>29.289116175686303</v>
      </c>
    </row>
    <row r="80" spans="1:15">
      <c r="A80" s="5">
        <v>43653.75</v>
      </c>
      <c r="B80" s="6">
        <v>0</v>
      </c>
      <c r="C80" s="6">
        <v>0</v>
      </c>
      <c r="D80" s="6">
        <v>2.295</v>
      </c>
      <c r="E80" s="6">
        <v>146.5105378593512</v>
      </c>
      <c r="F80" s="6">
        <v>2.295</v>
      </c>
      <c r="G80" s="9">
        <f>D80*3600</f>
        <v>8262.0</v>
      </c>
      <c r="H80" s="7">
        <f>D80*E80*3600/1000000</f>
        <v>1.2104700637939596</v>
      </c>
      <c r="I80" t="str">
        <f>IF(A80&lt;=$R$8,"asc","desc")</f>
        <v>desc</v>
      </c>
      <c r="J80" s="7">
        <f>w1_DBT5*B80+(1-w1_DBT5)*C80</f>
        <v>0.0</v>
      </c>
      <c r="K80" s="7">
        <f>SUM(J$2:J80)</f>
        <v>73.88273515185753</v>
      </c>
      <c r="L80" s="10">
        <f>IF(K80&lt;=$R$4*$R$5,0,(K80-$R$4*$R$5)^2/(K80+(1-$R$4)*$R$5))</f>
        <v>11.783658001891244</v>
      </c>
      <c r="M80" s="10">
        <f>L80-L79</f>
        <v>0.0</v>
      </c>
      <c r="N80" s="10">
        <f>M80/10</f>
        <v>0.0</v>
      </c>
      <c r="O80" s="9">
        <f>(D80-F80)*3600</f>
        <v>0.0</v>
      </c>
    </row>
    <row r="81" spans="1:15">
      <c r="A81" s="5">
        <v>43653.79166666666</v>
      </c>
      <c r="B81" s="6">
        <v>0</v>
      </c>
      <c r="C81" s="6">
        <v>0</v>
      </c>
      <c r="D81" s="6">
        <v>2.272</v>
      </c>
      <c r="E81" s="6">
        <v>124.2834302316946</v>
      </c>
      <c r="F81" s="6">
        <v>2.272</v>
      </c>
      <c r="G81" s="9">
        <f>D81*3600</f>
        <v>8179.199999999999</v>
      </c>
      <c r="H81" s="7">
        <f>D81*E81*3600/1000000</f>
        <v>1.0165390325510764</v>
      </c>
      <c r="I81" t="str">
        <f>IF(A81&lt;=$R$8,"asc","desc")</f>
        <v>desc</v>
      </c>
      <c r="J81" s="7">
        <f>w1_DBT5*B81+(1-w1_DBT5)*C81</f>
        <v>0.0</v>
      </c>
      <c r="K81" s="7">
        <f>SUM(J$2:J81)</f>
        <v>73.88273515185753</v>
      </c>
      <c r="L81" s="10">
        <f>IF(K81&lt;=$R$4*$R$5,0,(K81-$R$4*$R$5)^2/(K81+(1-$R$4)*$R$5))</f>
        <v>11.783658001891244</v>
      </c>
      <c r="M81" s="10">
        <f>L81-L80</f>
        <v>0.0</v>
      </c>
      <c r="N81" s="10">
        <f>M81/10</f>
        <v>0.0</v>
      </c>
      <c r="O81" s="9">
        <f>(D81-F81)*3600</f>
        <v>0.0</v>
      </c>
    </row>
    <row r="82" spans="1:15">
      <c r="A82" s="5">
        <v>43653.83333333334</v>
      </c>
      <c r="B82" s="6">
        <v>0</v>
      </c>
      <c r="C82" s="6">
        <v>0</v>
      </c>
      <c r="D82" s="6">
        <v>2.249</v>
      </c>
      <c r="E82" s="6">
        <v>144.5269875968422</v>
      </c>
      <c r="F82" s="6">
        <v>2.249</v>
      </c>
      <c r="G82" s="9">
        <f>D82*3600</f>
        <v>8096.400000000001</v>
      </c>
      <c r="H82" s="7">
        <f>D82*E82*3600/1000000</f>
        <v>1.1701483023790733</v>
      </c>
      <c r="I82" t="str">
        <f>IF(A82&lt;=$R$8,"asc","desc")</f>
        <v>desc</v>
      </c>
      <c r="J82" s="7">
        <f>w1_DBT5*B82+(1-w1_DBT5)*C82</f>
        <v>0.0</v>
      </c>
      <c r="K82" s="7">
        <f>SUM(J$2:J82)</f>
        <v>73.88273515185753</v>
      </c>
      <c r="L82" s="10">
        <f>IF(K82&lt;=$R$4*$R$5,0,(K82-$R$4*$R$5)^2/(K82+(1-$R$4)*$R$5))</f>
        <v>11.783658001891244</v>
      </c>
      <c r="M82" s="10">
        <f>L82-L81</f>
        <v>0.0</v>
      </c>
      <c r="N82" s="10">
        <f>M82/10</f>
        <v>0.0</v>
      </c>
      <c r="O82" s="9">
        <f>(D82-F82)*3600</f>
        <v>0.0</v>
      </c>
    </row>
    <row r="83" spans="1:15">
      <c r="A83" s="5">
        <v>43653.875</v>
      </c>
      <c r="B83" s="6">
        <v>0</v>
      </c>
      <c r="C83" s="6">
        <v>0</v>
      </c>
      <c r="D83" s="6">
        <v>2.219</v>
      </c>
      <c r="E83" s="6">
        <v>143.5326185386199</v>
      </c>
      <c r="F83" s="6">
        <v>2.219</v>
      </c>
      <c r="G83" s="9">
        <f>D83*3600</f>
        <v>7988.4</v>
      </c>
      <c r="H83" s="7">
        <f>D83*E83*3600/1000000</f>
        <v>1.146595969933911</v>
      </c>
      <c r="I83" t="str">
        <f>IF(A83&lt;=$R$8,"asc","desc")</f>
        <v>desc</v>
      </c>
      <c r="J83" s="7">
        <f>w1_DBT5*B83+(1-w1_DBT5)*C83</f>
        <v>0.0</v>
      </c>
      <c r="K83" s="7">
        <f>SUM(J$2:J83)</f>
        <v>73.88273515185753</v>
      </c>
      <c r="L83" s="10">
        <f>IF(K83&lt;=$R$4*$R$5,0,(K83-$R$4*$R$5)^2/(K83+(1-$R$4)*$R$5))</f>
        <v>11.783658001891244</v>
      </c>
      <c r="M83" s="10">
        <f>L83-L82</f>
        <v>0.0</v>
      </c>
      <c r="N83" s="10">
        <f>M83/10</f>
        <v>0.0</v>
      </c>
      <c r="O83" s="9">
        <f>(D83-F83)*3600</f>
        <v>0.0</v>
      </c>
    </row>
    <row r="84" spans="1:15">
      <c r="A84" s="5">
        <v>43653.91666666666</v>
      </c>
      <c r="B84" s="6">
        <v>0</v>
      </c>
      <c r="C84" s="6">
        <v>0</v>
      </c>
      <c r="D84" s="6">
        <v>2.212</v>
      </c>
      <c r="E84" s="6">
        <v>154.3780755392069</v>
      </c>
      <c r="F84" s="6">
        <v>2.207951826290326</v>
      </c>
      <c r="G84" s="9">
        <f>D84*3600</f>
        <v>7963.200000000001</v>
      </c>
      <c r="H84" s="7">
        <f>D84*E84*3600/1000000</f>
        <v>1.2293434911338124</v>
      </c>
      <c r="I84" t="str">
        <f>IF(A84&lt;=$R$8,"asc","desc")</f>
        <v>desc</v>
      </c>
      <c r="J84" s="7">
        <f>w1_DBT5*B84+(1-w1_DBT5)*C84</f>
        <v>0.0</v>
      </c>
      <c r="K84" s="7">
        <f>SUM(J$2:J84)</f>
        <v>73.88273515185753</v>
      </c>
      <c r="L84" s="10">
        <f>IF(K84&lt;=$R$4*$R$5,0,(K84-$R$4*$R$5)^2/(K84+(1-$R$4)*$R$5))</f>
        <v>11.783658001891244</v>
      </c>
      <c r="M84" s="10">
        <f>L84-L83</f>
        <v>0.0</v>
      </c>
      <c r="N84" s="10">
        <f>M84/10</f>
        <v>0.0</v>
      </c>
      <c r="O84" s="9">
        <f>(D84-F84)*3600</f>
        <v>14.573425354827307</v>
      </c>
    </row>
    <row r="85" spans="1:15">
      <c r="A85" s="5">
        <v>43653.95833333334</v>
      </c>
      <c r="B85" s="6">
        <v>0</v>
      </c>
      <c r="C85" s="6">
        <v>0</v>
      </c>
      <c r="D85" s="6">
        <v>2.182</v>
      </c>
      <c r="E85" s="6">
        <v>141.8982358624951</v>
      </c>
      <c r="F85" s="6">
        <v>2.182</v>
      </c>
      <c r="G85" s="9">
        <f>D85*3600</f>
        <v>7855.2</v>
      </c>
      <c r="H85" s="7">
        <f>D85*E85*3600/1000000</f>
        <v>1.1146390223470715</v>
      </c>
      <c r="I85" t="str">
        <f>IF(A85&lt;=$R$8,"asc","desc")</f>
        <v>desc</v>
      </c>
      <c r="J85" s="7">
        <f>w1_DBT5*B85+(1-w1_DBT5)*C85</f>
        <v>0.0</v>
      </c>
      <c r="K85" s="7">
        <f>SUM(J$2:J85)</f>
        <v>73.88273515185753</v>
      </c>
      <c r="L85" s="10">
        <f>IF(K85&lt;=$R$4*$R$5,0,(K85-$R$4*$R$5)^2/(K85+(1-$R$4)*$R$5))</f>
        <v>11.783658001891244</v>
      </c>
      <c r="M85" s="10">
        <f>L85-L84</f>
        <v>0.0</v>
      </c>
      <c r="N85" s="10">
        <f>M85/10</f>
        <v>0.0</v>
      </c>
      <c r="O85" s="9">
        <f>(D85-F85)*3600</f>
        <v>0.0</v>
      </c>
    </row>
    <row r="86" spans="1:15">
      <c r="A86" s="5">
        <v>43654</v>
      </c>
      <c r="B86" s="6">
        <v>0</v>
      </c>
      <c r="C86" s="6">
        <v>0</v>
      </c>
      <c r="D86" s="6">
        <v>2.123</v>
      </c>
      <c r="E86" s="6">
        <v>129.4183961857833</v>
      </c>
      <c r="F86" s="6">
        <v>2.123</v>
      </c>
      <c r="G86" s="9">
        <f>D86*3600</f>
        <v>7642.800000000001</v>
      </c>
      <c r="H86" s="7">
        <f>D86*E86*3600/1000000</f>
        <v>0.9891189183687048</v>
      </c>
      <c r="I86" t="str">
        <f>IF(A86&lt;=$R$8,"asc","desc")</f>
        <v>desc</v>
      </c>
      <c r="J86" s="7">
        <f>w1_DBT5*B86+(1-w1_DBT5)*C86</f>
        <v>0.0</v>
      </c>
      <c r="K86" s="7">
        <f>SUM(J$2:J86)</f>
        <v>73.88273515185753</v>
      </c>
      <c r="L86" s="10">
        <f>IF(K86&lt;=$R$4*$R$5,0,(K86-$R$4*$R$5)^2/(K86+(1-$R$4)*$R$5))</f>
        <v>11.783658001891244</v>
      </c>
      <c r="M86" s="10">
        <f>L86-L85</f>
        <v>0.0</v>
      </c>
      <c r="N86" s="10">
        <f>M86/10</f>
        <v>0.0</v>
      </c>
      <c r="O86" s="9">
        <f>(D86-F86)*3600</f>
        <v>0.0</v>
      </c>
    </row>
    <row r="87" spans="1:15">
      <c r="A87" s="5">
        <v>43654.04166666666</v>
      </c>
      <c r="B87" s="6">
        <v>0</v>
      </c>
      <c r="C87" s="6">
        <v>0</v>
      </c>
      <c r="D87" s="6">
        <v>2.093</v>
      </c>
      <c r="E87" s="6">
        <v>149.4731559971528</v>
      </c>
      <c r="F87" s="6">
        <v>2.093</v>
      </c>
      <c r="G87" s="9">
        <f>D87*3600</f>
        <v>7534.8</v>
      </c>
      <c r="H87" s="7">
        <f>D87*E87*3600/1000000</f>
        <v>1.1262503358073468</v>
      </c>
      <c r="I87" t="str">
        <f>IF(A87&lt;=$R$8,"asc","desc")</f>
        <v>desc</v>
      </c>
      <c r="J87" s="7">
        <f>w1_DBT5*B87+(1-w1_DBT5)*C87</f>
        <v>0.0</v>
      </c>
      <c r="K87" s="7">
        <f>SUM(J$2:J87)</f>
        <v>73.88273515185753</v>
      </c>
      <c r="L87" s="10">
        <f>IF(K87&lt;=$R$4*$R$5,0,(K87-$R$4*$R$5)^2/(K87+(1-$R$4)*$R$5))</f>
        <v>11.783658001891244</v>
      </c>
      <c r="M87" s="10">
        <f>L87-L86</f>
        <v>0.0</v>
      </c>
      <c r="N87" s="10">
        <f>M87/10</f>
        <v>0.0</v>
      </c>
      <c r="O87" s="9">
        <f>(D87-F87)*3600</f>
        <v>0.0</v>
      </c>
    </row>
    <row r="88" spans="1:15">
      <c r="A88" s="5">
        <v>43654.08333333334</v>
      </c>
      <c r="B88" s="6">
        <v>0</v>
      </c>
      <c r="C88" s="6">
        <v>0</v>
      </c>
      <c r="D88" s="6">
        <v>2.071</v>
      </c>
      <c r="E88" s="6">
        <v>140.5389166246747</v>
      </c>
      <c r="F88" s="6">
        <v>2.071</v>
      </c>
      <c r="G88" s="9">
        <f>D88*3600</f>
        <v>7455.6</v>
      </c>
      <c r="H88" s="7">
        <f>D88*E88*3600/1000000</f>
        <v>1.0478019467869248</v>
      </c>
      <c r="I88" t="str">
        <f>IF(A88&lt;=$R$8,"asc","desc")</f>
        <v>desc</v>
      </c>
      <c r="J88" s="7">
        <f>w1_DBT5*B88+(1-w1_DBT5)*C88</f>
        <v>0.0</v>
      </c>
      <c r="K88" s="7">
        <f>SUM(J$2:J88)</f>
        <v>73.88273515185753</v>
      </c>
      <c r="L88" s="10">
        <f>IF(K88&lt;=$R$4*$R$5,0,(K88-$R$4*$R$5)^2/(K88+(1-$R$4)*$R$5))</f>
        <v>11.783658001891244</v>
      </c>
      <c r="M88" s="10">
        <f>L88-L87</f>
        <v>0.0</v>
      </c>
      <c r="N88" s="10">
        <f>M88/10</f>
        <v>0.0</v>
      </c>
      <c r="O88" s="9">
        <f>(D88-F88)*3600</f>
        <v>0.0</v>
      </c>
    </row>
    <row r="89" spans="1:15">
      <c r="A89" s="5">
        <v>43654.125</v>
      </c>
      <c r="B89" s="6">
        <v>0</v>
      </c>
      <c r="C89" s="6">
        <v>0</v>
      </c>
      <c r="D89" s="6">
        <v>2.042</v>
      </c>
      <c r="E89" s="6">
        <v>138.5340966856569</v>
      </c>
      <c r="F89" s="6">
        <v>2.042</v>
      </c>
      <c r="G89" s="9">
        <f>D89*3600</f>
        <v>7351.199999999999</v>
      </c>
      <c r="H89" s="7">
        <f>D89*E89*3600/1000000</f>
        <v>1.018391851555601</v>
      </c>
      <c r="I89" t="str">
        <f>IF(A89&lt;=$R$8,"asc","desc")</f>
        <v>desc</v>
      </c>
      <c r="J89" s="7">
        <f>w1_DBT5*B89+(1-w1_DBT5)*C89</f>
        <v>0.0</v>
      </c>
      <c r="K89" s="7">
        <f>SUM(J$2:J89)</f>
        <v>73.88273515185753</v>
      </c>
      <c r="L89" s="10">
        <f>IF(K89&lt;=$R$4*$R$5,0,(K89-$R$4*$R$5)^2/(K89+(1-$R$4)*$R$5))</f>
        <v>11.783658001891244</v>
      </c>
      <c r="M89" s="10">
        <f>L89-L88</f>
        <v>0.0</v>
      </c>
      <c r="N89" s="10">
        <f>M89/10</f>
        <v>0.0</v>
      </c>
      <c r="O89" s="9">
        <f>(D89-F89)*3600</f>
        <v>0.0</v>
      </c>
    </row>
    <row r="90" spans="1:15">
      <c r="A90" s="5">
        <v>43654.16666666666</v>
      </c>
      <c r="B90" s="6">
        <v>0</v>
      </c>
      <c r="C90" s="6">
        <v>0.2</v>
      </c>
      <c r="D90" s="6">
        <v>2.005</v>
      </c>
      <c r="E90" s="6">
        <v>139.5374214805217</v>
      </c>
      <c r="F90" s="6">
        <v>2.005</v>
      </c>
      <c r="G90" s="9">
        <f>D90*3600</f>
        <v>7218.0</v>
      </c>
      <c r="H90" s="7">
        <f>D90*E90*3600/1000000</f>
        <v>1.0071811082464055</v>
      </c>
      <c r="I90" t="str">
        <f>IF(A90&lt;=$R$8,"asc","desc")</f>
        <v>desc</v>
      </c>
      <c r="J90" s="7">
        <f>w1_DBT5*B90+(1-w1_DBT5)*C90</f>
        <v>0.1385341573462002</v>
      </c>
      <c r="K90" s="7">
        <f>SUM(J$2:J90)</f>
        <v>74.02126930920373</v>
      </c>
      <c r="L90" s="10">
        <f>IF(K90&lt;=$R$4*$R$5,0,(K90-$R$4*$R$5)^2/(K90+(1-$R$4)*$R$5))</f>
        <v>11.831981138212937</v>
      </c>
      <c r="M90" s="10">
        <f>L90-L89</f>
        <v>0.04832313632169338</v>
      </c>
      <c r="N90" s="10">
        <f>M90/10</f>
        <v>0.004832313632169338</v>
      </c>
      <c r="O90" s="9">
        <f>(D90-F90)*3600</f>
        <v>0.0</v>
      </c>
    </row>
    <row r="91" spans="1:15">
      <c r="A91" s="5">
        <v>43654.20833333334</v>
      </c>
      <c r="B91" s="6">
        <v>0</v>
      </c>
      <c r="C91" s="6">
        <v>0</v>
      </c>
      <c r="D91" s="6">
        <v>1.976</v>
      </c>
      <c r="E91" s="6">
        <v>130.4391400763023</v>
      </c>
      <c r="F91" s="6">
        <v>1.976</v>
      </c>
      <c r="G91" s="9">
        <f>D91*3600</f>
        <v>7113.6</v>
      </c>
      <c r="H91" s="7">
        <f>D91*E91*3600/1000000</f>
        <v>0.9278918668467839</v>
      </c>
      <c r="I91" t="str">
        <f>IF(A91&lt;=$R$8,"asc","desc")</f>
        <v>desc</v>
      </c>
      <c r="J91" s="7">
        <f>w1_DBT5*B91+(1-w1_DBT5)*C91</f>
        <v>0.0</v>
      </c>
      <c r="K91" s="7">
        <f>SUM(J$2:J91)</f>
        <v>74.02126930920373</v>
      </c>
      <c r="L91" s="10">
        <f>IF(K91&lt;=$R$4*$R$5,0,(K91-$R$4*$R$5)^2/(K91+(1-$R$4)*$R$5))</f>
        <v>11.831981138212937</v>
      </c>
      <c r="M91" s="10">
        <f>L91-L90</f>
        <v>0.0</v>
      </c>
      <c r="N91" s="10">
        <f>M91/10</f>
        <v>0.0</v>
      </c>
      <c r="O91" s="9">
        <f>(D91-F91)*3600</f>
        <v>0.0</v>
      </c>
    </row>
    <row r="92" spans="1:15">
      <c r="A92" s="5">
        <v>43654.25</v>
      </c>
      <c r="B92" s="6">
        <v>0</v>
      </c>
      <c r="C92" s="6">
        <v>0</v>
      </c>
      <c r="D92" s="6">
        <v>1.94</v>
      </c>
      <c r="E92" s="6">
        <v>128.3956026517332</v>
      </c>
      <c r="F92" s="6">
        <v>1.94</v>
      </c>
      <c r="G92" s="9">
        <f>D92*3600</f>
        <v>6984.0</v>
      </c>
      <c r="H92" s="7">
        <f>D92*E92*3600/1000000</f>
        <v>0.8967148889197047</v>
      </c>
      <c r="I92" t="str">
        <f>IF(A92&lt;=$R$8,"asc","desc")</f>
        <v>desc</v>
      </c>
      <c r="J92" s="7">
        <f>w1_DBT5*B92+(1-w1_DBT5)*C92</f>
        <v>0.0</v>
      </c>
      <c r="K92" s="7">
        <f>SUM(J$2:J92)</f>
        <v>74.02126930920373</v>
      </c>
      <c r="L92" s="10">
        <f>IF(K92&lt;=$R$4*$R$5,0,(K92-$R$4*$R$5)^2/(K92+(1-$R$4)*$R$5))</f>
        <v>11.831981138212937</v>
      </c>
      <c r="M92" s="10">
        <f>L92-L91</f>
        <v>0.0</v>
      </c>
      <c r="N92" s="10">
        <f>M92/10</f>
        <v>0.0</v>
      </c>
      <c r="O92" s="9">
        <f>(D92-F92)*3600</f>
        <v>0.0</v>
      </c>
    </row>
    <row r="93" spans="1:15">
      <c r="A93" s="5">
        <v>43654.29166666666</v>
      </c>
      <c r="B93" s="6">
        <v>0</v>
      </c>
      <c r="C93" s="6">
        <v>0</v>
      </c>
      <c r="D93" s="6">
        <v>1.926</v>
      </c>
      <c r="E93" s="6">
        <v>126.3437674041977</v>
      </c>
      <c r="F93" s="6">
        <v>1.926</v>
      </c>
      <c r="G93" s="9">
        <f>D93*3600</f>
        <v>6933.599999999999</v>
      </c>
      <c r="H93" s="7">
        <f>D93*E93*3600/1000000</f>
        <v>0.8760171456737452</v>
      </c>
      <c r="I93" t="str">
        <f>IF(A93&lt;=$R$8,"asc","desc")</f>
        <v>desc</v>
      </c>
      <c r="J93" s="7">
        <f>w1_DBT5*B93+(1-w1_DBT5)*C93</f>
        <v>0.0</v>
      </c>
      <c r="K93" s="7">
        <f>SUM(J$2:J93)</f>
        <v>74.02126930920373</v>
      </c>
      <c r="L93" s="10">
        <f>IF(K93&lt;=$R$4*$R$5,0,(K93-$R$4*$R$5)^2/(K93+(1-$R$4)*$R$5))</f>
        <v>11.831981138212937</v>
      </c>
      <c r="M93" s="10">
        <f>L93-L92</f>
        <v>0.0</v>
      </c>
      <c r="N93" s="10">
        <f>M93/10</f>
        <v>0.0</v>
      </c>
      <c r="O93" s="9">
        <f>(D93-F93)*3600</f>
        <v>0.0</v>
      </c>
    </row>
  </sheetData>
  <mergeCells count="1">
    <mergeCell ref="Q29:S3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0"/>
  <sheetViews>
    <sheetView workbookViewId="0"/>
  </sheetViews>
  <sheetFormatPr defaultRowHeight="15"/>
  <cols>
    <col min="1" max="1" width="46.7109375" customWidth="1"/>
    <col min="2" max="2" width="16.7109375" customWidth="1"/>
    <col min="3" max="3" width="70.7109375" customWidth="1"/>
  </cols>
  <sheetData>
    <row r="1" spans="1:4">
      <c r="A1" s="1" t="s">
        <v>174</v>
      </c>
    </row>
    <row r="3" spans="1:4">
      <c r="A3" t="s">
        <v>175</v>
      </c>
      <c r="B3" s="11">
        <v>138</v>
      </c>
      <c r="C3" t="s">
        <v>176</v>
      </c>
    </row>
    <row r="4" spans="1:4">
      <c r="A4" t="s">
        <v>177</v>
      </c>
      <c r="B4" s="11">
        <v>37.587</v>
      </c>
      <c r="C4" t="s">
        <v>178</v>
      </c>
    </row>
    <row r="5" spans="1:4">
      <c r="A5" t="s">
        <v>179</v>
      </c>
      <c r="B5" s="11">
        <v>147.1</v>
      </c>
    </row>
    <row r="6" spans="1:4">
      <c r="A6" t="s">
        <v>180</v>
      </c>
      <c r="B6" s="11">
        <v>10.652</v>
      </c>
      <c r="C6" t="s">
        <v>181</v>
      </c>
      <c r="D6" s="10">
        <f>(4*SQRT(B3)+1.5*B4)/(0.8*SQRT(B5))</f>
        <v>10.653629929654153</v>
      </c>
    </row>
    <row r="7" spans="1:4">
      <c r="A7" t="s">
        <v>182</v>
      </c>
      <c r="B7" s="11">
        <v>1</v>
      </c>
      <c r="C7" t="s">
        <v>183</v>
      </c>
    </row>
    <row r="8" spans="1:4">
      <c r="A8" t="s">
        <v>184</v>
      </c>
      <c r="B8" s="8">
        <f>B7/2+0.6*B6</f>
        <v>6.8911999999999995</v>
      </c>
      <c r="C8" t="s">
        <v>185</v>
      </c>
    </row>
    <row r="9" spans="1:4">
      <c r="A9" t="s">
        <v>186</v>
      </c>
      <c r="B9" s="8">
        <f>2.67*B8</f>
        <v>18.399503999999997</v>
      </c>
      <c r="C9" t="s">
        <v>187</v>
      </c>
    </row>
    <row r="10" spans="1:4">
      <c r="A10" t="s">
        <v>188</v>
      </c>
      <c r="B10" s="8">
        <f>2.08*0.5377</f>
        <v>1.1184159999999999</v>
      </c>
      <c r="C10" t="s">
        <v>189</v>
      </c>
    </row>
    <row r="11" spans="1:4">
      <c r="A11" t="s">
        <v>190</v>
      </c>
      <c r="B11" s="8">
        <f>B10*B3/B8</f>
        <v>22.39688414209426</v>
      </c>
      <c r="C11" t="s">
        <v>191</v>
      </c>
    </row>
    <row r="12" spans="1:4">
      <c r="A12" t="s">
        <v>192</v>
      </c>
      <c r="B12" s="8">
        <f>ROUNDUP(B9,0)+1</f>
        <v>20</v>
      </c>
    </row>
    <row r="15" spans="1:4">
      <c r="A15" s="3" t="s">
        <v>193</v>
      </c>
    </row>
    <row r="16" spans="1:4">
      <c r="A16" s="4" t="s">
        <v>194</v>
      </c>
      <c r="B16" s="4" t="s">
        <v>195</v>
      </c>
    </row>
    <row r="17" spans="1:2">
      <c r="A17">
        <v>0</v>
      </c>
      <c r="B17" s="10">
        <f>IF(A17&lt;=$B$8,$B$11*A17/$B$8,MAX($B$11*($B$9-A17)/($B$9-$B$8),0))</f>
        <v>0.0</v>
      </c>
    </row>
    <row r="18" spans="1:2">
      <c r="A18">
        <v>1</v>
      </c>
      <c r="B18" s="10">
        <f>IF(A18&lt;=$B$8,$B$11*A18/$B$8,MAX($B$11*($B$9-A18)/($B$9-$B$8),0))</f>
        <v>3.2500702551216425</v>
      </c>
    </row>
    <row r="19" spans="1:2">
      <c r="A19">
        <v>2</v>
      </c>
      <c r="B19" s="10">
        <f>IF(A19&lt;=$B$8,$B$11*A19/$B$8,MAX($B$11*($B$9-A19)/($B$9-$B$8),0))</f>
        <v>6.500140510243285</v>
      </c>
    </row>
    <row r="20" spans="1:2">
      <c r="A20">
        <v>3</v>
      </c>
      <c r="B20" s="10">
        <f>IF(A20&lt;=$B$8,$B$11*A20/$B$8,MAX($B$11*($B$9-A20)/($B$9-$B$8),0))</f>
        <v>9.750210765364928</v>
      </c>
    </row>
    <row r="21" spans="1:2">
      <c r="A21">
        <v>4</v>
      </c>
      <c r="B21" s="10">
        <f>IF(A21&lt;=$B$8,$B$11*A21/$B$8,MAX($B$11*($B$9-A21)/($B$9-$B$8),0))</f>
        <v>13.00028102048657</v>
      </c>
    </row>
    <row r="22" spans="1:2">
      <c r="A22">
        <v>5</v>
      </c>
      <c r="B22" s="10">
        <f>IF(A22&lt;=$B$8,$B$11*A22/$B$8,MAX($B$11*($B$9-A22)/($B$9-$B$8),0))</f>
        <v>16.250351275608214</v>
      </c>
    </row>
    <row r="23" spans="1:2">
      <c r="A23">
        <v>6</v>
      </c>
      <c r="B23" s="10">
        <f>IF(A23&lt;=$B$8,$B$11*A23/$B$8,MAX($B$11*($B$9-A23)/($B$9-$B$8),0))</f>
        <v>19.500421530729856</v>
      </c>
    </row>
    <row r="24" spans="1:2">
      <c r="A24">
        <v>7</v>
      </c>
      <c r="B24" s="10">
        <f>IF(A24&lt;=$B$8,$B$11*A24/$B$8,MAX($B$11*($B$9-A24)/($B$9-$B$8),0))</f>
        <v>22.18514303804801</v>
      </c>
    </row>
    <row r="25" spans="1:2">
      <c r="A25">
        <v>8</v>
      </c>
      <c r="B25" s="10">
        <f>IF(A25&lt;=$B$8,$B$11*A25/$B$8,MAX($B$11*($B$9-A25)/($B$9-$B$8),0))</f>
        <v>20.23899318468176</v>
      </c>
    </row>
    <row r="26" spans="1:2">
      <c r="A26">
        <v>9</v>
      </c>
      <c r="B26" s="10">
        <f>IF(A26&lt;=$B$8,$B$11*A26/$B$8,MAX($B$11*($B$9-A26)/($B$9-$B$8),0))</f>
        <v>18.292843331315506</v>
      </c>
    </row>
    <row r="27" spans="1:2">
      <c r="A27">
        <v>10</v>
      </c>
      <c r="B27" s="10">
        <f>IF(A27&lt;=$B$8,$B$11*A27/$B$8,MAX($B$11*($B$9-A27)/($B$9-$B$8),0))</f>
        <v>16.346693477949252</v>
      </c>
    </row>
    <row r="28" spans="1:2">
      <c r="A28">
        <v>11</v>
      </c>
      <c r="B28" s="10">
        <f>IF(A28&lt;=$B$8,$B$11*A28/$B$8,MAX($B$11*($B$9-A28)/($B$9-$B$8),0))</f>
        <v>14.400543624582998</v>
      </c>
    </row>
    <row r="29" spans="1:2">
      <c r="A29">
        <v>12</v>
      </c>
      <c r="B29" s="10">
        <f>IF(A29&lt;=$B$8,$B$11*A29/$B$8,MAX($B$11*($B$9-A29)/($B$9-$B$8),0))</f>
        <v>12.454393771216745</v>
      </c>
    </row>
    <row r="30" spans="1:2">
      <c r="A30">
        <v>13</v>
      </c>
      <c r="B30" s="10">
        <f>IF(A30&lt;=$B$8,$B$11*A30/$B$8,MAX($B$11*($B$9-A30)/($B$9-$B$8),0))</f>
        <v>10.508243917850493</v>
      </c>
    </row>
    <row r="31" spans="1:2">
      <c r="A31">
        <v>14</v>
      </c>
      <c r="B31" s="10">
        <f>IF(A31&lt;=$B$8,$B$11*A31/$B$8,MAX($B$11*($B$9-A31)/($B$9-$B$8),0))</f>
        <v>8.56209406448424</v>
      </c>
    </row>
    <row r="32" spans="1:2">
      <c r="A32">
        <v>15</v>
      </c>
      <c r="B32" s="10">
        <f>IF(A32&lt;=$B$8,$B$11*A32/$B$8,MAX($B$11*($B$9-A32)/($B$9-$B$8),0))</f>
        <v>6.615944211117986</v>
      </c>
    </row>
    <row r="33" spans="1:2">
      <c r="A33">
        <v>16</v>
      </c>
      <c r="B33" s="10">
        <f>IF(A33&lt;=$B$8,$B$11*A33/$B$8,MAX($B$11*($B$9-A33)/($B$9-$B$8),0))</f>
        <v>4.669794357751732</v>
      </c>
    </row>
    <row r="34" spans="1:2">
      <c r="A34">
        <v>17</v>
      </c>
      <c r="B34" s="10">
        <f>IF(A34&lt;=$B$8,$B$11*A34/$B$8,MAX($B$11*($B$9-A34)/($B$9-$B$8),0))</f>
        <v>2.7236445043854784</v>
      </c>
    </row>
    <row r="35" spans="1:2">
      <c r="A35">
        <v>18</v>
      </c>
      <c r="B35" s="10">
        <f>IF(A35&lt;=$B$8,$B$11*A35/$B$8,MAX($B$11*($B$9-A35)/($B$9-$B$8),0))</f>
        <v>0.7774946510192253</v>
      </c>
    </row>
    <row r="36" spans="1:2">
      <c r="A36">
        <v>19</v>
      </c>
      <c r="B36" s="10">
        <f>IF(A36&lt;=$B$8,$B$11*A36/$B$8,MAX($B$11*($B$9-A36)/($B$9-$B$8),0))</f>
        <v>0.0</v>
      </c>
    </row>
    <row r="38" spans="1:2">
      <c r="A38" t="s">
        <v>196</v>
      </c>
      <c r="B38" s="10">
        <f>SUM(B17:B36)</f>
        <v>206.0273014919579</v>
      </c>
    </row>
    <row r="39" spans="1:2">
      <c r="A39" t="s">
        <v>197</v>
      </c>
      <c r="B39" s="10">
        <f>B3*10/3.6</f>
        <v>383.3333333333333</v>
      </c>
    </row>
    <row r="40" spans="1:2">
      <c r="A40" t="s">
        <v>198</v>
      </c>
      <c r="B40" s="8">
        <f>B38/B39</f>
        <v>0.5374625256311946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I100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8.7109375" customWidth="1"/>
    <col min="2" max="2" width="12.7109375" customWidth="1"/>
    <col min="3" max="114" width="7.7109375" customWidth="1"/>
  </cols>
  <sheetData>
    <row r="1" spans="1:113">
      <c r="A1" s="1" t="s">
        <v>199</v>
      </c>
    </row>
    <row r="2" spans="1:113">
      <c r="A2" t="s">
        <v>200</v>
      </c>
    </row>
    <row r="4" spans="1:113">
      <c r="A4" t="s">
        <v>203</v>
      </c>
      <c r="B4" s="4" t="s">
        <v>202</v>
      </c>
    </row>
    <row r="5" spans="1:113">
      <c r="C5" s="4">
        <v>0</v>
      </c>
      <c r="D5" s="4">
        <v>1</v>
      </c>
      <c r="E5" s="4">
        <v>2</v>
      </c>
      <c r="F5" s="4">
        <v>3</v>
      </c>
      <c r="G5" s="4">
        <v>4</v>
      </c>
      <c r="H5" s="4">
        <v>5</v>
      </c>
      <c r="I5" s="4">
        <v>6</v>
      </c>
      <c r="J5" s="4">
        <v>7</v>
      </c>
      <c r="K5" s="4">
        <v>8</v>
      </c>
      <c r="L5" s="4">
        <v>9</v>
      </c>
      <c r="M5" s="4">
        <v>10</v>
      </c>
      <c r="N5" s="4">
        <v>11</v>
      </c>
      <c r="O5" s="4">
        <v>12</v>
      </c>
      <c r="P5" s="4">
        <v>13</v>
      </c>
      <c r="Q5" s="4">
        <v>14</v>
      </c>
      <c r="R5" s="4">
        <v>15</v>
      </c>
      <c r="S5" s="4">
        <v>16</v>
      </c>
      <c r="T5" s="4">
        <v>17</v>
      </c>
      <c r="U5" s="4">
        <v>18</v>
      </c>
      <c r="V5" s="4">
        <v>19</v>
      </c>
      <c r="W5" s="4">
        <v>20</v>
      </c>
      <c r="X5" s="4">
        <v>21</v>
      </c>
      <c r="Y5" s="4">
        <v>22</v>
      </c>
      <c r="Z5" s="4">
        <v>23</v>
      </c>
      <c r="AA5" s="4">
        <v>24</v>
      </c>
      <c r="AB5" s="4">
        <v>25</v>
      </c>
      <c r="AC5" s="4">
        <v>26</v>
      </c>
      <c r="AD5" s="4">
        <v>27</v>
      </c>
      <c r="AE5" s="4">
        <v>28</v>
      </c>
      <c r="AF5" s="4">
        <v>29</v>
      </c>
      <c r="AG5" s="4">
        <v>30</v>
      </c>
      <c r="AH5" s="4">
        <v>31</v>
      </c>
      <c r="AI5" s="4">
        <v>32</v>
      </c>
      <c r="AJ5" s="4">
        <v>33</v>
      </c>
      <c r="AK5" s="4">
        <v>34</v>
      </c>
      <c r="AL5" s="4">
        <v>35</v>
      </c>
      <c r="AM5" s="4">
        <v>36</v>
      </c>
      <c r="AN5" s="4">
        <v>37</v>
      </c>
      <c r="AO5" s="4">
        <v>38</v>
      </c>
      <c r="AP5" s="4">
        <v>39</v>
      </c>
      <c r="AQ5" s="4">
        <v>40</v>
      </c>
      <c r="AR5" s="4">
        <v>41</v>
      </c>
      <c r="AS5" s="4">
        <v>42</v>
      </c>
      <c r="AT5" s="4">
        <v>43</v>
      </c>
      <c r="AU5" s="4">
        <v>44</v>
      </c>
      <c r="AV5" s="4">
        <v>45</v>
      </c>
      <c r="AW5" s="4">
        <v>46</v>
      </c>
      <c r="AX5" s="4">
        <v>47</v>
      </c>
      <c r="AY5" s="4">
        <v>48</v>
      </c>
      <c r="AZ5" s="4">
        <v>49</v>
      </c>
      <c r="BA5" s="4">
        <v>50</v>
      </c>
      <c r="BB5" s="4">
        <v>51</v>
      </c>
      <c r="BC5" s="4">
        <v>52</v>
      </c>
      <c r="BD5" s="4">
        <v>53</v>
      </c>
      <c r="BE5" s="4">
        <v>54</v>
      </c>
      <c r="BF5" s="4">
        <v>55</v>
      </c>
      <c r="BG5" s="4">
        <v>56</v>
      </c>
      <c r="BH5" s="4">
        <v>57</v>
      </c>
      <c r="BI5" s="4">
        <v>58</v>
      </c>
      <c r="BJ5" s="4">
        <v>59</v>
      </c>
      <c r="BK5" s="4">
        <v>60</v>
      </c>
      <c r="BL5" s="4">
        <v>61</v>
      </c>
      <c r="BM5" s="4">
        <v>62</v>
      </c>
      <c r="BN5" s="4">
        <v>63</v>
      </c>
      <c r="BO5" s="4">
        <v>64</v>
      </c>
      <c r="BP5" s="4">
        <v>65</v>
      </c>
      <c r="BQ5" s="4">
        <v>66</v>
      </c>
      <c r="BR5" s="4">
        <v>67</v>
      </c>
      <c r="BS5" s="4">
        <v>68</v>
      </c>
      <c r="BT5" s="4">
        <v>69</v>
      </c>
      <c r="BU5" s="4">
        <v>70</v>
      </c>
      <c r="BV5" s="4">
        <v>71</v>
      </c>
      <c r="BW5" s="4">
        <v>72</v>
      </c>
      <c r="BX5" s="4">
        <v>73</v>
      </c>
      <c r="BY5" s="4">
        <v>74</v>
      </c>
      <c r="BZ5" s="4">
        <v>75</v>
      </c>
      <c r="CA5" s="4">
        <v>76</v>
      </c>
      <c r="CB5" s="4">
        <v>77</v>
      </c>
      <c r="CC5" s="4">
        <v>78</v>
      </c>
      <c r="CD5" s="4">
        <v>79</v>
      </c>
      <c r="CE5" s="4">
        <v>80</v>
      </c>
      <c r="CF5" s="4">
        <v>81</v>
      </c>
      <c r="CG5" s="4">
        <v>82</v>
      </c>
      <c r="CH5" s="4">
        <v>83</v>
      </c>
      <c r="CI5" s="4">
        <v>84</v>
      </c>
      <c r="CJ5" s="4">
        <v>85</v>
      </c>
      <c r="CK5" s="4">
        <v>86</v>
      </c>
      <c r="CL5" s="4">
        <v>87</v>
      </c>
      <c r="CM5" s="4">
        <v>88</v>
      </c>
      <c r="CN5" s="4">
        <v>89</v>
      </c>
      <c r="CO5" s="4">
        <v>90</v>
      </c>
      <c r="CP5" s="4">
        <v>91</v>
      </c>
      <c r="CQ5" s="4">
        <v>92</v>
      </c>
      <c r="CR5" s="4">
        <v>93</v>
      </c>
      <c r="CS5" s="4">
        <v>94</v>
      </c>
      <c r="CT5" s="4">
        <v>95</v>
      </c>
      <c r="CU5" s="4">
        <v>96</v>
      </c>
      <c r="CV5" s="4">
        <v>97</v>
      </c>
      <c r="CW5" s="4">
        <v>98</v>
      </c>
      <c r="CX5" s="4">
        <v>99</v>
      </c>
      <c r="CY5" s="4">
        <v>100</v>
      </c>
      <c r="CZ5" s="4">
        <v>101</v>
      </c>
      <c r="DA5" s="4">
        <v>102</v>
      </c>
      <c r="DB5" s="4">
        <v>103</v>
      </c>
      <c r="DC5" s="4">
        <v>104</v>
      </c>
      <c r="DD5" s="4">
        <v>105</v>
      </c>
      <c r="DE5" s="4">
        <v>106</v>
      </c>
      <c r="DF5" s="4">
        <v>107</v>
      </c>
      <c r="DG5" s="4">
        <v>108</v>
      </c>
      <c r="DH5" s="4">
        <v>109</v>
      </c>
      <c r="DI5" s="4">
        <v>110</v>
      </c>
    </row>
    <row r="6" spans="1:113">
      <c r="A6">
        <v>0</v>
      </c>
      <c r="B6" s="10">
        <f>Serie_horaria!N2</f>
        <v>0.0</v>
      </c>
      <c r="C6" s="14">
        <f>IF(AND(C$5-$A6&gt;=0,C$5-$A6&lt;=19),INDEX(HU_ord,C$5-$A6+1)*$B6,0)</f>
        <v>0.0</v>
      </c>
      <c r="D6" s="14">
        <f>IF(AND(D$5-$A6&gt;=0,D$5-$A6&lt;=19),INDEX(HU_ord,D$5-$A6+1)*$B6,0)</f>
        <v>0.0</v>
      </c>
      <c r="E6" s="14">
        <f>IF(AND(E$5-$A6&gt;=0,E$5-$A6&lt;=19),INDEX(HU_ord,E$5-$A6+1)*$B6,0)</f>
        <v>0.0</v>
      </c>
      <c r="F6" s="14">
        <f>IF(AND(F$5-$A6&gt;=0,F$5-$A6&lt;=19),INDEX(HU_ord,F$5-$A6+1)*$B6,0)</f>
        <v>0.0</v>
      </c>
      <c r="G6" s="14">
        <f>IF(AND(G$5-$A6&gt;=0,G$5-$A6&lt;=19),INDEX(HU_ord,G$5-$A6+1)*$B6,0)</f>
        <v>0.0</v>
      </c>
      <c r="H6" s="14">
        <f>IF(AND(H$5-$A6&gt;=0,H$5-$A6&lt;=19),INDEX(HU_ord,H$5-$A6+1)*$B6,0)</f>
        <v>0.0</v>
      </c>
      <c r="I6" s="14">
        <f>IF(AND(I$5-$A6&gt;=0,I$5-$A6&lt;=19),INDEX(HU_ord,I$5-$A6+1)*$B6,0)</f>
        <v>0.0</v>
      </c>
      <c r="J6" s="14">
        <f>IF(AND(J$5-$A6&gt;=0,J$5-$A6&lt;=19),INDEX(HU_ord,J$5-$A6+1)*$B6,0)</f>
        <v>0.0</v>
      </c>
      <c r="K6" s="14">
        <f>IF(AND(K$5-$A6&gt;=0,K$5-$A6&lt;=19),INDEX(HU_ord,K$5-$A6+1)*$B6,0)</f>
        <v>0.0</v>
      </c>
      <c r="L6" s="14">
        <f>IF(AND(L$5-$A6&gt;=0,L$5-$A6&lt;=19),INDEX(HU_ord,L$5-$A6+1)*$B6,0)</f>
        <v>0.0</v>
      </c>
      <c r="M6" s="14">
        <f>IF(AND(M$5-$A6&gt;=0,M$5-$A6&lt;=19),INDEX(HU_ord,M$5-$A6+1)*$B6,0)</f>
        <v>0.0</v>
      </c>
      <c r="N6" s="14">
        <f>IF(AND(N$5-$A6&gt;=0,N$5-$A6&lt;=19),INDEX(HU_ord,N$5-$A6+1)*$B6,0)</f>
        <v>0.0</v>
      </c>
      <c r="O6" s="14">
        <f>IF(AND(O$5-$A6&gt;=0,O$5-$A6&lt;=19),INDEX(HU_ord,O$5-$A6+1)*$B6,0)</f>
        <v>0.0</v>
      </c>
      <c r="P6" s="14">
        <f>IF(AND(P$5-$A6&gt;=0,P$5-$A6&lt;=19),INDEX(HU_ord,P$5-$A6+1)*$B6,0)</f>
        <v>0.0</v>
      </c>
      <c r="Q6" s="14">
        <f>IF(AND(Q$5-$A6&gt;=0,Q$5-$A6&lt;=19),INDEX(HU_ord,Q$5-$A6+1)*$B6,0)</f>
        <v>0.0</v>
      </c>
      <c r="R6" s="14">
        <f>IF(AND(R$5-$A6&gt;=0,R$5-$A6&lt;=19),INDEX(HU_ord,R$5-$A6+1)*$B6,0)</f>
        <v>0.0</v>
      </c>
      <c r="S6" s="14">
        <f>IF(AND(S$5-$A6&gt;=0,S$5-$A6&lt;=19),INDEX(HU_ord,S$5-$A6+1)*$B6,0)</f>
        <v>0.0</v>
      </c>
      <c r="T6" s="14">
        <f>IF(AND(T$5-$A6&gt;=0,T$5-$A6&lt;=19),INDEX(HU_ord,T$5-$A6+1)*$B6,0)</f>
        <v>0.0</v>
      </c>
      <c r="U6" s="14">
        <f>IF(AND(U$5-$A6&gt;=0,U$5-$A6&lt;=19),INDEX(HU_ord,U$5-$A6+1)*$B6,0)</f>
        <v>0.0</v>
      </c>
      <c r="V6" s="14">
        <f>IF(AND(V$5-$A6&gt;=0,V$5-$A6&lt;=19),INDEX(HU_ord,V$5-$A6+1)*$B6,0)</f>
        <v>0.0</v>
      </c>
      <c r="W6" s="14">
        <f>IF(AND(W$5-$A6&gt;=0,W$5-$A6&lt;=19),INDEX(HU_ord,W$5-$A6+1)*$B6,0)</f>
        <v>0.0</v>
      </c>
      <c r="X6" s="14">
        <f>IF(AND(X$5-$A6&gt;=0,X$5-$A6&lt;=19),INDEX(HU_ord,X$5-$A6+1)*$B6,0)</f>
        <v>0.0</v>
      </c>
      <c r="Y6" s="14">
        <f>IF(AND(Y$5-$A6&gt;=0,Y$5-$A6&lt;=19),INDEX(HU_ord,Y$5-$A6+1)*$B6,0)</f>
        <v>0.0</v>
      </c>
      <c r="Z6" s="14">
        <f>IF(AND(Z$5-$A6&gt;=0,Z$5-$A6&lt;=19),INDEX(HU_ord,Z$5-$A6+1)*$B6,0)</f>
        <v>0.0</v>
      </c>
      <c r="AA6" s="14">
        <f>IF(AND(AA$5-$A6&gt;=0,AA$5-$A6&lt;=19),INDEX(HU_ord,AA$5-$A6+1)*$B6,0)</f>
        <v>0.0</v>
      </c>
      <c r="AB6" s="14">
        <f>IF(AND(AB$5-$A6&gt;=0,AB$5-$A6&lt;=19),INDEX(HU_ord,AB$5-$A6+1)*$B6,0)</f>
        <v>0.0</v>
      </c>
      <c r="AC6" s="14">
        <f>IF(AND(AC$5-$A6&gt;=0,AC$5-$A6&lt;=19),INDEX(HU_ord,AC$5-$A6+1)*$B6,0)</f>
        <v>0.0</v>
      </c>
      <c r="AD6" s="14">
        <f>IF(AND(AD$5-$A6&gt;=0,AD$5-$A6&lt;=19),INDEX(HU_ord,AD$5-$A6+1)*$B6,0)</f>
        <v>0.0</v>
      </c>
      <c r="AE6" s="14">
        <f>IF(AND(AE$5-$A6&gt;=0,AE$5-$A6&lt;=19),INDEX(HU_ord,AE$5-$A6+1)*$B6,0)</f>
        <v>0.0</v>
      </c>
      <c r="AF6" s="14">
        <f>IF(AND(AF$5-$A6&gt;=0,AF$5-$A6&lt;=19),INDEX(HU_ord,AF$5-$A6+1)*$B6,0)</f>
        <v>0.0</v>
      </c>
      <c r="AG6" s="14">
        <f>IF(AND(AG$5-$A6&gt;=0,AG$5-$A6&lt;=19),INDEX(HU_ord,AG$5-$A6+1)*$B6,0)</f>
        <v>0.0</v>
      </c>
      <c r="AH6" s="14">
        <f>IF(AND(AH$5-$A6&gt;=0,AH$5-$A6&lt;=19),INDEX(HU_ord,AH$5-$A6+1)*$B6,0)</f>
        <v>0.0</v>
      </c>
      <c r="AI6" s="14">
        <f>IF(AND(AI$5-$A6&gt;=0,AI$5-$A6&lt;=19),INDEX(HU_ord,AI$5-$A6+1)*$B6,0)</f>
        <v>0.0</v>
      </c>
      <c r="AJ6" s="14">
        <f>IF(AND(AJ$5-$A6&gt;=0,AJ$5-$A6&lt;=19),INDEX(HU_ord,AJ$5-$A6+1)*$B6,0)</f>
        <v>0.0</v>
      </c>
      <c r="AK6" s="14">
        <f>IF(AND(AK$5-$A6&gt;=0,AK$5-$A6&lt;=19),INDEX(HU_ord,AK$5-$A6+1)*$B6,0)</f>
        <v>0.0</v>
      </c>
      <c r="AL6" s="14">
        <f>IF(AND(AL$5-$A6&gt;=0,AL$5-$A6&lt;=19),INDEX(HU_ord,AL$5-$A6+1)*$B6,0)</f>
        <v>0.0</v>
      </c>
      <c r="AM6" s="14">
        <f>IF(AND(AM$5-$A6&gt;=0,AM$5-$A6&lt;=19),INDEX(HU_ord,AM$5-$A6+1)*$B6,0)</f>
        <v>0.0</v>
      </c>
      <c r="AN6" s="14">
        <f>IF(AND(AN$5-$A6&gt;=0,AN$5-$A6&lt;=19),INDEX(HU_ord,AN$5-$A6+1)*$B6,0)</f>
        <v>0.0</v>
      </c>
      <c r="AO6" s="14">
        <f>IF(AND(AO$5-$A6&gt;=0,AO$5-$A6&lt;=19),INDEX(HU_ord,AO$5-$A6+1)*$B6,0)</f>
        <v>0.0</v>
      </c>
      <c r="AP6" s="14">
        <f>IF(AND(AP$5-$A6&gt;=0,AP$5-$A6&lt;=19),INDEX(HU_ord,AP$5-$A6+1)*$B6,0)</f>
        <v>0.0</v>
      </c>
      <c r="AQ6" s="14">
        <f>IF(AND(AQ$5-$A6&gt;=0,AQ$5-$A6&lt;=19),INDEX(HU_ord,AQ$5-$A6+1)*$B6,0)</f>
        <v>0.0</v>
      </c>
      <c r="AR6" s="14">
        <f>IF(AND(AR$5-$A6&gt;=0,AR$5-$A6&lt;=19),INDEX(HU_ord,AR$5-$A6+1)*$B6,0)</f>
        <v>0.0</v>
      </c>
      <c r="AS6" s="14">
        <f>IF(AND(AS$5-$A6&gt;=0,AS$5-$A6&lt;=19),INDEX(HU_ord,AS$5-$A6+1)*$B6,0)</f>
        <v>0.0</v>
      </c>
      <c r="AT6" s="14">
        <f>IF(AND(AT$5-$A6&gt;=0,AT$5-$A6&lt;=19),INDEX(HU_ord,AT$5-$A6+1)*$B6,0)</f>
        <v>0.0</v>
      </c>
      <c r="AU6" s="14">
        <f>IF(AND(AU$5-$A6&gt;=0,AU$5-$A6&lt;=19),INDEX(HU_ord,AU$5-$A6+1)*$B6,0)</f>
        <v>0.0</v>
      </c>
      <c r="AV6" s="14">
        <f>IF(AND(AV$5-$A6&gt;=0,AV$5-$A6&lt;=19),INDEX(HU_ord,AV$5-$A6+1)*$B6,0)</f>
        <v>0.0</v>
      </c>
      <c r="AW6" s="14">
        <f>IF(AND(AW$5-$A6&gt;=0,AW$5-$A6&lt;=19),INDEX(HU_ord,AW$5-$A6+1)*$B6,0)</f>
        <v>0.0</v>
      </c>
      <c r="AX6" s="14">
        <f>IF(AND(AX$5-$A6&gt;=0,AX$5-$A6&lt;=19),INDEX(HU_ord,AX$5-$A6+1)*$B6,0)</f>
        <v>0.0</v>
      </c>
      <c r="AY6" s="14">
        <f>IF(AND(AY$5-$A6&gt;=0,AY$5-$A6&lt;=19),INDEX(HU_ord,AY$5-$A6+1)*$B6,0)</f>
        <v>0.0</v>
      </c>
      <c r="AZ6" s="14">
        <f>IF(AND(AZ$5-$A6&gt;=0,AZ$5-$A6&lt;=19),INDEX(HU_ord,AZ$5-$A6+1)*$B6,0)</f>
        <v>0.0</v>
      </c>
      <c r="BA6" s="14">
        <f>IF(AND(BA$5-$A6&gt;=0,BA$5-$A6&lt;=19),INDEX(HU_ord,BA$5-$A6+1)*$B6,0)</f>
        <v>0.0</v>
      </c>
      <c r="BB6" s="14">
        <f>IF(AND(BB$5-$A6&gt;=0,BB$5-$A6&lt;=19),INDEX(HU_ord,BB$5-$A6+1)*$B6,0)</f>
        <v>0.0</v>
      </c>
      <c r="BC6" s="14">
        <f>IF(AND(BC$5-$A6&gt;=0,BC$5-$A6&lt;=19),INDEX(HU_ord,BC$5-$A6+1)*$B6,0)</f>
        <v>0.0</v>
      </c>
      <c r="BD6" s="14">
        <f>IF(AND(BD$5-$A6&gt;=0,BD$5-$A6&lt;=19),INDEX(HU_ord,BD$5-$A6+1)*$B6,0)</f>
        <v>0.0</v>
      </c>
      <c r="BE6" s="14">
        <f>IF(AND(BE$5-$A6&gt;=0,BE$5-$A6&lt;=19),INDEX(HU_ord,BE$5-$A6+1)*$B6,0)</f>
        <v>0.0</v>
      </c>
      <c r="BF6" s="14">
        <f>IF(AND(BF$5-$A6&gt;=0,BF$5-$A6&lt;=19),INDEX(HU_ord,BF$5-$A6+1)*$B6,0)</f>
        <v>0.0</v>
      </c>
      <c r="BG6" s="14">
        <f>IF(AND(BG$5-$A6&gt;=0,BG$5-$A6&lt;=19),INDEX(HU_ord,BG$5-$A6+1)*$B6,0)</f>
        <v>0.0</v>
      </c>
      <c r="BH6" s="14">
        <f>IF(AND(BH$5-$A6&gt;=0,BH$5-$A6&lt;=19),INDEX(HU_ord,BH$5-$A6+1)*$B6,0)</f>
        <v>0.0</v>
      </c>
      <c r="BI6" s="14">
        <f>IF(AND(BI$5-$A6&gt;=0,BI$5-$A6&lt;=19),INDEX(HU_ord,BI$5-$A6+1)*$B6,0)</f>
        <v>0.0</v>
      </c>
      <c r="BJ6" s="14">
        <f>IF(AND(BJ$5-$A6&gt;=0,BJ$5-$A6&lt;=19),INDEX(HU_ord,BJ$5-$A6+1)*$B6,0)</f>
        <v>0.0</v>
      </c>
      <c r="BK6" s="14">
        <f>IF(AND(BK$5-$A6&gt;=0,BK$5-$A6&lt;=19),INDEX(HU_ord,BK$5-$A6+1)*$B6,0)</f>
        <v>0.0</v>
      </c>
      <c r="BL6" s="14">
        <f>IF(AND(BL$5-$A6&gt;=0,BL$5-$A6&lt;=19),INDEX(HU_ord,BL$5-$A6+1)*$B6,0)</f>
        <v>0.0</v>
      </c>
      <c r="BM6" s="14">
        <f>IF(AND(BM$5-$A6&gt;=0,BM$5-$A6&lt;=19),INDEX(HU_ord,BM$5-$A6+1)*$B6,0)</f>
        <v>0.0</v>
      </c>
      <c r="BN6" s="14">
        <f>IF(AND(BN$5-$A6&gt;=0,BN$5-$A6&lt;=19),INDEX(HU_ord,BN$5-$A6+1)*$B6,0)</f>
        <v>0.0</v>
      </c>
      <c r="BO6" s="14">
        <f>IF(AND(BO$5-$A6&gt;=0,BO$5-$A6&lt;=19),INDEX(HU_ord,BO$5-$A6+1)*$B6,0)</f>
        <v>0.0</v>
      </c>
      <c r="BP6" s="14">
        <f>IF(AND(BP$5-$A6&gt;=0,BP$5-$A6&lt;=19),INDEX(HU_ord,BP$5-$A6+1)*$B6,0)</f>
        <v>0.0</v>
      </c>
      <c r="BQ6" s="14">
        <f>IF(AND(BQ$5-$A6&gt;=0,BQ$5-$A6&lt;=19),INDEX(HU_ord,BQ$5-$A6+1)*$B6,0)</f>
        <v>0.0</v>
      </c>
      <c r="BR6" s="14">
        <f>IF(AND(BR$5-$A6&gt;=0,BR$5-$A6&lt;=19),INDEX(HU_ord,BR$5-$A6+1)*$B6,0)</f>
        <v>0.0</v>
      </c>
      <c r="BS6" s="14">
        <f>IF(AND(BS$5-$A6&gt;=0,BS$5-$A6&lt;=19),INDEX(HU_ord,BS$5-$A6+1)*$B6,0)</f>
        <v>0.0</v>
      </c>
      <c r="BT6" s="14">
        <f>IF(AND(BT$5-$A6&gt;=0,BT$5-$A6&lt;=19),INDEX(HU_ord,BT$5-$A6+1)*$B6,0)</f>
        <v>0.0</v>
      </c>
      <c r="BU6" s="14">
        <f>IF(AND(BU$5-$A6&gt;=0,BU$5-$A6&lt;=19),INDEX(HU_ord,BU$5-$A6+1)*$B6,0)</f>
        <v>0.0</v>
      </c>
      <c r="BV6" s="14">
        <f>IF(AND(BV$5-$A6&gt;=0,BV$5-$A6&lt;=19),INDEX(HU_ord,BV$5-$A6+1)*$B6,0)</f>
        <v>0.0</v>
      </c>
      <c r="BW6" s="14">
        <f>IF(AND(BW$5-$A6&gt;=0,BW$5-$A6&lt;=19),INDEX(HU_ord,BW$5-$A6+1)*$B6,0)</f>
        <v>0.0</v>
      </c>
      <c r="BX6" s="14">
        <f>IF(AND(BX$5-$A6&gt;=0,BX$5-$A6&lt;=19),INDEX(HU_ord,BX$5-$A6+1)*$B6,0)</f>
        <v>0.0</v>
      </c>
      <c r="BY6" s="14">
        <f>IF(AND(BY$5-$A6&gt;=0,BY$5-$A6&lt;=19),INDEX(HU_ord,BY$5-$A6+1)*$B6,0)</f>
        <v>0.0</v>
      </c>
      <c r="BZ6" s="14">
        <f>IF(AND(BZ$5-$A6&gt;=0,BZ$5-$A6&lt;=19),INDEX(HU_ord,BZ$5-$A6+1)*$B6,0)</f>
        <v>0.0</v>
      </c>
      <c r="CA6" s="14">
        <f>IF(AND(CA$5-$A6&gt;=0,CA$5-$A6&lt;=19),INDEX(HU_ord,CA$5-$A6+1)*$B6,0)</f>
        <v>0.0</v>
      </c>
      <c r="CB6" s="14">
        <f>IF(AND(CB$5-$A6&gt;=0,CB$5-$A6&lt;=19),INDEX(HU_ord,CB$5-$A6+1)*$B6,0)</f>
        <v>0.0</v>
      </c>
      <c r="CC6" s="14">
        <f>IF(AND(CC$5-$A6&gt;=0,CC$5-$A6&lt;=19),INDEX(HU_ord,CC$5-$A6+1)*$B6,0)</f>
        <v>0.0</v>
      </c>
      <c r="CD6" s="14">
        <f>IF(AND(CD$5-$A6&gt;=0,CD$5-$A6&lt;=19),INDEX(HU_ord,CD$5-$A6+1)*$B6,0)</f>
        <v>0.0</v>
      </c>
      <c r="CE6" s="14">
        <f>IF(AND(CE$5-$A6&gt;=0,CE$5-$A6&lt;=19),INDEX(HU_ord,CE$5-$A6+1)*$B6,0)</f>
        <v>0.0</v>
      </c>
      <c r="CF6" s="14">
        <f>IF(AND(CF$5-$A6&gt;=0,CF$5-$A6&lt;=19),INDEX(HU_ord,CF$5-$A6+1)*$B6,0)</f>
        <v>0.0</v>
      </c>
      <c r="CG6" s="14">
        <f>IF(AND(CG$5-$A6&gt;=0,CG$5-$A6&lt;=19),INDEX(HU_ord,CG$5-$A6+1)*$B6,0)</f>
        <v>0.0</v>
      </c>
      <c r="CH6" s="14">
        <f>IF(AND(CH$5-$A6&gt;=0,CH$5-$A6&lt;=19),INDEX(HU_ord,CH$5-$A6+1)*$B6,0)</f>
        <v>0.0</v>
      </c>
      <c r="CI6" s="14">
        <f>IF(AND(CI$5-$A6&gt;=0,CI$5-$A6&lt;=19),INDEX(HU_ord,CI$5-$A6+1)*$B6,0)</f>
        <v>0.0</v>
      </c>
      <c r="CJ6" s="14">
        <f>IF(AND(CJ$5-$A6&gt;=0,CJ$5-$A6&lt;=19),INDEX(HU_ord,CJ$5-$A6+1)*$B6,0)</f>
        <v>0.0</v>
      </c>
      <c r="CK6" s="14">
        <f>IF(AND(CK$5-$A6&gt;=0,CK$5-$A6&lt;=19),INDEX(HU_ord,CK$5-$A6+1)*$B6,0)</f>
        <v>0.0</v>
      </c>
      <c r="CL6" s="14">
        <f>IF(AND(CL$5-$A6&gt;=0,CL$5-$A6&lt;=19),INDEX(HU_ord,CL$5-$A6+1)*$B6,0)</f>
        <v>0.0</v>
      </c>
      <c r="CM6" s="14">
        <f>IF(AND(CM$5-$A6&gt;=0,CM$5-$A6&lt;=19),INDEX(HU_ord,CM$5-$A6+1)*$B6,0)</f>
        <v>0.0</v>
      </c>
      <c r="CN6" s="14">
        <f>IF(AND(CN$5-$A6&gt;=0,CN$5-$A6&lt;=19),INDEX(HU_ord,CN$5-$A6+1)*$B6,0)</f>
        <v>0.0</v>
      </c>
      <c r="CO6" s="14">
        <f>IF(AND(CO$5-$A6&gt;=0,CO$5-$A6&lt;=19),INDEX(HU_ord,CO$5-$A6+1)*$B6,0)</f>
        <v>0.0</v>
      </c>
      <c r="CP6" s="14">
        <f>IF(AND(CP$5-$A6&gt;=0,CP$5-$A6&lt;=19),INDEX(HU_ord,CP$5-$A6+1)*$B6,0)</f>
        <v>0.0</v>
      </c>
      <c r="CQ6" s="14">
        <f>IF(AND(CQ$5-$A6&gt;=0,CQ$5-$A6&lt;=19),INDEX(HU_ord,CQ$5-$A6+1)*$B6,0)</f>
        <v>0.0</v>
      </c>
      <c r="CR6" s="14">
        <f>IF(AND(CR$5-$A6&gt;=0,CR$5-$A6&lt;=19),INDEX(HU_ord,CR$5-$A6+1)*$B6,0)</f>
        <v>0.0</v>
      </c>
      <c r="CS6" s="14">
        <f>IF(AND(CS$5-$A6&gt;=0,CS$5-$A6&lt;=19),INDEX(HU_ord,CS$5-$A6+1)*$B6,0)</f>
        <v>0.0</v>
      </c>
      <c r="CT6" s="14">
        <f>IF(AND(CT$5-$A6&gt;=0,CT$5-$A6&lt;=19),INDEX(HU_ord,CT$5-$A6+1)*$B6,0)</f>
        <v>0.0</v>
      </c>
      <c r="CU6" s="14">
        <f>IF(AND(CU$5-$A6&gt;=0,CU$5-$A6&lt;=19),INDEX(HU_ord,CU$5-$A6+1)*$B6,0)</f>
        <v>0.0</v>
      </c>
      <c r="CV6" s="14">
        <f>IF(AND(CV$5-$A6&gt;=0,CV$5-$A6&lt;=19),INDEX(HU_ord,CV$5-$A6+1)*$B6,0)</f>
        <v>0.0</v>
      </c>
      <c r="CW6" s="14">
        <f>IF(AND(CW$5-$A6&gt;=0,CW$5-$A6&lt;=19),INDEX(HU_ord,CW$5-$A6+1)*$B6,0)</f>
        <v>0.0</v>
      </c>
      <c r="CX6" s="14">
        <f>IF(AND(CX$5-$A6&gt;=0,CX$5-$A6&lt;=19),INDEX(HU_ord,CX$5-$A6+1)*$B6,0)</f>
        <v>0.0</v>
      </c>
      <c r="CY6" s="14">
        <f>IF(AND(CY$5-$A6&gt;=0,CY$5-$A6&lt;=19),INDEX(HU_ord,CY$5-$A6+1)*$B6,0)</f>
        <v>0.0</v>
      </c>
      <c r="CZ6" s="14">
        <f>IF(AND(CZ$5-$A6&gt;=0,CZ$5-$A6&lt;=19),INDEX(HU_ord,CZ$5-$A6+1)*$B6,0)</f>
        <v>0.0</v>
      </c>
      <c r="DA6" s="14">
        <f>IF(AND(DA$5-$A6&gt;=0,DA$5-$A6&lt;=19),INDEX(HU_ord,DA$5-$A6+1)*$B6,0)</f>
        <v>0.0</v>
      </c>
      <c r="DB6" s="14">
        <f>IF(AND(DB$5-$A6&gt;=0,DB$5-$A6&lt;=19),INDEX(HU_ord,DB$5-$A6+1)*$B6,0)</f>
        <v>0.0</v>
      </c>
      <c r="DC6" s="14">
        <f>IF(AND(DC$5-$A6&gt;=0,DC$5-$A6&lt;=19),INDEX(HU_ord,DC$5-$A6+1)*$B6,0)</f>
        <v>0.0</v>
      </c>
      <c r="DD6" s="14">
        <f>IF(AND(DD$5-$A6&gt;=0,DD$5-$A6&lt;=19),INDEX(HU_ord,DD$5-$A6+1)*$B6,0)</f>
        <v>0.0</v>
      </c>
      <c r="DE6" s="14">
        <f>IF(AND(DE$5-$A6&gt;=0,DE$5-$A6&lt;=19),INDEX(HU_ord,DE$5-$A6+1)*$B6,0)</f>
        <v>0.0</v>
      </c>
      <c r="DF6" s="14">
        <f>IF(AND(DF$5-$A6&gt;=0,DF$5-$A6&lt;=19),INDEX(HU_ord,DF$5-$A6+1)*$B6,0)</f>
        <v>0.0</v>
      </c>
      <c r="DG6" s="14">
        <f>IF(AND(DG$5-$A6&gt;=0,DG$5-$A6&lt;=19),INDEX(HU_ord,DG$5-$A6+1)*$B6,0)</f>
        <v>0.0</v>
      </c>
      <c r="DH6" s="14">
        <f>IF(AND(DH$5-$A6&gt;=0,DH$5-$A6&lt;=19),INDEX(HU_ord,DH$5-$A6+1)*$B6,0)</f>
        <v>0.0</v>
      </c>
      <c r="DI6" s="14">
        <f>IF(AND(DI$5-$A6&gt;=0,DI$5-$A6&lt;=19),INDEX(HU_ord,DI$5-$A6+1)*$B6,0)</f>
        <v>0.0</v>
      </c>
    </row>
    <row r="7" spans="1:113">
      <c r="A7">
        <v>1</v>
      </c>
      <c r="B7" s="10">
        <f>Serie_horaria!N3</f>
        <v>0.0</v>
      </c>
      <c r="C7" s="14">
        <f>IF(AND(C$5-$A7&gt;=0,C$5-$A7&lt;=19),INDEX(HU_ord,C$5-$A7+1)*$B7,0)</f>
        <v>0.0</v>
      </c>
      <c r="D7" s="14">
        <f>IF(AND(D$5-$A7&gt;=0,D$5-$A7&lt;=19),INDEX(HU_ord,D$5-$A7+1)*$B7,0)</f>
        <v>0.0</v>
      </c>
      <c r="E7" s="14">
        <f>IF(AND(E$5-$A7&gt;=0,E$5-$A7&lt;=19),INDEX(HU_ord,E$5-$A7+1)*$B7,0)</f>
        <v>0.0</v>
      </c>
      <c r="F7" s="14">
        <f>IF(AND(F$5-$A7&gt;=0,F$5-$A7&lt;=19),INDEX(HU_ord,F$5-$A7+1)*$B7,0)</f>
        <v>0.0</v>
      </c>
      <c r="G7" s="14">
        <f>IF(AND(G$5-$A7&gt;=0,G$5-$A7&lt;=19),INDEX(HU_ord,G$5-$A7+1)*$B7,0)</f>
        <v>0.0</v>
      </c>
      <c r="H7" s="14">
        <f>IF(AND(H$5-$A7&gt;=0,H$5-$A7&lt;=19),INDEX(HU_ord,H$5-$A7+1)*$B7,0)</f>
        <v>0.0</v>
      </c>
      <c r="I7" s="14">
        <f>IF(AND(I$5-$A7&gt;=0,I$5-$A7&lt;=19),INDEX(HU_ord,I$5-$A7+1)*$B7,0)</f>
        <v>0.0</v>
      </c>
      <c r="J7" s="14">
        <f>IF(AND(J$5-$A7&gt;=0,J$5-$A7&lt;=19),INDEX(HU_ord,J$5-$A7+1)*$B7,0)</f>
        <v>0.0</v>
      </c>
      <c r="K7" s="14">
        <f>IF(AND(K$5-$A7&gt;=0,K$5-$A7&lt;=19),INDEX(HU_ord,K$5-$A7+1)*$B7,0)</f>
        <v>0.0</v>
      </c>
      <c r="L7" s="14">
        <f>IF(AND(L$5-$A7&gt;=0,L$5-$A7&lt;=19),INDEX(HU_ord,L$5-$A7+1)*$B7,0)</f>
        <v>0.0</v>
      </c>
      <c r="M7" s="14">
        <f>IF(AND(M$5-$A7&gt;=0,M$5-$A7&lt;=19),INDEX(HU_ord,M$5-$A7+1)*$B7,0)</f>
        <v>0.0</v>
      </c>
      <c r="N7" s="14">
        <f>IF(AND(N$5-$A7&gt;=0,N$5-$A7&lt;=19),INDEX(HU_ord,N$5-$A7+1)*$B7,0)</f>
        <v>0.0</v>
      </c>
      <c r="O7" s="14">
        <f>IF(AND(O$5-$A7&gt;=0,O$5-$A7&lt;=19),INDEX(HU_ord,O$5-$A7+1)*$B7,0)</f>
        <v>0.0</v>
      </c>
      <c r="P7" s="14">
        <f>IF(AND(P$5-$A7&gt;=0,P$5-$A7&lt;=19),INDEX(HU_ord,P$5-$A7+1)*$B7,0)</f>
        <v>0.0</v>
      </c>
      <c r="Q7" s="14">
        <f>IF(AND(Q$5-$A7&gt;=0,Q$5-$A7&lt;=19),INDEX(HU_ord,Q$5-$A7+1)*$B7,0)</f>
        <v>0.0</v>
      </c>
      <c r="R7" s="14">
        <f>IF(AND(R$5-$A7&gt;=0,R$5-$A7&lt;=19),INDEX(HU_ord,R$5-$A7+1)*$B7,0)</f>
        <v>0.0</v>
      </c>
      <c r="S7" s="14">
        <f>IF(AND(S$5-$A7&gt;=0,S$5-$A7&lt;=19),INDEX(HU_ord,S$5-$A7+1)*$B7,0)</f>
        <v>0.0</v>
      </c>
      <c r="T7" s="14">
        <f>IF(AND(T$5-$A7&gt;=0,T$5-$A7&lt;=19),INDEX(HU_ord,T$5-$A7+1)*$B7,0)</f>
        <v>0.0</v>
      </c>
      <c r="U7" s="14">
        <f>IF(AND(U$5-$A7&gt;=0,U$5-$A7&lt;=19),INDEX(HU_ord,U$5-$A7+1)*$B7,0)</f>
        <v>0.0</v>
      </c>
      <c r="V7" s="14">
        <f>IF(AND(V$5-$A7&gt;=0,V$5-$A7&lt;=19),INDEX(HU_ord,V$5-$A7+1)*$B7,0)</f>
        <v>0.0</v>
      </c>
      <c r="W7" s="14">
        <f>IF(AND(W$5-$A7&gt;=0,W$5-$A7&lt;=19),INDEX(HU_ord,W$5-$A7+1)*$B7,0)</f>
        <v>0.0</v>
      </c>
      <c r="X7" s="14">
        <f>IF(AND(X$5-$A7&gt;=0,X$5-$A7&lt;=19),INDEX(HU_ord,X$5-$A7+1)*$B7,0)</f>
        <v>0.0</v>
      </c>
      <c r="Y7" s="14">
        <f>IF(AND(Y$5-$A7&gt;=0,Y$5-$A7&lt;=19),INDEX(HU_ord,Y$5-$A7+1)*$B7,0)</f>
        <v>0.0</v>
      </c>
      <c r="Z7" s="14">
        <f>IF(AND(Z$5-$A7&gt;=0,Z$5-$A7&lt;=19),INDEX(HU_ord,Z$5-$A7+1)*$B7,0)</f>
        <v>0.0</v>
      </c>
      <c r="AA7" s="14">
        <f>IF(AND(AA$5-$A7&gt;=0,AA$5-$A7&lt;=19),INDEX(HU_ord,AA$5-$A7+1)*$B7,0)</f>
        <v>0.0</v>
      </c>
      <c r="AB7" s="14">
        <f>IF(AND(AB$5-$A7&gt;=0,AB$5-$A7&lt;=19),INDEX(HU_ord,AB$5-$A7+1)*$B7,0)</f>
        <v>0.0</v>
      </c>
      <c r="AC7" s="14">
        <f>IF(AND(AC$5-$A7&gt;=0,AC$5-$A7&lt;=19),INDEX(HU_ord,AC$5-$A7+1)*$B7,0)</f>
        <v>0.0</v>
      </c>
      <c r="AD7" s="14">
        <f>IF(AND(AD$5-$A7&gt;=0,AD$5-$A7&lt;=19),INDEX(HU_ord,AD$5-$A7+1)*$B7,0)</f>
        <v>0.0</v>
      </c>
      <c r="AE7" s="14">
        <f>IF(AND(AE$5-$A7&gt;=0,AE$5-$A7&lt;=19),INDEX(HU_ord,AE$5-$A7+1)*$B7,0)</f>
        <v>0.0</v>
      </c>
      <c r="AF7" s="14">
        <f>IF(AND(AF$5-$A7&gt;=0,AF$5-$A7&lt;=19),INDEX(HU_ord,AF$5-$A7+1)*$B7,0)</f>
        <v>0.0</v>
      </c>
      <c r="AG7" s="14">
        <f>IF(AND(AG$5-$A7&gt;=0,AG$5-$A7&lt;=19),INDEX(HU_ord,AG$5-$A7+1)*$B7,0)</f>
        <v>0.0</v>
      </c>
      <c r="AH7" s="14">
        <f>IF(AND(AH$5-$A7&gt;=0,AH$5-$A7&lt;=19),INDEX(HU_ord,AH$5-$A7+1)*$B7,0)</f>
        <v>0.0</v>
      </c>
      <c r="AI7" s="14">
        <f>IF(AND(AI$5-$A7&gt;=0,AI$5-$A7&lt;=19),INDEX(HU_ord,AI$5-$A7+1)*$B7,0)</f>
        <v>0.0</v>
      </c>
      <c r="AJ7" s="14">
        <f>IF(AND(AJ$5-$A7&gt;=0,AJ$5-$A7&lt;=19),INDEX(HU_ord,AJ$5-$A7+1)*$B7,0)</f>
        <v>0.0</v>
      </c>
      <c r="AK7" s="14">
        <f>IF(AND(AK$5-$A7&gt;=0,AK$5-$A7&lt;=19),INDEX(HU_ord,AK$5-$A7+1)*$B7,0)</f>
        <v>0.0</v>
      </c>
      <c r="AL7" s="14">
        <f>IF(AND(AL$5-$A7&gt;=0,AL$5-$A7&lt;=19),INDEX(HU_ord,AL$5-$A7+1)*$B7,0)</f>
        <v>0.0</v>
      </c>
      <c r="AM7" s="14">
        <f>IF(AND(AM$5-$A7&gt;=0,AM$5-$A7&lt;=19),INDEX(HU_ord,AM$5-$A7+1)*$B7,0)</f>
        <v>0.0</v>
      </c>
      <c r="AN7" s="14">
        <f>IF(AND(AN$5-$A7&gt;=0,AN$5-$A7&lt;=19),INDEX(HU_ord,AN$5-$A7+1)*$B7,0)</f>
        <v>0.0</v>
      </c>
      <c r="AO7" s="14">
        <f>IF(AND(AO$5-$A7&gt;=0,AO$5-$A7&lt;=19),INDEX(HU_ord,AO$5-$A7+1)*$B7,0)</f>
        <v>0.0</v>
      </c>
      <c r="AP7" s="14">
        <f>IF(AND(AP$5-$A7&gt;=0,AP$5-$A7&lt;=19),INDEX(HU_ord,AP$5-$A7+1)*$B7,0)</f>
        <v>0.0</v>
      </c>
      <c r="AQ7" s="14">
        <f>IF(AND(AQ$5-$A7&gt;=0,AQ$5-$A7&lt;=19),INDEX(HU_ord,AQ$5-$A7+1)*$B7,0)</f>
        <v>0.0</v>
      </c>
      <c r="AR7" s="14">
        <f>IF(AND(AR$5-$A7&gt;=0,AR$5-$A7&lt;=19),INDEX(HU_ord,AR$5-$A7+1)*$B7,0)</f>
        <v>0.0</v>
      </c>
      <c r="AS7" s="14">
        <f>IF(AND(AS$5-$A7&gt;=0,AS$5-$A7&lt;=19),INDEX(HU_ord,AS$5-$A7+1)*$B7,0)</f>
        <v>0.0</v>
      </c>
      <c r="AT7" s="14">
        <f>IF(AND(AT$5-$A7&gt;=0,AT$5-$A7&lt;=19),INDEX(HU_ord,AT$5-$A7+1)*$B7,0)</f>
        <v>0.0</v>
      </c>
      <c r="AU7" s="14">
        <f>IF(AND(AU$5-$A7&gt;=0,AU$5-$A7&lt;=19),INDEX(HU_ord,AU$5-$A7+1)*$B7,0)</f>
        <v>0.0</v>
      </c>
      <c r="AV7" s="14">
        <f>IF(AND(AV$5-$A7&gt;=0,AV$5-$A7&lt;=19),INDEX(HU_ord,AV$5-$A7+1)*$B7,0)</f>
        <v>0.0</v>
      </c>
      <c r="AW7" s="14">
        <f>IF(AND(AW$5-$A7&gt;=0,AW$5-$A7&lt;=19),INDEX(HU_ord,AW$5-$A7+1)*$B7,0)</f>
        <v>0.0</v>
      </c>
      <c r="AX7" s="14">
        <f>IF(AND(AX$5-$A7&gt;=0,AX$5-$A7&lt;=19),INDEX(HU_ord,AX$5-$A7+1)*$B7,0)</f>
        <v>0.0</v>
      </c>
      <c r="AY7" s="14">
        <f>IF(AND(AY$5-$A7&gt;=0,AY$5-$A7&lt;=19),INDEX(HU_ord,AY$5-$A7+1)*$B7,0)</f>
        <v>0.0</v>
      </c>
      <c r="AZ7" s="14">
        <f>IF(AND(AZ$5-$A7&gt;=0,AZ$5-$A7&lt;=19),INDEX(HU_ord,AZ$5-$A7+1)*$B7,0)</f>
        <v>0.0</v>
      </c>
      <c r="BA7" s="14">
        <f>IF(AND(BA$5-$A7&gt;=0,BA$5-$A7&lt;=19),INDEX(HU_ord,BA$5-$A7+1)*$B7,0)</f>
        <v>0.0</v>
      </c>
      <c r="BB7" s="14">
        <f>IF(AND(BB$5-$A7&gt;=0,BB$5-$A7&lt;=19),INDEX(HU_ord,BB$5-$A7+1)*$B7,0)</f>
        <v>0.0</v>
      </c>
      <c r="BC7" s="14">
        <f>IF(AND(BC$5-$A7&gt;=0,BC$5-$A7&lt;=19),INDEX(HU_ord,BC$5-$A7+1)*$B7,0)</f>
        <v>0.0</v>
      </c>
      <c r="BD7" s="14">
        <f>IF(AND(BD$5-$A7&gt;=0,BD$5-$A7&lt;=19),INDEX(HU_ord,BD$5-$A7+1)*$B7,0)</f>
        <v>0.0</v>
      </c>
      <c r="BE7" s="14">
        <f>IF(AND(BE$5-$A7&gt;=0,BE$5-$A7&lt;=19),INDEX(HU_ord,BE$5-$A7+1)*$B7,0)</f>
        <v>0.0</v>
      </c>
      <c r="BF7" s="14">
        <f>IF(AND(BF$5-$A7&gt;=0,BF$5-$A7&lt;=19),INDEX(HU_ord,BF$5-$A7+1)*$B7,0)</f>
        <v>0.0</v>
      </c>
      <c r="BG7" s="14">
        <f>IF(AND(BG$5-$A7&gt;=0,BG$5-$A7&lt;=19),INDEX(HU_ord,BG$5-$A7+1)*$B7,0)</f>
        <v>0.0</v>
      </c>
      <c r="BH7" s="14">
        <f>IF(AND(BH$5-$A7&gt;=0,BH$5-$A7&lt;=19),INDEX(HU_ord,BH$5-$A7+1)*$B7,0)</f>
        <v>0.0</v>
      </c>
      <c r="BI7" s="14">
        <f>IF(AND(BI$5-$A7&gt;=0,BI$5-$A7&lt;=19),INDEX(HU_ord,BI$5-$A7+1)*$B7,0)</f>
        <v>0.0</v>
      </c>
      <c r="BJ7" s="14">
        <f>IF(AND(BJ$5-$A7&gt;=0,BJ$5-$A7&lt;=19),INDEX(HU_ord,BJ$5-$A7+1)*$B7,0)</f>
        <v>0.0</v>
      </c>
      <c r="BK7" s="14">
        <f>IF(AND(BK$5-$A7&gt;=0,BK$5-$A7&lt;=19),INDEX(HU_ord,BK$5-$A7+1)*$B7,0)</f>
        <v>0.0</v>
      </c>
      <c r="BL7" s="14">
        <f>IF(AND(BL$5-$A7&gt;=0,BL$5-$A7&lt;=19),INDEX(HU_ord,BL$5-$A7+1)*$B7,0)</f>
        <v>0.0</v>
      </c>
      <c r="BM7" s="14">
        <f>IF(AND(BM$5-$A7&gt;=0,BM$5-$A7&lt;=19),INDEX(HU_ord,BM$5-$A7+1)*$B7,0)</f>
        <v>0.0</v>
      </c>
      <c r="BN7" s="14">
        <f>IF(AND(BN$5-$A7&gt;=0,BN$5-$A7&lt;=19),INDEX(HU_ord,BN$5-$A7+1)*$B7,0)</f>
        <v>0.0</v>
      </c>
      <c r="BO7" s="14">
        <f>IF(AND(BO$5-$A7&gt;=0,BO$5-$A7&lt;=19),INDEX(HU_ord,BO$5-$A7+1)*$B7,0)</f>
        <v>0.0</v>
      </c>
      <c r="BP7" s="14">
        <f>IF(AND(BP$5-$A7&gt;=0,BP$5-$A7&lt;=19),INDEX(HU_ord,BP$5-$A7+1)*$B7,0)</f>
        <v>0.0</v>
      </c>
      <c r="BQ7" s="14">
        <f>IF(AND(BQ$5-$A7&gt;=0,BQ$5-$A7&lt;=19),INDEX(HU_ord,BQ$5-$A7+1)*$B7,0)</f>
        <v>0.0</v>
      </c>
      <c r="BR7" s="14">
        <f>IF(AND(BR$5-$A7&gt;=0,BR$5-$A7&lt;=19),INDEX(HU_ord,BR$5-$A7+1)*$B7,0)</f>
        <v>0.0</v>
      </c>
      <c r="BS7" s="14">
        <f>IF(AND(BS$5-$A7&gt;=0,BS$5-$A7&lt;=19),INDEX(HU_ord,BS$5-$A7+1)*$B7,0)</f>
        <v>0.0</v>
      </c>
      <c r="BT7" s="14">
        <f>IF(AND(BT$5-$A7&gt;=0,BT$5-$A7&lt;=19),INDEX(HU_ord,BT$5-$A7+1)*$B7,0)</f>
        <v>0.0</v>
      </c>
      <c r="BU7" s="14">
        <f>IF(AND(BU$5-$A7&gt;=0,BU$5-$A7&lt;=19),INDEX(HU_ord,BU$5-$A7+1)*$B7,0)</f>
        <v>0.0</v>
      </c>
      <c r="BV7" s="14">
        <f>IF(AND(BV$5-$A7&gt;=0,BV$5-$A7&lt;=19),INDEX(HU_ord,BV$5-$A7+1)*$B7,0)</f>
        <v>0.0</v>
      </c>
      <c r="BW7" s="14">
        <f>IF(AND(BW$5-$A7&gt;=0,BW$5-$A7&lt;=19),INDEX(HU_ord,BW$5-$A7+1)*$B7,0)</f>
        <v>0.0</v>
      </c>
      <c r="BX7" s="14">
        <f>IF(AND(BX$5-$A7&gt;=0,BX$5-$A7&lt;=19),INDEX(HU_ord,BX$5-$A7+1)*$B7,0)</f>
        <v>0.0</v>
      </c>
      <c r="BY7" s="14">
        <f>IF(AND(BY$5-$A7&gt;=0,BY$5-$A7&lt;=19),INDEX(HU_ord,BY$5-$A7+1)*$B7,0)</f>
        <v>0.0</v>
      </c>
      <c r="BZ7" s="14">
        <f>IF(AND(BZ$5-$A7&gt;=0,BZ$5-$A7&lt;=19),INDEX(HU_ord,BZ$5-$A7+1)*$B7,0)</f>
        <v>0.0</v>
      </c>
      <c r="CA7" s="14">
        <f>IF(AND(CA$5-$A7&gt;=0,CA$5-$A7&lt;=19),INDEX(HU_ord,CA$5-$A7+1)*$B7,0)</f>
        <v>0.0</v>
      </c>
      <c r="CB7" s="14">
        <f>IF(AND(CB$5-$A7&gt;=0,CB$5-$A7&lt;=19),INDEX(HU_ord,CB$5-$A7+1)*$B7,0)</f>
        <v>0.0</v>
      </c>
      <c r="CC7" s="14">
        <f>IF(AND(CC$5-$A7&gt;=0,CC$5-$A7&lt;=19),INDEX(HU_ord,CC$5-$A7+1)*$B7,0)</f>
        <v>0.0</v>
      </c>
      <c r="CD7" s="14">
        <f>IF(AND(CD$5-$A7&gt;=0,CD$5-$A7&lt;=19),INDEX(HU_ord,CD$5-$A7+1)*$B7,0)</f>
        <v>0.0</v>
      </c>
      <c r="CE7" s="14">
        <f>IF(AND(CE$5-$A7&gt;=0,CE$5-$A7&lt;=19),INDEX(HU_ord,CE$5-$A7+1)*$B7,0)</f>
        <v>0.0</v>
      </c>
      <c r="CF7" s="14">
        <f>IF(AND(CF$5-$A7&gt;=0,CF$5-$A7&lt;=19),INDEX(HU_ord,CF$5-$A7+1)*$B7,0)</f>
        <v>0.0</v>
      </c>
      <c r="CG7" s="14">
        <f>IF(AND(CG$5-$A7&gt;=0,CG$5-$A7&lt;=19),INDEX(HU_ord,CG$5-$A7+1)*$B7,0)</f>
        <v>0.0</v>
      </c>
      <c r="CH7" s="14">
        <f>IF(AND(CH$5-$A7&gt;=0,CH$5-$A7&lt;=19),INDEX(HU_ord,CH$5-$A7+1)*$B7,0)</f>
        <v>0.0</v>
      </c>
      <c r="CI7" s="14">
        <f>IF(AND(CI$5-$A7&gt;=0,CI$5-$A7&lt;=19),INDEX(HU_ord,CI$5-$A7+1)*$B7,0)</f>
        <v>0.0</v>
      </c>
      <c r="CJ7" s="14">
        <f>IF(AND(CJ$5-$A7&gt;=0,CJ$5-$A7&lt;=19),INDEX(HU_ord,CJ$5-$A7+1)*$B7,0)</f>
        <v>0.0</v>
      </c>
      <c r="CK7" s="14">
        <f>IF(AND(CK$5-$A7&gt;=0,CK$5-$A7&lt;=19),INDEX(HU_ord,CK$5-$A7+1)*$B7,0)</f>
        <v>0.0</v>
      </c>
      <c r="CL7" s="14">
        <f>IF(AND(CL$5-$A7&gt;=0,CL$5-$A7&lt;=19),INDEX(HU_ord,CL$5-$A7+1)*$B7,0)</f>
        <v>0.0</v>
      </c>
      <c r="CM7" s="14">
        <f>IF(AND(CM$5-$A7&gt;=0,CM$5-$A7&lt;=19),INDEX(HU_ord,CM$5-$A7+1)*$B7,0)</f>
        <v>0.0</v>
      </c>
      <c r="CN7" s="14">
        <f>IF(AND(CN$5-$A7&gt;=0,CN$5-$A7&lt;=19),INDEX(HU_ord,CN$5-$A7+1)*$B7,0)</f>
        <v>0.0</v>
      </c>
      <c r="CO7" s="14">
        <f>IF(AND(CO$5-$A7&gt;=0,CO$5-$A7&lt;=19),INDEX(HU_ord,CO$5-$A7+1)*$B7,0)</f>
        <v>0.0</v>
      </c>
      <c r="CP7" s="14">
        <f>IF(AND(CP$5-$A7&gt;=0,CP$5-$A7&lt;=19),INDEX(HU_ord,CP$5-$A7+1)*$B7,0)</f>
        <v>0.0</v>
      </c>
      <c r="CQ7" s="14">
        <f>IF(AND(CQ$5-$A7&gt;=0,CQ$5-$A7&lt;=19),INDEX(HU_ord,CQ$5-$A7+1)*$B7,0)</f>
        <v>0.0</v>
      </c>
      <c r="CR7" s="14">
        <f>IF(AND(CR$5-$A7&gt;=0,CR$5-$A7&lt;=19),INDEX(HU_ord,CR$5-$A7+1)*$B7,0)</f>
        <v>0.0</v>
      </c>
      <c r="CS7" s="14">
        <f>IF(AND(CS$5-$A7&gt;=0,CS$5-$A7&lt;=19),INDEX(HU_ord,CS$5-$A7+1)*$B7,0)</f>
        <v>0.0</v>
      </c>
      <c r="CT7" s="14">
        <f>IF(AND(CT$5-$A7&gt;=0,CT$5-$A7&lt;=19),INDEX(HU_ord,CT$5-$A7+1)*$B7,0)</f>
        <v>0.0</v>
      </c>
      <c r="CU7" s="14">
        <f>IF(AND(CU$5-$A7&gt;=0,CU$5-$A7&lt;=19),INDEX(HU_ord,CU$5-$A7+1)*$B7,0)</f>
        <v>0.0</v>
      </c>
      <c r="CV7" s="14">
        <f>IF(AND(CV$5-$A7&gt;=0,CV$5-$A7&lt;=19),INDEX(HU_ord,CV$5-$A7+1)*$B7,0)</f>
        <v>0.0</v>
      </c>
      <c r="CW7" s="14">
        <f>IF(AND(CW$5-$A7&gt;=0,CW$5-$A7&lt;=19),INDEX(HU_ord,CW$5-$A7+1)*$B7,0)</f>
        <v>0.0</v>
      </c>
      <c r="CX7" s="14">
        <f>IF(AND(CX$5-$A7&gt;=0,CX$5-$A7&lt;=19),INDEX(HU_ord,CX$5-$A7+1)*$B7,0)</f>
        <v>0.0</v>
      </c>
      <c r="CY7" s="14">
        <f>IF(AND(CY$5-$A7&gt;=0,CY$5-$A7&lt;=19),INDEX(HU_ord,CY$5-$A7+1)*$B7,0)</f>
        <v>0.0</v>
      </c>
      <c r="CZ7" s="14">
        <f>IF(AND(CZ$5-$A7&gt;=0,CZ$5-$A7&lt;=19),INDEX(HU_ord,CZ$5-$A7+1)*$B7,0)</f>
        <v>0.0</v>
      </c>
      <c r="DA7" s="14">
        <f>IF(AND(DA$5-$A7&gt;=0,DA$5-$A7&lt;=19),INDEX(HU_ord,DA$5-$A7+1)*$B7,0)</f>
        <v>0.0</v>
      </c>
      <c r="DB7" s="14">
        <f>IF(AND(DB$5-$A7&gt;=0,DB$5-$A7&lt;=19),INDEX(HU_ord,DB$5-$A7+1)*$B7,0)</f>
        <v>0.0</v>
      </c>
      <c r="DC7" s="14">
        <f>IF(AND(DC$5-$A7&gt;=0,DC$5-$A7&lt;=19),INDEX(HU_ord,DC$5-$A7+1)*$B7,0)</f>
        <v>0.0</v>
      </c>
      <c r="DD7" s="14">
        <f>IF(AND(DD$5-$A7&gt;=0,DD$5-$A7&lt;=19),INDEX(HU_ord,DD$5-$A7+1)*$B7,0)</f>
        <v>0.0</v>
      </c>
      <c r="DE7" s="14">
        <f>IF(AND(DE$5-$A7&gt;=0,DE$5-$A7&lt;=19),INDEX(HU_ord,DE$5-$A7+1)*$B7,0)</f>
        <v>0.0</v>
      </c>
      <c r="DF7" s="14">
        <f>IF(AND(DF$5-$A7&gt;=0,DF$5-$A7&lt;=19),INDEX(HU_ord,DF$5-$A7+1)*$B7,0)</f>
        <v>0.0</v>
      </c>
      <c r="DG7" s="14">
        <f>IF(AND(DG$5-$A7&gt;=0,DG$5-$A7&lt;=19),INDEX(HU_ord,DG$5-$A7+1)*$B7,0)</f>
        <v>0.0</v>
      </c>
      <c r="DH7" s="14">
        <f>IF(AND(DH$5-$A7&gt;=0,DH$5-$A7&lt;=19),INDEX(HU_ord,DH$5-$A7+1)*$B7,0)</f>
        <v>0.0</v>
      </c>
      <c r="DI7" s="14">
        <f>IF(AND(DI$5-$A7&gt;=0,DI$5-$A7&lt;=19),INDEX(HU_ord,DI$5-$A7+1)*$B7,0)</f>
        <v>0.0</v>
      </c>
    </row>
    <row r="8" spans="1:113">
      <c r="A8">
        <v>2</v>
      </c>
      <c r="B8" s="10">
        <f>Serie_horaria!N4</f>
        <v>0.0</v>
      </c>
      <c r="C8" s="14">
        <f>IF(AND(C$5-$A8&gt;=0,C$5-$A8&lt;=19),INDEX(HU_ord,C$5-$A8+1)*$B8,0)</f>
        <v>0.0</v>
      </c>
      <c r="D8" s="14">
        <f>IF(AND(D$5-$A8&gt;=0,D$5-$A8&lt;=19),INDEX(HU_ord,D$5-$A8+1)*$B8,0)</f>
        <v>0.0</v>
      </c>
      <c r="E8" s="14">
        <f>IF(AND(E$5-$A8&gt;=0,E$5-$A8&lt;=19),INDEX(HU_ord,E$5-$A8+1)*$B8,0)</f>
        <v>0.0</v>
      </c>
      <c r="F8" s="14">
        <f>IF(AND(F$5-$A8&gt;=0,F$5-$A8&lt;=19),INDEX(HU_ord,F$5-$A8+1)*$B8,0)</f>
        <v>0.0</v>
      </c>
      <c r="G8" s="14">
        <f>IF(AND(G$5-$A8&gt;=0,G$5-$A8&lt;=19),INDEX(HU_ord,G$5-$A8+1)*$B8,0)</f>
        <v>0.0</v>
      </c>
      <c r="H8" s="14">
        <f>IF(AND(H$5-$A8&gt;=0,H$5-$A8&lt;=19),INDEX(HU_ord,H$5-$A8+1)*$B8,0)</f>
        <v>0.0</v>
      </c>
      <c r="I8" s="14">
        <f>IF(AND(I$5-$A8&gt;=0,I$5-$A8&lt;=19),INDEX(HU_ord,I$5-$A8+1)*$B8,0)</f>
        <v>0.0</v>
      </c>
      <c r="J8" s="14">
        <f>IF(AND(J$5-$A8&gt;=0,J$5-$A8&lt;=19),INDEX(HU_ord,J$5-$A8+1)*$B8,0)</f>
        <v>0.0</v>
      </c>
      <c r="K8" s="14">
        <f>IF(AND(K$5-$A8&gt;=0,K$5-$A8&lt;=19),INDEX(HU_ord,K$5-$A8+1)*$B8,0)</f>
        <v>0.0</v>
      </c>
      <c r="L8" s="14">
        <f>IF(AND(L$5-$A8&gt;=0,L$5-$A8&lt;=19),INDEX(HU_ord,L$5-$A8+1)*$B8,0)</f>
        <v>0.0</v>
      </c>
      <c r="M8" s="14">
        <f>IF(AND(M$5-$A8&gt;=0,M$5-$A8&lt;=19),INDEX(HU_ord,M$5-$A8+1)*$B8,0)</f>
        <v>0.0</v>
      </c>
      <c r="N8" s="14">
        <f>IF(AND(N$5-$A8&gt;=0,N$5-$A8&lt;=19),INDEX(HU_ord,N$5-$A8+1)*$B8,0)</f>
        <v>0.0</v>
      </c>
      <c r="O8" s="14">
        <f>IF(AND(O$5-$A8&gt;=0,O$5-$A8&lt;=19),INDEX(HU_ord,O$5-$A8+1)*$B8,0)</f>
        <v>0.0</v>
      </c>
      <c r="P8" s="14">
        <f>IF(AND(P$5-$A8&gt;=0,P$5-$A8&lt;=19),INDEX(HU_ord,P$5-$A8+1)*$B8,0)</f>
        <v>0.0</v>
      </c>
      <c r="Q8" s="14">
        <f>IF(AND(Q$5-$A8&gt;=0,Q$5-$A8&lt;=19),INDEX(HU_ord,Q$5-$A8+1)*$B8,0)</f>
        <v>0.0</v>
      </c>
      <c r="R8" s="14">
        <f>IF(AND(R$5-$A8&gt;=0,R$5-$A8&lt;=19),INDEX(HU_ord,R$5-$A8+1)*$B8,0)</f>
        <v>0.0</v>
      </c>
      <c r="S8" s="14">
        <f>IF(AND(S$5-$A8&gt;=0,S$5-$A8&lt;=19),INDEX(HU_ord,S$5-$A8+1)*$B8,0)</f>
        <v>0.0</v>
      </c>
      <c r="T8" s="14">
        <f>IF(AND(T$5-$A8&gt;=0,T$5-$A8&lt;=19),INDEX(HU_ord,T$5-$A8+1)*$B8,0)</f>
        <v>0.0</v>
      </c>
      <c r="U8" s="14">
        <f>IF(AND(U$5-$A8&gt;=0,U$5-$A8&lt;=19),INDEX(HU_ord,U$5-$A8+1)*$B8,0)</f>
        <v>0.0</v>
      </c>
      <c r="V8" s="14">
        <f>IF(AND(V$5-$A8&gt;=0,V$5-$A8&lt;=19),INDEX(HU_ord,V$5-$A8+1)*$B8,0)</f>
        <v>0.0</v>
      </c>
      <c r="W8" s="14">
        <f>IF(AND(W$5-$A8&gt;=0,W$5-$A8&lt;=19),INDEX(HU_ord,W$5-$A8+1)*$B8,0)</f>
        <v>0.0</v>
      </c>
      <c r="X8" s="14">
        <f>IF(AND(X$5-$A8&gt;=0,X$5-$A8&lt;=19),INDEX(HU_ord,X$5-$A8+1)*$B8,0)</f>
        <v>0.0</v>
      </c>
      <c r="Y8" s="14">
        <f>IF(AND(Y$5-$A8&gt;=0,Y$5-$A8&lt;=19),INDEX(HU_ord,Y$5-$A8+1)*$B8,0)</f>
        <v>0.0</v>
      </c>
      <c r="Z8" s="14">
        <f>IF(AND(Z$5-$A8&gt;=0,Z$5-$A8&lt;=19),INDEX(HU_ord,Z$5-$A8+1)*$B8,0)</f>
        <v>0.0</v>
      </c>
      <c r="AA8" s="14">
        <f>IF(AND(AA$5-$A8&gt;=0,AA$5-$A8&lt;=19),INDEX(HU_ord,AA$5-$A8+1)*$B8,0)</f>
        <v>0.0</v>
      </c>
      <c r="AB8" s="14">
        <f>IF(AND(AB$5-$A8&gt;=0,AB$5-$A8&lt;=19),INDEX(HU_ord,AB$5-$A8+1)*$B8,0)</f>
        <v>0.0</v>
      </c>
      <c r="AC8" s="14">
        <f>IF(AND(AC$5-$A8&gt;=0,AC$5-$A8&lt;=19),INDEX(HU_ord,AC$5-$A8+1)*$B8,0)</f>
        <v>0.0</v>
      </c>
      <c r="AD8" s="14">
        <f>IF(AND(AD$5-$A8&gt;=0,AD$5-$A8&lt;=19),INDEX(HU_ord,AD$5-$A8+1)*$B8,0)</f>
        <v>0.0</v>
      </c>
      <c r="AE8" s="14">
        <f>IF(AND(AE$5-$A8&gt;=0,AE$5-$A8&lt;=19),INDEX(HU_ord,AE$5-$A8+1)*$B8,0)</f>
        <v>0.0</v>
      </c>
      <c r="AF8" s="14">
        <f>IF(AND(AF$5-$A8&gt;=0,AF$5-$A8&lt;=19),INDEX(HU_ord,AF$5-$A8+1)*$B8,0)</f>
        <v>0.0</v>
      </c>
      <c r="AG8" s="14">
        <f>IF(AND(AG$5-$A8&gt;=0,AG$5-$A8&lt;=19),INDEX(HU_ord,AG$5-$A8+1)*$B8,0)</f>
        <v>0.0</v>
      </c>
      <c r="AH8" s="14">
        <f>IF(AND(AH$5-$A8&gt;=0,AH$5-$A8&lt;=19),INDEX(HU_ord,AH$5-$A8+1)*$B8,0)</f>
        <v>0.0</v>
      </c>
      <c r="AI8" s="14">
        <f>IF(AND(AI$5-$A8&gt;=0,AI$5-$A8&lt;=19),INDEX(HU_ord,AI$5-$A8+1)*$B8,0)</f>
        <v>0.0</v>
      </c>
      <c r="AJ8" s="14">
        <f>IF(AND(AJ$5-$A8&gt;=0,AJ$5-$A8&lt;=19),INDEX(HU_ord,AJ$5-$A8+1)*$B8,0)</f>
        <v>0.0</v>
      </c>
      <c r="AK8" s="14">
        <f>IF(AND(AK$5-$A8&gt;=0,AK$5-$A8&lt;=19),INDEX(HU_ord,AK$5-$A8+1)*$B8,0)</f>
        <v>0.0</v>
      </c>
      <c r="AL8" s="14">
        <f>IF(AND(AL$5-$A8&gt;=0,AL$5-$A8&lt;=19),INDEX(HU_ord,AL$5-$A8+1)*$B8,0)</f>
        <v>0.0</v>
      </c>
      <c r="AM8" s="14">
        <f>IF(AND(AM$5-$A8&gt;=0,AM$5-$A8&lt;=19),INDEX(HU_ord,AM$5-$A8+1)*$B8,0)</f>
        <v>0.0</v>
      </c>
      <c r="AN8" s="14">
        <f>IF(AND(AN$5-$A8&gt;=0,AN$5-$A8&lt;=19),INDEX(HU_ord,AN$5-$A8+1)*$B8,0)</f>
        <v>0.0</v>
      </c>
      <c r="AO8" s="14">
        <f>IF(AND(AO$5-$A8&gt;=0,AO$5-$A8&lt;=19),INDEX(HU_ord,AO$5-$A8+1)*$B8,0)</f>
        <v>0.0</v>
      </c>
      <c r="AP8" s="14">
        <f>IF(AND(AP$5-$A8&gt;=0,AP$5-$A8&lt;=19),INDEX(HU_ord,AP$5-$A8+1)*$B8,0)</f>
        <v>0.0</v>
      </c>
      <c r="AQ8" s="14">
        <f>IF(AND(AQ$5-$A8&gt;=0,AQ$5-$A8&lt;=19),INDEX(HU_ord,AQ$5-$A8+1)*$B8,0)</f>
        <v>0.0</v>
      </c>
      <c r="AR8" s="14">
        <f>IF(AND(AR$5-$A8&gt;=0,AR$5-$A8&lt;=19),INDEX(HU_ord,AR$5-$A8+1)*$B8,0)</f>
        <v>0.0</v>
      </c>
      <c r="AS8" s="14">
        <f>IF(AND(AS$5-$A8&gt;=0,AS$5-$A8&lt;=19),INDEX(HU_ord,AS$5-$A8+1)*$B8,0)</f>
        <v>0.0</v>
      </c>
      <c r="AT8" s="14">
        <f>IF(AND(AT$5-$A8&gt;=0,AT$5-$A8&lt;=19),INDEX(HU_ord,AT$5-$A8+1)*$B8,0)</f>
        <v>0.0</v>
      </c>
      <c r="AU8" s="14">
        <f>IF(AND(AU$5-$A8&gt;=0,AU$5-$A8&lt;=19),INDEX(HU_ord,AU$5-$A8+1)*$B8,0)</f>
        <v>0.0</v>
      </c>
      <c r="AV8" s="14">
        <f>IF(AND(AV$5-$A8&gt;=0,AV$5-$A8&lt;=19),INDEX(HU_ord,AV$5-$A8+1)*$B8,0)</f>
        <v>0.0</v>
      </c>
      <c r="AW8" s="14">
        <f>IF(AND(AW$5-$A8&gt;=0,AW$5-$A8&lt;=19),INDEX(HU_ord,AW$5-$A8+1)*$B8,0)</f>
        <v>0.0</v>
      </c>
      <c r="AX8" s="14">
        <f>IF(AND(AX$5-$A8&gt;=0,AX$5-$A8&lt;=19),INDEX(HU_ord,AX$5-$A8+1)*$B8,0)</f>
        <v>0.0</v>
      </c>
      <c r="AY8" s="14">
        <f>IF(AND(AY$5-$A8&gt;=0,AY$5-$A8&lt;=19),INDEX(HU_ord,AY$5-$A8+1)*$B8,0)</f>
        <v>0.0</v>
      </c>
      <c r="AZ8" s="14">
        <f>IF(AND(AZ$5-$A8&gt;=0,AZ$5-$A8&lt;=19),INDEX(HU_ord,AZ$5-$A8+1)*$B8,0)</f>
        <v>0.0</v>
      </c>
      <c r="BA8" s="14">
        <f>IF(AND(BA$5-$A8&gt;=0,BA$5-$A8&lt;=19),INDEX(HU_ord,BA$5-$A8+1)*$B8,0)</f>
        <v>0.0</v>
      </c>
      <c r="BB8" s="14">
        <f>IF(AND(BB$5-$A8&gt;=0,BB$5-$A8&lt;=19),INDEX(HU_ord,BB$5-$A8+1)*$B8,0)</f>
        <v>0.0</v>
      </c>
      <c r="BC8" s="14">
        <f>IF(AND(BC$5-$A8&gt;=0,BC$5-$A8&lt;=19),INDEX(HU_ord,BC$5-$A8+1)*$B8,0)</f>
        <v>0.0</v>
      </c>
      <c r="BD8" s="14">
        <f>IF(AND(BD$5-$A8&gt;=0,BD$5-$A8&lt;=19),INDEX(HU_ord,BD$5-$A8+1)*$B8,0)</f>
        <v>0.0</v>
      </c>
      <c r="BE8" s="14">
        <f>IF(AND(BE$5-$A8&gt;=0,BE$5-$A8&lt;=19),INDEX(HU_ord,BE$5-$A8+1)*$B8,0)</f>
        <v>0.0</v>
      </c>
      <c r="BF8" s="14">
        <f>IF(AND(BF$5-$A8&gt;=0,BF$5-$A8&lt;=19),INDEX(HU_ord,BF$5-$A8+1)*$B8,0)</f>
        <v>0.0</v>
      </c>
      <c r="BG8" s="14">
        <f>IF(AND(BG$5-$A8&gt;=0,BG$5-$A8&lt;=19),INDEX(HU_ord,BG$5-$A8+1)*$B8,0)</f>
        <v>0.0</v>
      </c>
      <c r="BH8" s="14">
        <f>IF(AND(BH$5-$A8&gt;=0,BH$5-$A8&lt;=19),INDEX(HU_ord,BH$5-$A8+1)*$B8,0)</f>
        <v>0.0</v>
      </c>
      <c r="BI8" s="14">
        <f>IF(AND(BI$5-$A8&gt;=0,BI$5-$A8&lt;=19),INDEX(HU_ord,BI$5-$A8+1)*$B8,0)</f>
        <v>0.0</v>
      </c>
      <c r="BJ8" s="14">
        <f>IF(AND(BJ$5-$A8&gt;=0,BJ$5-$A8&lt;=19),INDEX(HU_ord,BJ$5-$A8+1)*$B8,0)</f>
        <v>0.0</v>
      </c>
      <c r="BK8" s="14">
        <f>IF(AND(BK$5-$A8&gt;=0,BK$5-$A8&lt;=19),INDEX(HU_ord,BK$5-$A8+1)*$B8,0)</f>
        <v>0.0</v>
      </c>
      <c r="BL8" s="14">
        <f>IF(AND(BL$5-$A8&gt;=0,BL$5-$A8&lt;=19),INDEX(HU_ord,BL$5-$A8+1)*$B8,0)</f>
        <v>0.0</v>
      </c>
      <c r="BM8" s="14">
        <f>IF(AND(BM$5-$A8&gt;=0,BM$5-$A8&lt;=19),INDEX(HU_ord,BM$5-$A8+1)*$B8,0)</f>
        <v>0.0</v>
      </c>
      <c r="BN8" s="14">
        <f>IF(AND(BN$5-$A8&gt;=0,BN$5-$A8&lt;=19),INDEX(HU_ord,BN$5-$A8+1)*$B8,0)</f>
        <v>0.0</v>
      </c>
      <c r="BO8" s="14">
        <f>IF(AND(BO$5-$A8&gt;=0,BO$5-$A8&lt;=19),INDEX(HU_ord,BO$5-$A8+1)*$B8,0)</f>
        <v>0.0</v>
      </c>
      <c r="BP8" s="14">
        <f>IF(AND(BP$5-$A8&gt;=0,BP$5-$A8&lt;=19),INDEX(HU_ord,BP$5-$A8+1)*$B8,0)</f>
        <v>0.0</v>
      </c>
      <c r="BQ8" s="14">
        <f>IF(AND(BQ$5-$A8&gt;=0,BQ$5-$A8&lt;=19),INDEX(HU_ord,BQ$5-$A8+1)*$B8,0)</f>
        <v>0.0</v>
      </c>
      <c r="BR8" s="14">
        <f>IF(AND(BR$5-$A8&gt;=0,BR$5-$A8&lt;=19),INDEX(HU_ord,BR$5-$A8+1)*$B8,0)</f>
        <v>0.0</v>
      </c>
      <c r="BS8" s="14">
        <f>IF(AND(BS$5-$A8&gt;=0,BS$5-$A8&lt;=19),INDEX(HU_ord,BS$5-$A8+1)*$B8,0)</f>
        <v>0.0</v>
      </c>
      <c r="BT8" s="14">
        <f>IF(AND(BT$5-$A8&gt;=0,BT$5-$A8&lt;=19),INDEX(HU_ord,BT$5-$A8+1)*$B8,0)</f>
        <v>0.0</v>
      </c>
      <c r="BU8" s="14">
        <f>IF(AND(BU$5-$A8&gt;=0,BU$5-$A8&lt;=19),INDEX(HU_ord,BU$5-$A8+1)*$B8,0)</f>
        <v>0.0</v>
      </c>
      <c r="BV8" s="14">
        <f>IF(AND(BV$5-$A8&gt;=0,BV$5-$A8&lt;=19),INDEX(HU_ord,BV$5-$A8+1)*$B8,0)</f>
        <v>0.0</v>
      </c>
      <c r="BW8" s="14">
        <f>IF(AND(BW$5-$A8&gt;=0,BW$5-$A8&lt;=19),INDEX(HU_ord,BW$5-$A8+1)*$B8,0)</f>
        <v>0.0</v>
      </c>
      <c r="BX8" s="14">
        <f>IF(AND(BX$5-$A8&gt;=0,BX$5-$A8&lt;=19),INDEX(HU_ord,BX$5-$A8+1)*$B8,0)</f>
        <v>0.0</v>
      </c>
      <c r="BY8" s="14">
        <f>IF(AND(BY$5-$A8&gt;=0,BY$5-$A8&lt;=19),INDEX(HU_ord,BY$5-$A8+1)*$B8,0)</f>
        <v>0.0</v>
      </c>
      <c r="BZ8" s="14">
        <f>IF(AND(BZ$5-$A8&gt;=0,BZ$5-$A8&lt;=19),INDEX(HU_ord,BZ$5-$A8+1)*$B8,0)</f>
        <v>0.0</v>
      </c>
      <c r="CA8" s="14">
        <f>IF(AND(CA$5-$A8&gt;=0,CA$5-$A8&lt;=19),INDEX(HU_ord,CA$5-$A8+1)*$B8,0)</f>
        <v>0.0</v>
      </c>
      <c r="CB8" s="14">
        <f>IF(AND(CB$5-$A8&gt;=0,CB$5-$A8&lt;=19),INDEX(HU_ord,CB$5-$A8+1)*$B8,0)</f>
        <v>0.0</v>
      </c>
      <c r="CC8" s="14">
        <f>IF(AND(CC$5-$A8&gt;=0,CC$5-$A8&lt;=19),INDEX(HU_ord,CC$5-$A8+1)*$B8,0)</f>
        <v>0.0</v>
      </c>
      <c r="CD8" s="14">
        <f>IF(AND(CD$5-$A8&gt;=0,CD$5-$A8&lt;=19),INDEX(HU_ord,CD$5-$A8+1)*$B8,0)</f>
        <v>0.0</v>
      </c>
      <c r="CE8" s="14">
        <f>IF(AND(CE$5-$A8&gt;=0,CE$5-$A8&lt;=19),INDEX(HU_ord,CE$5-$A8+1)*$B8,0)</f>
        <v>0.0</v>
      </c>
      <c r="CF8" s="14">
        <f>IF(AND(CF$5-$A8&gt;=0,CF$5-$A8&lt;=19),INDEX(HU_ord,CF$5-$A8+1)*$B8,0)</f>
        <v>0.0</v>
      </c>
      <c r="CG8" s="14">
        <f>IF(AND(CG$5-$A8&gt;=0,CG$5-$A8&lt;=19),INDEX(HU_ord,CG$5-$A8+1)*$B8,0)</f>
        <v>0.0</v>
      </c>
      <c r="CH8" s="14">
        <f>IF(AND(CH$5-$A8&gt;=0,CH$5-$A8&lt;=19),INDEX(HU_ord,CH$5-$A8+1)*$B8,0)</f>
        <v>0.0</v>
      </c>
      <c r="CI8" s="14">
        <f>IF(AND(CI$5-$A8&gt;=0,CI$5-$A8&lt;=19),INDEX(HU_ord,CI$5-$A8+1)*$B8,0)</f>
        <v>0.0</v>
      </c>
      <c r="CJ8" s="14">
        <f>IF(AND(CJ$5-$A8&gt;=0,CJ$5-$A8&lt;=19),INDEX(HU_ord,CJ$5-$A8+1)*$B8,0)</f>
        <v>0.0</v>
      </c>
      <c r="CK8" s="14">
        <f>IF(AND(CK$5-$A8&gt;=0,CK$5-$A8&lt;=19),INDEX(HU_ord,CK$5-$A8+1)*$B8,0)</f>
        <v>0.0</v>
      </c>
      <c r="CL8" s="14">
        <f>IF(AND(CL$5-$A8&gt;=0,CL$5-$A8&lt;=19),INDEX(HU_ord,CL$5-$A8+1)*$B8,0)</f>
        <v>0.0</v>
      </c>
      <c r="CM8" s="14">
        <f>IF(AND(CM$5-$A8&gt;=0,CM$5-$A8&lt;=19),INDEX(HU_ord,CM$5-$A8+1)*$B8,0)</f>
        <v>0.0</v>
      </c>
      <c r="CN8" s="14">
        <f>IF(AND(CN$5-$A8&gt;=0,CN$5-$A8&lt;=19),INDEX(HU_ord,CN$5-$A8+1)*$B8,0)</f>
        <v>0.0</v>
      </c>
      <c r="CO8" s="14">
        <f>IF(AND(CO$5-$A8&gt;=0,CO$5-$A8&lt;=19),INDEX(HU_ord,CO$5-$A8+1)*$B8,0)</f>
        <v>0.0</v>
      </c>
      <c r="CP8" s="14">
        <f>IF(AND(CP$5-$A8&gt;=0,CP$5-$A8&lt;=19),INDEX(HU_ord,CP$5-$A8+1)*$B8,0)</f>
        <v>0.0</v>
      </c>
      <c r="CQ8" s="14">
        <f>IF(AND(CQ$5-$A8&gt;=0,CQ$5-$A8&lt;=19),INDEX(HU_ord,CQ$5-$A8+1)*$B8,0)</f>
        <v>0.0</v>
      </c>
      <c r="CR8" s="14">
        <f>IF(AND(CR$5-$A8&gt;=0,CR$5-$A8&lt;=19),INDEX(HU_ord,CR$5-$A8+1)*$B8,0)</f>
        <v>0.0</v>
      </c>
      <c r="CS8" s="14">
        <f>IF(AND(CS$5-$A8&gt;=0,CS$5-$A8&lt;=19),INDEX(HU_ord,CS$5-$A8+1)*$B8,0)</f>
        <v>0.0</v>
      </c>
      <c r="CT8" s="14">
        <f>IF(AND(CT$5-$A8&gt;=0,CT$5-$A8&lt;=19),INDEX(HU_ord,CT$5-$A8+1)*$B8,0)</f>
        <v>0.0</v>
      </c>
      <c r="CU8" s="14">
        <f>IF(AND(CU$5-$A8&gt;=0,CU$5-$A8&lt;=19),INDEX(HU_ord,CU$5-$A8+1)*$B8,0)</f>
        <v>0.0</v>
      </c>
      <c r="CV8" s="14">
        <f>IF(AND(CV$5-$A8&gt;=0,CV$5-$A8&lt;=19),INDEX(HU_ord,CV$5-$A8+1)*$B8,0)</f>
        <v>0.0</v>
      </c>
      <c r="CW8" s="14">
        <f>IF(AND(CW$5-$A8&gt;=0,CW$5-$A8&lt;=19),INDEX(HU_ord,CW$5-$A8+1)*$B8,0)</f>
        <v>0.0</v>
      </c>
      <c r="CX8" s="14">
        <f>IF(AND(CX$5-$A8&gt;=0,CX$5-$A8&lt;=19),INDEX(HU_ord,CX$5-$A8+1)*$B8,0)</f>
        <v>0.0</v>
      </c>
      <c r="CY8" s="14">
        <f>IF(AND(CY$5-$A8&gt;=0,CY$5-$A8&lt;=19),INDEX(HU_ord,CY$5-$A8+1)*$B8,0)</f>
        <v>0.0</v>
      </c>
      <c r="CZ8" s="14">
        <f>IF(AND(CZ$5-$A8&gt;=0,CZ$5-$A8&lt;=19),INDEX(HU_ord,CZ$5-$A8+1)*$B8,0)</f>
        <v>0.0</v>
      </c>
      <c r="DA8" s="14">
        <f>IF(AND(DA$5-$A8&gt;=0,DA$5-$A8&lt;=19),INDEX(HU_ord,DA$5-$A8+1)*$B8,0)</f>
        <v>0.0</v>
      </c>
      <c r="DB8" s="14">
        <f>IF(AND(DB$5-$A8&gt;=0,DB$5-$A8&lt;=19),INDEX(HU_ord,DB$5-$A8+1)*$B8,0)</f>
        <v>0.0</v>
      </c>
      <c r="DC8" s="14">
        <f>IF(AND(DC$5-$A8&gt;=0,DC$5-$A8&lt;=19),INDEX(HU_ord,DC$5-$A8+1)*$B8,0)</f>
        <v>0.0</v>
      </c>
      <c r="DD8" s="14">
        <f>IF(AND(DD$5-$A8&gt;=0,DD$5-$A8&lt;=19),INDEX(HU_ord,DD$5-$A8+1)*$B8,0)</f>
        <v>0.0</v>
      </c>
      <c r="DE8" s="14">
        <f>IF(AND(DE$5-$A8&gt;=0,DE$5-$A8&lt;=19),INDEX(HU_ord,DE$5-$A8+1)*$B8,0)</f>
        <v>0.0</v>
      </c>
      <c r="DF8" s="14">
        <f>IF(AND(DF$5-$A8&gt;=0,DF$5-$A8&lt;=19),INDEX(HU_ord,DF$5-$A8+1)*$B8,0)</f>
        <v>0.0</v>
      </c>
      <c r="DG8" s="14">
        <f>IF(AND(DG$5-$A8&gt;=0,DG$5-$A8&lt;=19),INDEX(HU_ord,DG$5-$A8+1)*$B8,0)</f>
        <v>0.0</v>
      </c>
      <c r="DH8" s="14">
        <f>IF(AND(DH$5-$A8&gt;=0,DH$5-$A8&lt;=19),INDEX(HU_ord,DH$5-$A8+1)*$B8,0)</f>
        <v>0.0</v>
      </c>
      <c r="DI8" s="14">
        <f>IF(AND(DI$5-$A8&gt;=0,DI$5-$A8&lt;=19),INDEX(HU_ord,DI$5-$A8+1)*$B8,0)</f>
        <v>0.0</v>
      </c>
    </row>
    <row r="9" spans="1:113">
      <c r="A9">
        <v>3</v>
      </c>
      <c r="B9" s="10">
        <f>Serie_horaria!N5</f>
        <v>0.0</v>
      </c>
      <c r="C9" s="14">
        <f>IF(AND(C$5-$A9&gt;=0,C$5-$A9&lt;=19),INDEX(HU_ord,C$5-$A9+1)*$B9,0)</f>
        <v>0.0</v>
      </c>
      <c r="D9" s="14">
        <f>IF(AND(D$5-$A9&gt;=0,D$5-$A9&lt;=19),INDEX(HU_ord,D$5-$A9+1)*$B9,0)</f>
        <v>0.0</v>
      </c>
      <c r="E9" s="14">
        <f>IF(AND(E$5-$A9&gt;=0,E$5-$A9&lt;=19),INDEX(HU_ord,E$5-$A9+1)*$B9,0)</f>
        <v>0.0</v>
      </c>
      <c r="F9" s="14">
        <f>IF(AND(F$5-$A9&gt;=0,F$5-$A9&lt;=19),INDEX(HU_ord,F$5-$A9+1)*$B9,0)</f>
        <v>0.0</v>
      </c>
      <c r="G9" s="14">
        <f>IF(AND(G$5-$A9&gt;=0,G$5-$A9&lt;=19),INDEX(HU_ord,G$5-$A9+1)*$B9,0)</f>
        <v>0.0</v>
      </c>
      <c r="H9" s="14">
        <f>IF(AND(H$5-$A9&gt;=0,H$5-$A9&lt;=19),INDEX(HU_ord,H$5-$A9+1)*$B9,0)</f>
        <v>0.0</v>
      </c>
      <c r="I9" s="14">
        <f>IF(AND(I$5-$A9&gt;=0,I$5-$A9&lt;=19),INDEX(HU_ord,I$5-$A9+1)*$B9,0)</f>
        <v>0.0</v>
      </c>
      <c r="J9" s="14">
        <f>IF(AND(J$5-$A9&gt;=0,J$5-$A9&lt;=19),INDEX(HU_ord,J$5-$A9+1)*$B9,0)</f>
        <v>0.0</v>
      </c>
      <c r="K9" s="14">
        <f>IF(AND(K$5-$A9&gt;=0,K$5-$A9&lt;=19),INDEX(HU_ord,K$5-$A9+1)*$B9,0)</f>
        <v>0.0</v>
      </c>
      <c r="L9" s="14">
        <f>IF(AND(L$5-$A9&gt;=0,L$5-$A9&lt;=19),INDEX(HU_ord,L$5-$A9+1)*$B9,0)</f>
        <v>0.0</v>
      </c>
      <c r="M9" s="14">
        <f>IF(AND(M$5-$A9&gt;=0,M$5-$A9&lt;=19),INDEX(HU_ord,M$5-$A9+1)*$B9,0)</f>
        <v>0.0</v>
      </c>
      <c r="N9" s="14">
        <f>IF(AND(N$5-$A9&gt;=0,N$5-$A9&lt;=19),INDEX(HU_ord,N$5-$A9+1)*$B9,0)</f>
        <v>0.0</v>
      </c>
      <c r="O9" s="14">
        <f>IF(AND(O$5-$A9&gt;=0,O$5-$A9&lt;=19),INDEX(HU_ord,O$5-$A9+1)*$B9,0)</f>
        <v>0.0</v>
      </c>
      <c r="P9" s="14">
        <f>IF(AND(P$5-$A9&gt;=0,P$5-$A9&lt;=19),INDEX(HU_ord,P$5-$A9+1)*$B9,0)</f>
        <v>0.0</v>
      </c>
      <c r="Q9" s="14">
        <f>IF(AND(Q$5-$A9&gt;=0,Q$5-$A9&lt;=19),INDEX(HU_ord,Q$5-$A9+1)*$B9,0)</f>
        <v>0.0</v>
      </c>
      <c r="R9" s="14">
        <f>IF(AND(R$5-$A9&gt;=0,R$5-$A9&lt;=19),INDEX(HU_ord,R$5-$A9+1)*$B9,0)</f>
        <v>0.0</v>
      </c>
      <c r="S9" s="14">
        <f>IF(AND(S$5-$A9&gt;=0,S$5-$A9&lt;=19),INDEX(HU_ord,S$5-$A9+1)*$B9,0)</f>
        <v>0.0</v>
      </c>
      <c r="T9" s="14">
        <f>IF(AND(T$5-$A9&gt;=0,T$5-$A9&lt;=19),INDEX(HU_ord,T$5-$A9+1)*$B9,0)</f>
        <v>0.0</v>
      </c>
      <c r="U9" s="14">
        <f>IF(AND(U$5-$A9&gt;=0,U$5-$A9&lt;=19),INDEX(HU_ord,U$5-$A9+1)*$B9,0)</f>
        <v>0.0</v>
      </c>
      <c r="V9" s="14">
        <f>IF(AND(V$5-$A9&gt;=0,V$5-$A9&lt;=19),INDEX(HU_ord,V$5-$A9+1)*$B9,0)</f>
        <v>0.0</v>
      </c>
      <c r="W9" s="14">
        <f>IF(AND(W$5-$A9&gt;=0,W$5-$A9&lt;=19),INDEX(HU_ord,W$5-$A9+1)*$B9,0)</f>
        <v>0.0</v>
      </c>
      <c r="X9" s="14">
        <f>IF(AND(X$5-$A9&gt;=0,X$5-$A9&lt;=19),INDEX(HU_ord,X$5-$A9+1)*$B9,0)</f>
        <v>0.0</v>
      </c>
      <c r="Y9" s="14">
        <f>IF(AND(Y$5-$A9&gt;=0,Y$5-$A9&lt;=19),INDEX(HU_ord,Y$5-$A9+1)*$B9,0)</f>
        <v>0.0</v>
      </c>
      <c r="Z9" s="14">
        <f>IF(AND(Z$5-$A9&gt;=0,Z$5-$A9&lt;=19),INDEX(HU_ord,Z$5-$A9+1)*$B9,0)</f>
        <v>0.0</v>
      </c>
      <c r="AA9" s="14">
        <f>IF(AND(AA$5-$A9&gt;=0,AA$5-$A9&lt;=19),INDEX(HU_ord,AA$5-$A9+1)*$B9,0)</f>
        <v>0.0</v>
      </c>
      <c r="AB9" s="14">
        <f>IF(AND(AB$5-$A9&gt;=0,AB$5-$A9&lt;=19),INDEX(HU_ord,AB$5-$A9+1)*$B9,0)</f>
        <v>0.0</v>
      </c>
      <c r="AC9" s="14">
        <f>IF(AND(AC$5-$A9&gt;=0,AC$5-$A9&lt;=19),INDEX(HU_ord,AC$5-$A9+1)*$B9,0)</f>
        <v>0.0</v>
      </c>
      <c r="AD9" s="14">
        <f>IF(AND(AD$5-$A9&gt;=0,AD$5-$A9&lt;=19),INDEX(HU_ord,AD$5-$A9+1)*$B9,0)</f>
        <v>0.0</v>
      </c>
      <c r="AE9" s="14">
        <f>IF(AND(AE$5-$A9&gt;=0,AE$5-$A9&lt;=19),INDEX(HU_ord,AE$5-$A9+1)*$B9,0)</f>
        <v>0.0</v>
      </c>
      <c r="AF9" s="14">
        <f>IF(AND(AF$5-$A9&gt;=0,AF$5-$A9&lt;=19),INDEX(HU_ord,AF$5-$A9+1)*$B9,0)</f>
        <v>0.0</v>
      </c>
      <c r="AG9" s="14">
        <f>IF(AND(AG$5-$A9&gt;=0,AG$5-$A9&lt;=19),INDEX(HU_ord,AG$5-$A9+1)*$B9,0)</f>
        <v>0.0</v>
      </c>
      <c r="AH9" s="14">
        <f>IF(AND(AH$5-$A9&gt;=0,AH$5-$A9&lt;=19),INDEX(HU_ord,AH$5-$A9+1)*$B9,0)</f>
        <v>0.0</v>
      </c>
      <c r="AI9" s="14">
        <f>IF(AND(AI$5-$A9&gt;=0,AI$5-$A9&lt;=19),INDEX(HU_ord,AI$5-$A9+1)*$B9,0)</f>
        <v>0.0</v>
      </c>
      <c r="AJ9" s="14">
        <f>IF(AND(AJ$5-$A9&gt;=0,AJ$5-$A9&lt;=19),INDEX(HU_ord,AJ$5-$A9+1)*$B9,0)</f>
        <v>0.0</v>
      </c>
      <c r="AK9" s="14">
        <f>IF(AND(AK$5-$A9&gt;=0,AK$5-$A9&lt;=19),INDEX(HU_ord,AK$5-$A9+1)*$B9,0)</f>
        <v>0.0</v>
      </c>
      <c r="AL9" s="14">
        <f>IF(AND(AL$5-$A9&gt;=0,AL$5-$A9&lt;=19),INDEX(HU_ord,AL$5-$A9+1)*$B9,0)</f>
        <v>0.0</v>
      </c>
      <c r="AM9" s="14">
        <f>IF(AND(AM$5-$A9&gt;=0,AM$5-$A9&lt;=19),INDEX(HU_ord,AM$5-$A9+1)*$B9,0)</f>
        <v>0.0</v>
      </c>
      <c r="AN9" s="14">
        <f>IF(AND(AN$5-$A9&gt;=0,AN$5-$A9&lt;=19),INDEX(HU_ord,AN$5-$A9+1)*$B9,0)</f>
        <v>0.0</v>
      </c>
      <c r="AO9" s="14">
        <f>IF(AND(AO$5-$A9&gt;=0,AO$5-$A9&lt;=19),INDEX(HU_ord,AO$5-$A9+1)*$B9,0)</f>
        <v>0.0</v>
      </c>
      <c r="AP9" s="14">
        <f>IF(AND(AP$5-$A9&gt;=0,AP$5-$A9&lt;=19),INDEX(HU_ord,AP$5-$A9+1)*$B9,0)</f>
        <v>0.0</v>
      </c>
      <c r="AQ9" s="14">
        <f>IF(AND(AQ$5-$A9&gt;=0,AQ$5-$A9&lt;=19),INDEX(HU_ord,AQ$5-$A9+1)*$B9,0)</f>
        <v>0.0</v>
      </c>
      <c r="AR9" s="14">
        <f>IF(AND(AR$5-$A9&gt;=0,AR$5-$A9&lt;=19),INDEX(HU_ord,AR$5-$A9+1)*$B9,0)</f>
        <v>0.0</v>
      </c>
      <c r="AS9" s="14">
        <f>IF(AND(AS$5-$A9&gt;=0,AS$5-$A9&lt;=19),INDEX(HU_ord,AS$5-$A9+1)*$B9,0)</f>
        <v>0.0</v>
      </c>
      <c r="AT9" s="14">
        <f>IF(AND(AT$5-$A9&gt;=0,AT$5-$A9&lt;=19),INDEX(HU_ord,AT$5-$A9+1)*$B9,0)</f>
        <v>0.0</v>
      </c>
      <c r="AU9" s="14">
        <f>IF(AND(AU$5-$A9&gt;=0,AU$5-$A9&lt;=19),INDEX(HU_ord,AU$5-$A9+1)*$B9,0)</f>
        <v>0.0</v>
      </c>
      <c r="AV9" s="14">
        <f>IF(AND(AV$5-$A9&gt;=0,AV$5-$A9&lt;=19),INDEX(HU_ord,AV$5-$A9+1)*$B9,0)</f>
        <v>0.0</v>
      </c>
      <c r="AW9" s="14">
        <f>IF(AND(AW$5-$A9&gt;=0,AW$5-$A9&lt;=19),INDEX(HU_ord,AW$5-$A9+1)*$B9,0)</f>
        <v>0.0</v>
      </c>
      <c r="AX9" s="14">
        <f>IF(AND(AX$5-$A9&gt;=0,AX$5-$A9&lt;=19),INDEX(HU_ord,AX$5-$A9+1)*$B9,0)</f>
        <v>0.0</v>
      </c>
      <c r="AY9" s="14">
        <f>IF(AND(AY$5-$A9&gt;=0,AY$5-$A9&lt;=19),INDEX(HU_ord,AY$5-$A9+1)*$B9,0)</f>
        <v>0.0</v>
      </c>
      <c r="AZ9" s="14">
        <f>IF(AND(AZ$5-$A9&gt;=0,AZ$5-$A9&lt;=19),INDEX(HU_ord,AZ$5-$A9+1)*$B9,0)</f>
        <v>0.0</v>
      </c>
      <c r="BA9" s="14">
        <f>IF(AND(BA$5-$A9&gt;=0,BA$5-$A9&lt;=19),INDEX(HU_ord,BA$5-$A9+1)*$B9,0)</f>
        <v>0.0</v>
      </c>
      <c r="BB9" s="14">
        <f>IF(AND(BB$5-$A9&gt;=0,BB$5-$A9&lt;=19),INDEX(HU_ord,BB$5-$A9+1)*$B9,0)</f>
        <v>0.0</v>
      </c>
      <c r="BC9" s="14">
        <f>IF(AND(BC$5-$A9&gt;=0,BC$5-$A9&lt;=19),INDEX(HU_ord,BC$5-$A9+1)*$B9,0)</f>
        <v>0.0</v>
      </c>
      <c r="BD9" s="14">
        <f>IF(AND(BD$5-$A9&gt;=0,BD$5-$A9&lt;=19),INDEX(HU_ord,BD$5-$A9+1)*$B9,0)</f>
        <v>0.0</v>
      </c>
      <c r="BE9" s="14">
        <f>IF(AND(BE$5-$A9&gt;=0,BE$5-$A9&lt;=19),INDEX(HU_ord,BE$5-$A9+1)*$B9,0)</f>
        <v>0.0</v>
      </c>
      <c r="BF9" s="14">
        <f>IF(AND(BF$5-$A9&gt;=0,BF$5-$A9&lt;=19),INDEX(HU_ord,BF$5-$A9+1)*$B9,0)</f>
        <v>0.0</v>
      </c>
      <c r="BG9" s="14">
        <f>IF(AND(BG$5-$A9&gt;=0,BG$5-$A9&lt;=19),INDEX(HU_ord,BG$5-$A9+1)*$B9,0)</f>
        <v>0.0</v>
      </c>
      <c r="BH9" s="14">
        <f>IF(AND(BH$5-$A9&gt;=0,BH$5-$A9&lt;=19),INDEX(HU_ord,BH$5-$A9+1)*$B9,0)</f>
        <v>0.0</v>
      </c>
      <c r="BI9" s="14">
        <f>IF(AND(BI$5-$A9&gt;=0,BI$5-$A9&lt;=19),INDEX(HU_ord,BI$5-$A9+1)*$B9,0)</f>
        <v>0.0</v>
      </c>
      <c r="BJ9" s="14">
        <f>IF(AND(BJ$5-$A9&gt;=0,BJ$5-$A9&lt;=19),INDEX(HU_ord,BJ$5-$A9+1)*$B9,0)</f>
        <v>0.0</v>
      </c>
      <c r="BK9" s="14">
        <f>IF(AND(BK$5-$A9&gt;=0,BK$5-$A9&lt;=19),INDEX(HU_ord,BK$5-$A9+1)*$B9,0)</f>
        <v>0.0</v>
      </c>
      <c r="BL9" s="14">
        <f>IF(AND(BL$5-$A9&gt;=0,BL$5-$A9&lt;=19),INDEX(HU_ord,BL$5-$A9+1)*$B9,0)</f>
        <v>0.0</v>
      </c>
      <c r="BM9" s="14">
        <f>IF(AND(BM$5-$A9&gt;=0,BM$5-$A9&lt;=19),INDEX(HU_ord,BM$5-$A9+1)*$B9,0)</f>
        <v>0.0</v>
      </c>
      <c r="BN9" s="14">
        <f>IF(AND(BN$5-$A9&gt;=0,BN$5-$A9&lt;=19),INDEX(HU_ord,BN$5-$A9+1)*$B9,0)</f>
        <v>0.0</v>
      </c>
      <c r="BO9" s="14">
        <f>IF(AND(BO$5-$A9&gt;=0,BO$5-$A9&lt;=19),INDEX(HU_ord,BO$5-$A9+1)*$B9,0)</f>
        <v>0.0</v>
      </c>
      <c r="BP9" s="14">
        <f>IF(AND(BP$5-$A9&gt;=0,BP$5-$A9&lt;=19),INDEX(HU_ord,BP$5-$A9+1)*$B9,0)</f>
        <v>0.0</v>
      </c>
      <c r="BQ9" s="14">
        <f>IF(AND(BQ$5-$A9&gt;=0,BQ$5-$A9&lt;=19),INDEX(HU_ord,BQ$5-$A9+1)*$B9,0)</f>
        <v>0.0</v>
      </c>
      <c r="BR9" s="14">
        <f>IF(AND(BR$5-$A9&gt;=0,BR$5-$A9&lt;=19),INDEX(HU_ord,BR$5-$A9+1)*$B9,0)</f>
        <v>0.0</v>
      </c>
      <c r="BS9" s="14">
        <f>IF(AND(BS$5-$A9&gt;=0,BS$5-$A9&lt;=19),INDEX(HU_ord,BS$5-$A9+1)*$B9,0)</f>
        <v>0.0</v>
      </c>
      <c r="BT9" s="14">
        <f>IF(AND(BT$5-$A9&gt;=0,BT$5-$A9&lt;=19),INDEX(HU_ord,BT$5-$A9+1)*$B9,0)</f>
        <v>0.0</v>
      </c>
      <c r="BU9" s="14">
        <f>IF(AND(BU$5-$A9&gt;=0,BU$5-$A9&lt;=19),INDEX(HU_ord,BU$5-$A9+1)*$B9,0)</f>
        <v>0.0</v>
      </c>
      <c r="BV9" s="14">
        <f>IF(AND(BV$5-$A9&gt;=0,BV$5-$A9&lt;=19),INDEX(HU_ord,BV$5-$A9+1)*$B9,0)</f>
        <v>0.0</v>
      </c>
      <c r="BW9" s="14">
        <f>IF(AND(BW$5-$A9&gt;=0,BW$5-$A9&lt;=19),INDEX(HU_ord,BW$5-$A9+1)*$B9,0)</f>
        <v>0.0</v>
      </c>
      <c r="BX9" s="14">
        <f>IF(AND(BX$5-$A9&gt;=0,BX$5-$A9&lt;=19),INDEX(HU_ord,BX$5-$A9+1)*$B9,0)</f>
        <v>0.0</v>
      </c>
      <c r="BY9" s="14">
        <f>IF(AND(BY$5-$A9&gt;=0,BY$5-$A9&lt;=19),INDEX(HU_ord,BY$5-$A9+1)*$B9,0)</f>
        <v>0.0</v>
      </c>
      <c r="BZ9" s="14">
        <f>IF(AND(BZ$5-$A9&gt;=0,BZ$5-$A9&lt;=19),INDEX(HU_ord,BZ$5-$A9+1)*$B9,0)</f>
        <v>0.0</v>
      </c>
      <c r="CA9" s="14">
        <f>IF(AND(CA$5-$A9&gt;=0,CA$5-$A9&lt;=19),INDEX(HU_ord,CA$5-$A9+1)*$B9,0)</f>
        <v>0.0</v>
      </c>
      <c r="CB9" s="14">
        <f>IF(AND(CB$5-$A9&gt;=0,CB$5-$A9&lt;=19),INDEX(HU_ord,CB$5-$A9+1)*$B9,0)</f>
        <v>0.0</v>
      </c>
      <c r="CC9" s="14">
        <f>IF(AND(CC$5-$A9&gt;=0,CC$5-$A9&lt;=19),INDEX(HU_ord,CC$5-$A9+1)*$B9,0)</f>
        <v>0.0</v>
      </c>
      <c r="CD9" s="14">
        <f>IF(AND(CD$5-$A9&gt;=0,CD$5-$A9&lt;=19),INDEX(HU_ord,CD$5-$A9+1)*$B9,0)</f>
        <v>0.0</v>
      </c>
      <c r="CE9" s="14">
        <f>IF(AND(CE$5-$A9&gt;=0,CE$5-$A9&lt;=19),INDEX(HU_ord,CE$5-$A9+1)*$B9,0)</f>
        <v>0.0</v>
      </c>
      <c r="CF9" s="14">
        <f>IF(AND(CF$5-$A9&gt;=0,CF$5-$A9&lt;=19),INDEX(HU_ord,CF$5-$A9+1)*$B9,0)</f>
        <v>0.0</v>
      </c>
      <c r="CG9" s="14">
        <f>IF(AND(CG$5-$A9&gt;=0,CG$5-$A9&lt;=19),INDEX(HU_ord,CG$5-$A9+1)*$B9,0)</f>
        <v>0.0</v>
      </c>
      <c r="CH9" s="14">
        <f>IF(AND(CH$5-$A9&gt;=0,CH$5-$A9&lt;=19),INDEX(HU_ord,CH$5-$A9+1)*$B9,0)</f>
        <v>0.0</v>
      </c>
      <c r="CI9" s="14">
        <f>IF(AND(CI$5-$A9&gt;=0,CI$5-$A9&lt;=19),INDEX(HU_ord,CI$5-$A9+1)*$B9,0)</f>
        <v>0.0</v>
      </c>
      <c r="CJ9" s="14">
        <f>IF(AND(CJ$5-$A9&gt;=0,CJ$5-$A9&lt;=19),INDEX(HU_ord,CJ$5-$A9+1)*$B9,0)</f>
        <v>0.0</v>
      </c>
      <c r="CK9" s="14">
        <f>IF(AND(CK$5-$A9&gt;=0,CK$5-$A9&lt;=19),INDEX(HU_ord,CK$5-$A9+1)*$B9,0)</f>
        <v>0.0</v>
      </c>
      <c r="CL9" s="14">
        <f>IF(AND(CL$5-$A9&gt;=0,CL$5-$A9&lt;=19),INDEX(HU_ord,CL$5-$A9+1)*$B9,0)</f>
        <v>0.0</v>
      </c>
      <c r="CM9" s="14">
        <f>IF(AND(CM$5-$A9&gt;=0,CM$5-$A9&lt;=19),INDEX(HU_ord,CM$5-$A9+1)*$B9,0)</f>
        <v>0.0</v>
      </c>
      <c r="CN9" s="14">
        <f>IF(AND(CN$5-$A9&gt;=0,CN$5-$A9&lt;=19),INDEX(HU_ord,CN$5-$A9+1)*$B9,0)</f>
        <v>0.0</v>
      </c>
      <c r="CO9" s="14">
        <f>IF(AND(CO$5-$A9&gt;=0,CO$5-$A9&lt;=19),INDEX(HU_ord,CO$5-$A9+1)*$B9,0)</f>
        <v>0.0</v>
      </c>
      <c r="CP9" s="14">
        <f>IF(AND(CP$5-$A9&gt;=0,CP$5-$A9&lt;=19),INDEX(HU_ord,CP$5-$A9+1)*$B9,0)</f>
        <v>0.0</v>
      </c>
      <c r="CQ9" s="14">
        <f>IF(AND(CQ$5-$A9&gt;=0,CQ$5-$A9&lt;=19),INDEX(HU_ord,CQ$5-$A9+1)*$B9,0)</f>
        <v>0.0</v>
      </c>
      <c r="CR9" s="14">
        <f>IF(AND(CR$5-$A9&gt;=0,CR$5-$A9&lt;=19),INDEX(HU_ord,CR$5-$A9+1)*$B9,0)</f>
        <v>0.0</v>
      </c>
      <c r="CS9" s="14">
        <f>IF(AND(CS$5-$A9&gt;=0,CS$5-$A9&lt;=19),INDEX(HU_ord,CS$5-$A9+1)*$B9,0)</f>
        <v>0.0</v>
      </c>
      <c r="CT9" s="14">
        <f>IF(AND(CT$5-$A9&gt;=0,CT$5-$A9&lt;=19),INDEX(HU_ord,CT$5-$A9+1)*$B9,0)</f>
        <v>0.0</v>
      </c>
      <c r="CU9" s="14">
        <f>IF(AND(CU$5-$A9&gt;=0,CU$5-$A9&lt;=19),INDEX(HU_ord,CU$5-$A9+1)*$B9,0)</f>
        <v>0.0</v>
      </c>
      <c r="CV9" s="14">
        <f>IF(AND(CV$5-$A9&gt;=0,CV$5-$A9&lt;=19),INDEX(HU_ord,CV$5-$A9+1)*$B9,0)</f>
        <v>0.0</v>
      </c>
      <c r="CW9" s="14">
        <f>IF(AND(CW$5-$A9&gt;=0,CW$5-$A9&lt;=19),INDEX(HU_ord,CW$5-$A9+1)*$B9,0)</f>
        <v>0.0</v>
      </c>
      <c r="CX9" s="14">
        <f>IF(AND(CX$5-$A9&gt;=0,CX$5-$A9&lt;=19),INDEX(HU_ord,CX$5-$A9+1)*$B9,0)</f>
        <v>0.0</v>
      </c>
      <c r="CY9" s="14">
        <f>IF(AND(CY$5-$A9&gt;=0,CY$5-$A9&lt;=19),INDEX(HU_ord,CY$5-$A9+1)*$B9,0)</f>
        <v>0.0</v>
      </c>
      <c r="CZ9" s="14">
        <f>IF(AND(CZ$5-$A9&gt;=0,CZ$5-$A9&lt;=19),INDEX(HU_ord,CZ$5-$A9+1)*$B9,0)</f>
        <v>0.0</v>
      </c>
      <c r="DA9" s="14">
        <f>IF(AND(DA$5-$A9&gt;=0,DA$5-$A9&lt;=19),INDEX(HU_ord,DA$5-$A9+1)*$B9,0)</f>
        <v>0.0</v>
      </c>
      <c r="DB9" s="14">
        <f>IF(AND(DB$5-$A9&gt;=0,DB$5-$A9&lt;=19),INDEX(HU_ord,DB$5-$A9+1)*$B9,0)</f>
        <v>0.0</v>
      </c>
      <c r="DC9" s="14">
        <f>IF(AND(DC$5-$A9&gt;=0,DC$5-$A9&lt;=19),INDEX(HU_ord,DC$5-$A9+1)*$B9,0)</f>
        <v>0.0</v>
      </c>
      <c r="DD9" s="14">
        <f>IF(AND(DD$5-$A9&gt;=0,DD$5-$A9&lt;=19),INDEX(HU_ord,DD$5-$A9+1)*$B9,0)</f>
        <v>0.0</v>
      </c>
      <c r="DE9" s="14">
        <f>IF(AND(DE$5-$A9&gt;=0,DE$5-$A9&lt;=19),INDEX(HU_ord,DE$5-$A9+1)*$B9,0)</f>
        <v>0.0</v>
      </c>
      <c r="DF9" s="14">
        <f>IF(AND(DF$5-$A9&gt;=0,DF$5-$A9&lt;=19),INDEX(HU_ord,DF$5-$A9+1)*$B9,0)</f>
        <v>0.0</v>
      </c>
      <c r="DG9" s="14">
        <f>IF(AND(DG$5-$A9&gt;=0,DG$5-$A9&lt;=19),INDEX(HU_ord,DG$5-$A9+1)*$B9,0)</f>
        <v>0.0</v>
      </c>
      <c r="DH9" s="14">
        <f>IF(AND(DH$5-$A9&gt;=0,DH$5-$A9&lt;=19),INDEX(HU_ord,DH$5-$A9+1)*$B9,0)</f>
        <v>0.0</v>
      </c>
      <c r="DI9" s="14">
        <f>IF(AND(DI$5-$A9&gt;=0,DI$5-$A9&lt;=19),INDEX(HU_ord,DI$5-$A9+1)*$B9,0)</f>
        <v>0.0</v>
      </c>
    </row>
    <row r="10" spans="1:113">
      <c r="A10">
        <v>4</v>
      </c>
      <c r="B10" s="10">
        <f>Serie_horaria!N6</f>
        <v>0.019811923824216933</v>
      </c>
      <c r="C10" s="14">
        <f>IF(AND(C$5-$A10&gt;=0,C$5-$A10&lt;=19),INDEX(HU_ord,C$5-$A10+1)*$B10,0)</f>
        <v>0.0</v>
      </c>
      <c r="D10" s="14">
        <f>IF(AND(D$5-$A10&gt;=0,D$5-$A10&lt;=19),INDEX(HU_ord,D$5-$A10+1)*$B10,0)</f>
        <v>0.0</v>
      </c>
      <c r="E10" s="14">
        <f>IF(AND(E$5-$A10&gt;=0,E$5-$A10&lt;=19),INDEX(HU_ord,E$5-$A10+1)*$B10,0)</f>
        <v>0.0</v>
      </c>
      <c r="F10" s="14">
        <f>IF(AND(F$5-$A10&gt;=0,F$5-$A10&lt;=19),INDEX(HU_ord,F$5-$A10+1)*$B10,0)</f>
        <v>0.0</v>
      </c>
      <c r="G10" s="14">
        <f>IF(AND(G$5-$A10&gt;=0,G$5-$A10&lt;=19),INDEX(HU_ord,G$5-$A10+1)*$B10,0)</f>
        <v>0.0</v>
      </c>
      <c r="H10" s="14">
        <f>IF(AND(H$5-$A10&gt;=0,H$5-$A10&lt;=19),INDEX(HU_ord,H$5-$A10+1)*$B10,0)</f>
        <v>0.06439014431782328</v>
      </c>
      <c r="I10" s="14">
        <f>IF(AND(I$5-$A10&gt;=0,I$5-$A10&lt;=19),INDEX(HU_ord,I$5-$A10+1)*$B10,0)</f>
        <v>0.12878028863564656</v>
      </c>
      <c r="J10" s="14">
        <f>IF(AND(J$5-$A10&gt;=0,J$5-$A10&lt;=19),INDEX(HU_ord,J$5-$A10+1)*$B10,0)</f>
        <v>0.19317043295346983</v>
      </c>
      <c r="K10" s="14">
        <f>IF(AND(K$5-$A10&gt;=0,K$5-$A10&lt;=19),INDEX(HU_ord,K$5-$A10+1)*$B10,0)</f>
        <v>0.2575605772712931</v>
      </c>
      <c r="L10" s="14">
        <f>IF(AND(L$5-$A10&gt;=0,L$5-$A10&lt;=19),INDEX(HU_ord,L$5-$A10+1)*$B10,0)</f>
        <v>0.3219507215891164</v>
      </c>
      <c r="M10" s="14">
        <f>IF(AND(M$5-$A10&gt;=0,M$5-$A10&lt;=19),INDEX(HU_ord,M$5-$A10+1)*$B10,0)</f>
        <v>0.38634086590693967</v>
      </c>
      <c r="N10" s="14">
        <f>IF(AND(N$5-$A10&gt;=0,N$5-$A10&lt;=19),INDEX(HU_ord,N$5-$A10+1)*$B10,0)</f>
        <v>0.43953036389916383</v>
      </c>
      <c r="O10" s="14">
        <f>IF(AND(O$5-$A10&gt;=0,O$5-$A10&lt;=19),INDEX(HU_ord,O$5-$A10+1)*$B10,0)</f>
        <v>0.4009733912537607</v>
      </c>
      <c r="P10" s="14">
        <f>IF(AND(P$5-$A10&gt;=0,P$5-$A10&lt;=19),INDEX(HU_ord,P$5-$A10+1)*$B10,0)</f>
        <v>0.3624164186083575</v>
      </c>
      <c r="Q10" s="14">
        <f>IF(AND(Q$5-$A10&gt;=0,Q$5-$A10&lt;=19),INDEX(HU_ord,Q$5-$A10+1)*$B10,0)</f>
        <v>0.32385944596295435</v>
      </c>
      <c r="R10" s="14">
        <f>IF(AND(R$5-$A10&gt;=0,R$5-$A10&lt;=19),INDEX(HU_ord,R$5-$A10+1)*$B10,0)</f>
        <v>0.28530247331755115</v>
      </c>
      <c r="S10" s="14">
        <f>IF(AND(S$5-$A10&gt;=0,S$5-$A10&lt;=19),INDEX(HU_ord,S$5-$A10+1)*$B10,0)</f>
        <v>0.246745500672148</v>
      </c>
      <c r="T10" s="14">
        <f>IF(AND(T$5-$A10&gt;=0,T$5-$A10&lt;=19),INDEX(HU_ord,T$5-$A10+1)*$B10,0)</f>
        <v>0.20818852802674487</v>
      </c>
      <c r="U10" s="14">
        <f>IF(AND(U$5-$A10&gt;=0,U$5-$A10&lt;=19),INDEX(HU_ord,U$5-$A10+1)*$B10,0)</f>
        <v>0.16963155538134173</v>
      </c>
      <c r="V10" s="14">
        <f>IF(AND(V$5-$A10&gt;=0,V$5-$A10&lt;=19),INDEX(HU_ord,V$5-$A10+1)*$B10,0)</f>
        <v>0.13107458273593853</v>
      </c>
      <c r="W10" s="14">
        <f>IF(AND(W$5-$A10&gt;=0,W$5-$A10&lt;=19),INDEX(HU_ord,W$5-$A10+1)*$B10,0)</f>
        <v>0.09251761009053534</v>
      </c>
      <c r="X10" s="14">
        <f>IF(AND(X$5-$A10&gt;=0,X$5-$A10&lt;=19),INDEX(HU_ord,X$5-$A10+1)*$B10,0)</f>
        <v>0.05396063744513218</v>
      </c>
      <c r="Y10" s="14">
        <f>IF(AND(Y$5-$A10&gt;=0,Y$5-$A10&lt;=19),INDEX(HU_ord,Y$5-$A10+1)*$B10,0)</f>
        <v>0.01540366479972902</v>
      </c>
      <c r="Z10" s="14">
        <f>IF(AND(Z$5-$A10&gt;=0,Z$5-$A10&lt;=19),INDEX(HU_ord,Z$5-$A10+1)*$B10,0)</f>
        <v>0.0</v>
      </c>
      <c r="AA10" s="14">
        <f>IF(AND(AA$5-$A10&gt;=0,AA$5-$A10&lt;=19),INDEX(HU_ord,AA$5-$A10+1)*$B10,0)</f>
        <v>0.0</v>
      </c>
      <c r="AB10" s="14">
        <f>IF(AND(AB$5-$A10&gt;=0,AB$5-$A10&lt;=19),INDEX(HU_ord,AB$5-$A10+1)*$B10,0)</f>
        <v>0.0</v>
      </c>
      <c r="AC10" s="14">
        <f>IF(AND(AC$5-$A10&gt;=0,AC$5-$A10&lt;=19),INDEX(HU_ord,AC$5-$A10+1)*$B10,0)</f>
        <v>0.0</v>
      </c>
      <c r="AD10" s="14">
        <f>IF(AND(AD$5-$A10&gt;=0,AD$5-$A10&lt;=19),INDEX(HU_ord,AD$5-$A10+1)*$B10,0)</f>
        <v>0.0</v>
      </c>
      <c r="AE10" s="14">
        <f>IF(AND(AE$5-$A10&gt;=0,AE$5-$A10&lt;=19),INDEX(HU_ord,AE$5-$A10+1)*$B10,0)</f>
        <v>0.0</v>
      </c>
      <c r="AF10" s="14">
        <f>IF(AND(AF$5-$A10&gt;=0,AF$5-$A10&lt;=19),INDEX(HU_ord,AF$5-$A10+1)*$B10,0)</f>
        <v>0.0</v>
      </c>
      <c r="AG10" s="14">
        <f>IF(AND(AG$5-$A10&gt;=0,AG$5-$A10&lt;=19),INDEX(HU_ord,AG$5-$A10+1)*$B10,0)</f>
        <v>0.0</v>
      </c>
      <c r="AH10" s="14">
        <f>IF(AND(AH$5-$A10&gt;=0,AH$5-$A10&lt;=19),INDEX(HU_ord,AH$5-$A10+1)*$B10,0)</f>
        <v>0.0</v>
      </c>
      <c r="AI10" s="14">
        <f>IF(AND(AI$5-$A10&gt;=0,AI$5-$A10&lt;=19),INDEX(HU_ord,AI$5-$A10+1)*$B10,0)</f>
        <v>0.0</v>
      </c>
      <c r="AJ10" s="14">
        <f>IF(AND(AJ$5-$A10&gt;=0,AJ$5-$A10&lt;=19),INDEX(HU_ord,AJ$5-$A10+1)*$B10,0)</f>
        <v>0.0</v>
      </c>
      <c r="AK10" s="14">
        <f>IF(AND(AK$5-$A10&gt;=0,AK$5-$A10&lt;=19),INDEX(HU_ord,AK$5-$A10+1)*$B10,0)</f>
        <v>0.0</v>
      </c>
      <c r="AL10" s="14">
        <f>IF(AND(AL$5-$A10&gt;=0,AL$5-$A10&lt;=19),INDEX(HU_ord,AL$5-$A10+1)*$B10,0)</f>
        <v>0.0</v>
      </c>
      <c r="AM10" s="14">
        <f>IF(AND(AM$5-$A10&gt;=0,AM$5-$A10&lt;=19),INDEX(HU_ord,AM$5-$A10+1)*$B10,0)</f>
        <v>0.0</v>
      </c>
      <c r="AN10" s="14">
        <f>IF(AND(AN$5-$A10&gt;=0,AN$5-$A10&lt;=19),INDEX(HU_ord,AN$5-$A10+1)*$B10,0)</f>
        <v>0.0</v>
      </c>
      <c r="AO10" s="14">
        <f>IF(AND(AO$5-$A10&gt;=0,AO$5-$A10&lt;=19),INDEX(HU_ord,AO$5-$A10+1)*$B10,0)</f>
        <v>0.0</v>
      </c>
      <c r="AP10" s="14">
        <f>IF(AND(AP$5-$A10&gt;=0,AP$5-$A10&lt;=19),INDEX(HU_ord,AP$5-$A10+1)*$B10,0)</f>
        <v>0.0</v>
      </c>
      <c r="AQ10" s="14">
        <f>IF(AND(AQ$5-$A10&gt;=0,AQ$5-$A10&lt;=19),INDEX(HU_ord,AQ$5-$A10+1)*$B10,0)</f>
        <v>0.0</v>
      </c>
      <c r="AR10" s="14">
        <f>IF(AND(AR$5-$A10&gt;=0,AR$5-$A10&lt;=19),INDEX(HU_ord,AR$5-$A10+1)*$B10,0)</f>
        <v>0.0</v>
      </c>
      <c r="AS10" s="14">
        <f>IF(AND(AS$5-$A10&gt;=0,AS$5-$A10&lt;=19),INDEX(HU_ord,AS$5-$A10+1)*$B10,0)</f>
        <v>0.0</v>
      </c>
      <c r="AT10" s="14">
        <f>IF(AND(AT$5-$A10&gt;=0,AT$5-$A10&lt;=19),INDEX(HU_ord,AT$5-$A10+1)*$B10,0)</f>
        <v>0.0</v>
      </c>
      <c r="AU10" s="14">
        <f>IF(AND(AU$5-$A10&gt;=0,AU$5-$A10&lt;=19),INDEX(HU_ord,AU$5-$A10+1)*$B10,0)</f>
        <v>0.0</v>
      </c>
      <c r="AV10" s="14">
        <f>IF(AND(AV$5-$A10&gt;=0,AV$5-$A10&lt;=19),INDEX(HU_ord,AV$5-$A10+1)*$B10,0)</f>
        <v>0.0</v>
      </c>
      <c r="AW10" s="14">
        <f>IF(AND(AW$5-$A10&gt;=0,AW$5-$A10&lt;=19),INDEX(HU_ord,AW$5-$A10+1)*$B10,0)</f>
        <v>0.0</v>
      </c>
      <c r="AX10" s="14">
        <f>IF(AND(AX$5-$A10&gt;=0,AX$5-$A10&lt;=19),INDEX(HU_ord,AX$5-$A10+1)*$B10,0)</f>
        <v>0.0</v>
      </c>
      <c r="AY10" s="14">
        <f>IF(AND(AY$5-$A10&gt;=0,AY$5-$A10&lt;=19),INDEX(HU_ord,AY$5-$A10+1)*$B10,0)</f>
        <v>0.0</v>
      </c>
      <c r="AZ10" s="14">
        <f>IF(AND(AZ$5-$A10&gt;=0,AZ$5-$A10&lt;=19),INDEX(HU_ord,AZ$5-$A10+1)*$B10,0)</f>
        <v>0.0</v>
      </c>
      <c r="BA10" s="14">
        <f>IF(AND(BA$5-$A10&gt;=0,BA$5-$A10&lt;=19),INDEX(HU_ord,BA$5-$A10+1)*$B10,0)</f>
        <v>0.0</v>
      </c>
      <c r="BB10" s="14">
        <f>IF(AND(BB$5-$A10&gt;=0,BB$5-$A10&lt;=19),INDEX(HU_ord,BB$5-$A10+1)*$B10,0)</f>
        <v>0.0</v>
      </c>
      <c r="BC10" s="14">
        <f>IF(AND(BC$5-$A10&gt;=0,BC$5-$A10&lt;=19),INDEX(HU_ord,BC$5-$A10+1)*$B10,0)</f>
        <v>0.0</v>
      </c>
      <c r="BD10" s="14">
        <f>IF(AND(BD$5-$A10&gt;=0,BD$5-$A10&lt;=19),INDEX(HU_ord,BD$5-$A10+1)*$B10,0)</f>
        <v>0.0</v>
      </c>
      <c r="BE10" s="14">
        <f>IF(AND(BE$5-$A10&gt;=0,BE$5-$A10&lt;=19),INDEX(HU_ord,BE$5-$A10+1)*$B10,0)</f>
        <v>0.0</v>
      </c>
      <c r="BF10" s="14">
        <f>IF(AND(BF$5-$A10&gt;=0,BF$5-$A10&lt;=19),INDEX(HU_ord,BF$5-$A10+1)*$B10,0)</f>
        <v>0.0</v>
      </c>
      <c r="BG10" s="14">
        <f>IF(AND(BG$5-$A10&gt;=0,BG$5-$A10&lt;=19),INDEX(HU_ord,BG$5-$A10+1)*$B10,0)</f>
        <v>0.0</v>
      </c>
      <c r="BH10" s="14">
        <f>IF(AND(BH$5-$A10&gt;=0,BH$5-$A10&lt;=19),INDEX(HU_ord,BH$5-$A10+1)*$B10,0)</f>
        <v>0.0</v>
      </c>
      <c r="BI10" s="14">
        <f>IF(AND(BI$5-$A10&gt;=0,BI$5-$A10&lt;=19),INDEX(HU_ord,BI$5-$A10+1)*$B10,0)</f>
        <v>0.0</v>
      </c>
      <c r="BJ10" s="14">
        <f>IF(AND(BJ$5-$A10&gt;=0,BJ$5-$A10&lt;=19),INDEX(HU_ord,BJ$5-$A10+1)*$B10,0)</f>
        <v>0.0</v>
      </c>
      <c r="BK10" s="14">
        <f>IF(AND(BK$5-$A10&gt;=0,BK$5-$A10&lt;=19),INDEX(HU_ord,BK$5-$A10+1)*$B10,0)</f>
        <v>0.0</v>
      </c>
      <c r="BL10" s="14">
        <f>IF(AND(BL$5-$A10&gt;=0,BL$5-$A10&lt;=19),INDEX(HU_ord,BL$5-$A10+1)*$B10,0)</f>
        <v>0.0</v>
      </c>
      <c r="BM10" s="14">
        <f>IF(AND(BM$5-$A10&gt;=0,BM$5-$A10&lt;=19),INDEX(HU_ord,BM$5-$A10+1)*$B10,0)</f>
        <v>0.0</v>
      </c>
      <c r="BN10" s="14">
        <f>IF(AND(BN$5-$A10&gt;=0,BN$5-$A10&lt;=19),INDEX(HU_ord,BN$5-$A10+1)*$B10,0)</f>
        <v>0.0</v>
      </c>
      <c r="BO10" s="14">
        <f>IF(AND(BO$5-$A10&gt;=0,BO$5-$A10&lt;=19),INDEX(HU_ord,BO$5-$A10+1)*$B10,0)</f>
        <v>0.0</v>
      </c>
      <c r="BP10" s="14">
        <f>IF(AND(BP$5-$A10&gt;=0,BP$5-$A10&lt;=19),INDEX(HU_ord,BP$5-$A10+1)*$B10,0)</f>
        <v>0.0</v>
      </c>
      <c r="BQ10" s="14">
        <f>IF(AND(BQ$5-$A10&gt;=0,BQ$5-$A10&lt;=19),INDEX(HU_ord,BQ$5-$A10+1)*$B10,0)</f>
        <v>0.0</v>
      </c>
      <c r="BR10" s="14">
        <f>IF(AND(BR$5-$A10&gt;=0,BR$5-$A10&lt;=19),INDEX(HU_ord,BR$5-$A10+1)*$B10,0)</f>
        <v>0.0</v>
      </c>
      <c r="BS10" s="14">
        <f>IF(AND(BS$5-$A10&gt;=0,BS$5-$A10&lt;=19),INDEX(HU_ord,BS$5-$A10+1)*$B10,0)</f>
        <v>0.0</v>
      </c>
      <c r="BT10" s="14">
        <f>IF(AND(BT$5-$A10&gt;=0,BT$5-$A10&lt;=19),INDEX(HU_ord,BT$5-$A10+1)*$B10,0)</f>
        <v>0.0</v>
      </c>
      <c r="BU10" s="14">
        <f>IF(AND(BU$5-$A10&gt;=0,BU$5-$A10&lt;=19),INDEX(HU_ord,BU$5-$A10+1)*$B10,0)</f>
        <v>0.0</v>
      </c>
      <c r="BV10" s="14">
        <f>IF(AND(BV$5-$A10&gt;=0,BV$5-$A10&lt;=19),INDEX(HU_ord,BV$5-$A10+1)*$B10,0)</f>
        <v>0.0</v>
      </c>
      <c r="BW10" s="14">
        <f>IF(AND(BW$5-$A10&gt;=0,BW$5-$A10&lt;=19),INDEX(HU_ord,BW$5-$A10+1)*$B10,0)</f>
        <v>0.0</v>
      </c>
      <c r="BX10" s="14">
        <f>IF(AND(BX$5-$A10&gt;=0,BX$5-$A10&lt;=19),INDEX(HU_ord,BX$5-$A10+1)*$B10,0)</f>
        <v>0.0</v>
      </c>
      <c r="BY10" s="14">
        <f>IF(AND(BY$5-$A10&gt;=0,BY$5-$A10&lt;=19),INDEX(HU_ord,BY$5-$A10+1)*$B10,0)</f>
        <v>0.0</v>
      </c>
      <c r="BZ10" s="14">
        <f>IF(AND(BZ$5-$A10&gt;=0,BZ$5-$A10&lt;=19),INDEX(HU_ord,BZ$5-$A10+1)*$B10,0)</f>
        <v>0.0</v>
      </c>
      <c r="CA10" s="14">
        <f>IF(AND(CA$5-$A10&gt;=0,CA$5-$A10&lt;=19),INDEX(HU_ord,CA$5-$A10+1)*$B10,0)</f>
        <v>0.0</v>
      </c>
      <c r="CB10" s="14">
        <f>IF(AND(CB$5-$A10&gt;=0,CB$5-$A10&lt;=19),INDEX(HU_ord,CB$5-$A10+1)*$B10,0)</f>
        <v>0.0</v>
      </c>
      <c r="CC10" s="14">
        <f>IF(AND(CC$5-$A10&gt;=0,CC$5-$A10&lt;=19),INDEX(HU_ord,CC$5-$A10+1)*$B10,0)</f>
        <v>0.0</v>
      </c>
      <c r="CD10" s="14">
        <f>IF(AND(CD$5-$A10&gt;=0,CD$5-$A10&lt;=19),INDEX(HU_ord,CD$5-$A10+1)*$B10,0)</f>
        <v>0.0</v>
      </c>
      <c r="CE10" s="14">
        <f>IF(AND(CE$5-$A10&gt;=0,CE$5-$A10&lt;=19),INDEX(HU_ord,CE$5-$A10+1)*$B10,0)</f>
        <v>0.0</v>
      </c>
      <c r="CF10" s="14">
        <f>IF(AND(CF$5-$A10&gt;=0,CF$5-$A10&lt;=19),INDEX(HU_ord,CF$5-$A10+1)*$B10,0)</f>
        <v>0.0</v>
      </c>
      <c r="CG10" s="14">
        <f>IF(AND(CG$5-$A10&gt;=0,CG$5-$A10&lt;=19),INDEX(HU_ord,CG$5-$A10+1)*$B10,0)</f>
        <v>0.0</v>
      </c>
      <c r="CH10" s="14">
        <f>IF(AND(CH$5-$A10&gt;=0,CH$5-$A10&lt;=19),INDEX(HU_ord,CH$5-$A10+1)*$B10,0)</f>
        <v>0.0</v>
      </c>
      <c r="CI10" s="14">
        <f>IF(AND(CI$5-$A10&gt;=0,CI$5-$A10&lt;=19),INDEX(HU_ord,CI$5-$A10+1)*$B10,0)</f>
        <v>0.0</v>
      </c>
      <c r="CJ10" s="14">
        <f>IF(AND(CJ$5-$A10&gt;=0,CJ$5-$A10&lt;=19),INDEX(HU_ord,CJ$5-$A10+1)*$B10,0)</f>
        <v>0.0</v>
      </c>
      <c r="CK10" s="14">
        <f>IF(AND(CK$5-$A10&gt;=0,CK$5-$A10&lt;=19),INDEX(HU_ord,CK$5-$A10+1)*$B10,0)</f>
        <v>0.0</v>
      </c>
      <c r="CL10" s="14">
        <f>IF(AND(CL$5-$A10&gt;=0,CL$5-$A10&lt;=19),INDEX(HU_ord,CL$5-$A10+1)*$B10,0)</f>
        <v>0.0</v>
      </c>
      <c r="CM10" s="14">
        <f>IF(AND(CM$5-$A10&gt;=0,CM$5-$A10&lt;=19),INDEX(HU_ord,CM$5-$A10+1)*$B10,0)</f>
        <v>0.0</v>
      </c>
      <c r="CN10" s="14">
        <f>IF(AND(CN$5-$A10&gt;=0,CN$5-$A10&lt;=19),INDEX(HU_ord,CN$5-$A10+1)*$B10,0)</f>
        <v>0.0</v>
      </c>
      <c r="CO10" s="14">
        <f>IF(AND(CO$5-$A10&gt;=0,CO$5-$A10&lt;=19),INDEX(HU_ord,CO$5-$A10+1)*$B10,0)</f>
        <v>0.0</v>
      </c>
      <c r="CP10" s="14">
        <f>IF(AND(CP$5-$A10&gt;=0,CP$5-$A10&lt;=19),INDEX(HU_ord,CP$5-$A10+1)*$B10,0)</f>
        <v>0.0</v>
      </c>
      <c r="CQ10" s="14">
        <f>IF(AND(CQ$5-$A10&gt;=0,CQ$5-$A10&lt;=19),INDEX(HU_ord,CQ$5-$A10+1)*$B10,0)</f>
        <v>0.0</v>
      </c>
      <c r="CR10" s="14">
        <f>IF(AND(CR$5-$A10&gt;=0,CR$5-$A10&lt;=19),INDEX(HU_ord,CR$5-$A10+1)*$B10,0)</f>
        <v>0.0</v>
      </c>
      <c r="CS10" s="14">
        <f>IF(AND(CS$5-$A10&gt;=0,CS$5-$A10&lt;=19),INDEX(HU_ord,CS$5-$A10+1)*$B10,0)</f>
        <v>0.0</v>
      </c>
      <c r="CT10" s="14">
        <f>IF(AND(CT$5-$A10&gt;=0,CT$5-$A10&lt;=19),INDEX(HU_ord,CT$5-$A10+1)*$B10,0)</f>
        <v>0.0</v>
      </c>
      <c r="CU10" s="14">
        <f>IF(AND(CU$5-$A10&gt;=0,CU$5-$A10&lt;=19),INDEX(HU_ord,CU$5-$A10+1)*$B10,0)</f>
        <v>0.0</v>
      </c>
      <c r="CV10" s="14">
        <f>IF(AND(CV$5-$A10&gt;=0,CV$5-$A10&lt;=19),INDEX(HU_ord,CV$5-$A10+1)*$B10,0)</f>
        <v>0.0</v>
      </c>
      <c r="CW10" s="14">
        <f>IF(AND(CW$5-$A10&gt;=0,CW$5-$A10&lt;=19),INDEX(HU_ord,CW$5-$A10+1)*$B10,0)</f>
        <v>0.0</v>
      </c>
      <c r="CX10" s="14">
        <f>IF(AND(CX$5-$A10&gt;=0,CX$5-$A10&lt;=19),INDEX(HU_ord,CX$5-$A10+1)*$B10,0)</f>
        <v>0.0</v>
      </c>
      <c r="CY10" s="14">
        <f>IF(AND(CY$5-$A10&gt;=0,CY$5-$A10&lt;=19),INDEX(HU_ord,CY$5-$A10+1)*$B10,0)</f>
        <v>0.0</v>
      </c>
      <c r="CZ10" s="14">
        <f>IF(AND(CZ$5-$A10&gt;=0,CZ$5-$A10&lt;=19),INDEX(HU_ord,CZ$5-$A10+1)*$B10,0)</f>
        <v>0.0</v>
      </c>
      <c r="DA10" s="14">
        <f>IF(AND(DA$5-$A10&gt;=0,DA$5-$A10&lt;=19),INDEX(HU_ord,DA$5-$A10+1)*$B10,0)</f>
        <v>0.0</v>
      </c>
      <c r="DB10" s="14">
        <f>IF(AND(DB$5-$A10&gt;=0,DB$5-$A10&lt;=19),INDEX(HU_ord,DB$5-$A10+1)*$B10,0)</f>
        <v>0.0</v>
      </c>
      <c r="DC10" s="14">
        <f>IF(AND(DC$5-$A10&gt;=0,DC$5-$A10&lt;=19),INDEX(HU_ord,DC$5-$A10+1)*$B10,0)</f>
        <v>0.0</v>
      </c>
      <c r="DD10" s="14">
        <f>IF(AND(DD$5-$A10&gt;=0,DD$5-$A10&lt;=19),INDEX(HU_ord,DD$5-$A10+1)*$B10,0)</f>
        <v>0.0</v>
      </c>
      <c r="DE10" s="14">
        <f>IF(AND(DE$5-$A10&gt;=0,DE$5-$A10&lt;=19),INDEX(HU_ord,DE$5-$A10+1)*$B10,0)</f>
        <v>0.0</v>
      </c>
      <c r="DF10" s="14">
        <f>IF(AND(DF$5-$A10&gt;=0,DF$5-$A10&lt;=19),INDEX(HU_ord,DF$5-$A10+1)*$B10,0)</f>
        <v>0.0</v>
      </c>
      <c r="DG10" s="14">
        <f>IF(AND(DG$5-$A10&gt;=0,DG$5-$A10&lt;=19),INDEX(HU_ord,DG$5-$A10+1)*$B10,0)</f>
        <v>0.0</v>
      </c>
      <c r="DH10" s="14">
        <f>IF(AND(DH$5-$A10&gt;=0,DH$5-$A10&lt;=19),INDEX(HU_ord,DH$5-$A10+1)*$B10,0)</f>
        <v>0.0</v>
      </c>
      <c r="DI10" s="14">
        <f>IF(AND(DI$5-$A10&gt;=0,DI$5-$A10&lt;=19),INDEX(HU_ord,DI$5-$A10+1)*$B10,0)</f>
        <v>0.0</v>
      </c>
    </row>
    <row r="11" spans="1:113">
      <c r="A11">
        <v>5</v>
      </c>
      <c r="B11" s="10">
        <f>Serie_horaria!N7</f>
        <v>0.010904425938411713</v>
      </c>
      <c r="C11" s="14">
        <f>IF(AND(C$5-$A11&gt;=0,C$5-$A11&lt;=19),INDEX(HU_ord,C$5-$A11+1)*$B11,0)</f>
        <v>0.0</v>
      </c>
      <c r="D11" s="14">
        <f>IF(AND(D$5-$A11&gt;=0,D$5-$A11&lt;=19),INDEX(HU_ord,D$5-$A11+1)*$B11,0)</f>
        <v>0.0</v>
      </c>
      <c r="E11" s="14">
        <f>IF(AND(E$5-$A11&gt;=0,E$5-$A11&lt;=19),INDEX(HU_ord,E$5-$A11+1)*$B11,0)</f>
        <v>0.0</v>
      </c>
      <c r="F11" s="14">
        <f>IF(AND(F$5-$A11&gt;=0,F$5-$A11&lt;=19),INDEX(HU_ord,F$5-$A11+1)*$B11,0)</f>
        <v>0.0</v>
      </c>
      <c r="G11" s="14">
        <f>IF(AND(G$5-$A11&gt;=0,G$5-$A11&lt;=19),INDEX(HU_ord,G$5-$A11+1)*$B11,0)</f>
        <v>0.0</v>
      </c>
      <c r="H11" s="14">
        <f>IF(AND(H$5-$A11&gt;=0,H$5-$A11&lt;=19),INDEX(HU_ord,H$5-$A11+1)*$B11,0)</f>
        <v>0.0</v>
      </c>
      <c r="I11" s="14">
        <f>IF(AND(I$5-$A11&gt;=0,I$5-$A11&lt;=19),INDEX(HU_ord,I$5-$A11+1)*$B11,0)</f>
        <v>0.03544015039160881</v>
      </c>
      <c r="J11" s="14">
        <f>IF(AND(J$5-$A11&gt;=0,J$5-$A11&lt;=19),INDEX(HU_ord,J$5-$A11+1)*$B11,0)</f>
        <v>0.07088030078321762</v>
      </c>
      <c r="K11" s="14">
        <f>IF(AND(K$5-$A11&gt;=0,K$5-$A11&lt;=19),INDEX(HU_ord,K$5-$A11+1)*$B11,0)</f>
        <v>0.10632045117482644</v>
      </c>
      <c r="L11" s="14">
        <f>IF(AND(L$5-$A11&gt;=0,L$5-$A11&lt;=19),INDEX(HU_ord,L$5-$A11+1)*$B11,0)</f>
        <v>0.14176060156643525</v>
      </c>
      <c r="M11" s="14">
        <f>IF(AND(M$5-$A11&gt;=0,M$5-$A11&lt;=19),INDEX(HU_ord,M$5-$A11+1)*$B11,0)</f>
        <v>0.17720075195804408</v>
      </c>
      <c r="N11" s="14">
        <f>IF(AND(N$5-$A11&gt;=0,N$5-$A11&lt;=19),INDEX(HU_ord,N$5-$A11+1)*$B11,0)</f>
        <v>0.21264090234965288</v>
      </c>
      <c r="O11" s="14">
        <f>IF(AND(O$5-$A11&gt;=0,O$5-$A11&lt;=19),INDEX(HU_ord,O$5-$A11+1)*$B11,0)</f>
        <v>0.2419162491914648</v>
      </c>
      <c r="P11" s="14">
        <f>IF(AND(P$5-$A11&gt;=0,P$5-$A11&lt;=19),INDEX(HU_ord,P$5-$A11+1)*$B11,0)</f>
        <v>0.22069460225038168</v>
      </c>
      <c r="Q11" s="14">
        <f>IF(AND(Q$5-$A11&gt;=0,Q$5-$A11&lt;=19),INDEX(HU_ord,Q$5-$A11+1)*$B11,0)</f>
        <v>0.19947295530929854</v>
      </c>
      <c r="R11" s="14">
        <f>IF(AND(R$5-$A11&gt;=0,R$5-$A11&lt;=19),INDEX(HU_ord,R$5-$A11+1)*$B11,0)</f>
        <v>0.1782513083682154</v>
      </c>
      <c r="S11" s="14">
        <f>IF(AND(S$5-$A11&gt;=0,S$5-$A11&lt;=19),INDEX(HU_ord,S$5-$A11+1)*$B11,0)</f>
        <v>0.15702966142713226</v>
      </c>
      <c r="T11" s="14">
        <f>IF(AND(T$5-$A11&gt;=0,T$5-$A11&lt;=19),INDEX(HU_ord,T$5-$A11+1)*$B11,0)</f>
        <v>0.13580801448604915</v>
      </c>
      <c r="U11" s="14">
        <f>IF(AND(U$5-$A11&gt;=0,U$5-$A11&lt;=19),INDEX(HU_ord,U$5-$A11+1)*$B11,0)</f>
        <v>0.11458636754496604</v>
      </c>
      <c r="V11" s="14">
        <f>IF(AND(V$5-$A11&gt;=0,V$5-$A11&lt;=19),INDEX(HU_ord,V$5-$A11+1)*$B11,0)</f>
        <v>0.09336472060388293</v>
      </c>
      <c r="W11" s="14">
        <f>IF(AND(W$5-$A11&gt;=0,W$5-$A11&lt;=19),INDEX(HU_ord,W$5-$A11+1)*$B11,0)</f>
        <v>0.07214307366279979</v>
      </c>
      <c r="X11" s="14">
        <f>IF(AND(X$5-$A11&gt;=0,X$5-$A11&lt;=19),INDEX(HU_ord,X$5-$A11+1)*$B11,0)</f>
        <v>0.05092142672171665</v>
      </c>
      <c r="Y11" s="14">
        <f>IF(AND(Y$5-$A11&gt;=0,Y$5-$A11&lt;=19),INDEX(HU_ord,Y$5-$A11+1)*$B11,0)</f>
        <v>0.029699779780633526</v>
      </c>
      <c r="Z11" s="14">
        <f>IF(AND(Z$5-$A11&gt;=0,Z$5-$A11&lt;=19),INDEX(HU_ord,Z$5-$A11+1)*$B11,0)</f>
        <v>0.008478132839550404</v>
      </c>
      <c r="AA11" s="14">
        <f>IF(AND(AA$5-$A11&gt;=0,AA$5-$A11&lt;=19),INDEX(HU_ord,AA$5-$A11+1)*$B11,0)</f>
        <v>0.0</v>
      </c>
      <c r="AB11" s="14">
        <f>IF(AND(AB$5-$A11&gt;=0,AB$5-$A11&lt;=19),INDEX(HU_ord,AB$5-$A11+1)*$B11,0)</f>
        <v>0.0</v>
      </c>
      <c r="AC11" s="14">
        <f>IF(AND(AC$5-$A11&gt;=0,AC$5-$A11&lt;=19),INDEX(HU_ord,AC$5-$A11+1)*$B11,0)</f>
        <v>0.0</v>
      </c>
      <c r="AD11" s="14">
        <f>IF(AND(AD$5-$A11&gt;=0,AD$5-$A11&lt;=19),INDEX(HU_ord,AD$5-$A11+1)*$B11,0)</f>
        <v>0.0</v>
      </c>
      <c r="AE11" s="14">
        <f>IF(AND(AE$5-$A11&gt;=0,AE$5-$A11&lt;=19),INDEX(HU_ord,AE$5-$A11+1)*$B11,0)</f>
        <v>0.0</v>
      </c>
      <c r="AF11" s="14">
        <f>IF(AND(AF$5-$A11&gt;=0,AF$5-$A11&lt;=19),INDEX(HU_ord,AF$5-$A11+1)*$B11,0)</f>
        <v>0.0</v>
      </c>
      <c r="AG11" s="14">
        <f>IF(AND(AG$5-$A11&gt;=0,AG$5-$A11&lt;=19),INDEX(HU_ord,AG$5-$A11+1)*$B11,0)</f>
        <v>0.0</v>
      </c>
      <c r="AH11" s="14">
        <f>IF(AND(AH$5-$A11&gt;=0,AH$5-$A11&lt;=19),INDEX(HU_ord,AH$5-$A11+1)*$B11,0)</f>
        <v>0.0</v>
      </c>
      <c r="AI11" s="14">
        <f>IF(AND(AI$5-$A11&gt;=0,AI$5-$A11&lt;=19),INDEX(HU_ord,AI$5-$A11+1)*$B11,0)</f>
        <v>0.0</v>
      </c>
      <c r="AJ11" s="14">
        <f>IF(AND(AJ$5-$A11&gt;=0,AJ$5-$A11&lt;=19),INDEX(HU_ord,AJ$5-$A11+1)*$B11,0)</f>
        <v>0.0</v>
      </c>
      <c r="AK11" s="14">
        <f>IF(AND(AK$5-$A11&gt;=0,AK$5-$A11&lt;=19),INDEX(HU_ord,AK$5-$A11+1)*$B11,0)</f>
        <v>0.0</v>
      </c>
      <c r="AL11" s="14">
        <f>IF(AND(AL$5-$A11&gt;=0,AL$5-$A11&lt;=19),INDEX(HU_ord,AL$5-$A11+1)*$B11,0)</f>
        <v>0.0</v>
      </c>
      <c r="AM11" s="14">
        <f>IF(AND(AM$5-$A11&gt;=0,AM$5-$A11&lt;=19),INDEX(HU_ord,AM$5-$A11+1)*$B11,0)</f>
        <v>0.0</v>
      </c>
      <c r="AN11" s="14">
        <f>IF(AND(AN$5-$A11&gt;=0,AN$5-$A11&lt;=19),INDEX(HU_ord,AN$5-$A11+1)*$B11,0)</f>
        <v>0.0</v>
      </c>
      <c r="AO11" s="14">
        <f>IF(AND(AO$5-$A11&gt;=0,AO$5-$A11&lt;=19),INDEX(HU_ord,AO$5-$A11+1)*$B11,0)</f>
        <v>0.0</v>
      </c>
      <c r="AP11" s="14">
        <f>IF(AND(AP$5-$A11&gt;=0,AP$5-$A11&lt;=19),INDEX(HU_ord,AP$5-$A11+1)*$B11,0)</f>
        <v>0.0</v>
      </c>
      <c r="AQ11" s="14">
        <f>IF(AND(AQ$5-$A11&gt;=0,AQ$5-$A11&lt;=19),INDEX(HU_ord,AQ$5-$A11+1)*$B11,0)</f>
        <v>0.0</v>
      </c>
      <c r="AR11" s="14">
        <f>IF(AND(AR$5-$A11&gt;=0,AR$5-$A11&lt;=19),INDEX(HU_ord,AR$5-$A11+1)*$B11,0)</f>
        <v>0.0</v>
      </c>
      <c r="AS11" s="14">
        <f>IF(AND(AS$5-$A11&gt;=0,AS$5-$A11&lt;=19),INDEX(HU_ord,AS$5-$A11+1)*$B11,0)</f>
        <v>0.0</v>
      </c>
      <c r="AT11" s="14">
        <f>IF(AND(AT$5-$A11&gt;=0,AT$5-$A11&lt;=19),INDEX(HU_ord,AT$5-$A11+1)*$B11,0)</f>
        <v>0.0</v>
      </c>
      <c r="AU11" s="14">
        <f>IF(AND(AU$5-$A11&gt;=0,AU$5-$A11&lt;=19),INDEX(HU_ord,AU$5-$A11+1)*$B11,0)</f>
        <v>0.0</v>
      </c>
      <c r="AV11" s="14">
        <f>IF(AND(AV$5-$A11&gt;=0,AV$5-$A11&lt;=19),INDEX(HU_ord,AV$5-$A11+1)*$B11,0)</f>
        <v>0.0</v>
      </c>
      <c r="AW11" s="14">
        <f>IF(AND(AW$5-$A11&gt;=0,AW$5-$A11&lt;=19),INDEX(HU_ord,AW$5-$A11+1)*$B11,0)</f>
        <v>0.0</v>
      </c>
      <c r="AX11" s="14">
        <f>IF(AND(AX$5-$A11&gt;=0,AX$5-$A11&lt;=19),INDEX(HU_ord,AX$5-$A11+1)*$B11,0)</f>
        <v>0.0</v>
      </c>
      <c r="AY11" s="14">
        <f>IF(AND(AY$5-$A11&gt;=0,AY$5-$A11&lt;=19),INDEX(HU_ord,AY$5-$A11+1)*$B11,0)</f>
        <v>0.0</v>
      </c>
      <c r="AZ11" s="14">
        <f>IF(AND(AZ$5-$A11&gt;=0,AZ$5-$A11&lt;=19),INDEX(HU_ord,AZ$5-$A11+1)*$B11,0)</f>
        <v>0.0</v>
      </c>
      <c r="BA11" s="14">
        <f>IF(AND(BA$5-$A11&gt;=0,BA$5-$A11&lt;=19),INDEX(HU_ord,BA$5-$A11+1)*$B11,0)</f>
        <v>0.0</v>
      </c>
      <c r="BB11" s="14">
        <f>IF(AND(BB$5-$A11&gt;=0,BB$5-$A11&lt;=19),INDEX(HU_ord,BB$5-$A11+1)*$B11,0)</f>
        <v>0.0</v>
      </c>
      <c r="BC11" s="14">
        <f>IF(AND(BC$5-$A11&gt;=0,BC$5-$A11&lt;=19),INDEX(HU_ord,BC$5-$A11+1)*$B11,0)</f>
        <v>0.0</v>
      </c>
      <c r="BD11" s="14">
        <f>IF(AND(BD$5-$A11&gt;=0,BD$5-$A11&lt;=19),INDEX(HU_ord,BD$5-$A11+1)*$B11,0)</f>
        <v>0.0</v>
      </c>
      <c r="BE11" s="14">
        <f>IF(AND(BE$5-$A11&gt;=0,BE$5-$A11&lt;=19),INDEX(HU_ord,BE$5-$A11+1)*$B11,0)</f>
        <v>0.0</v>
      </c>
      <c r="BF11" s="14">
        <f>IF(AND(BF$5-$A11&gt;=0,BF$5-$A11&lt;=19),INDEX(HU_ord,BF$5-$A11+1)*$B11,0)</f>
        <v>0.0</v>
      </c>
      <c r="BG11" s="14">
        <f>IF(AND(BG$5-$A11&gt;=0,BG$5-$A11&lt;=19),INDEX(HU_ord,BG$5-$A11+1)*$B11,0)</f>
        <v>0.0</v>
      </c>
      <c r="BH11" s="14">
        <f>IF(AND(BH$5-$A11&gt;=0,BH$5-$A11&lt;=19),INDEX(HU_ord,BH$5-$A11+1)*$B11,0)</f>
        <v>0.0</v>
      </c>
      <c r="BI11" s="14">
        <f>IF(AND(BI$5-$A11&gt;=0,BI$5-$A11&lt;=19),INDEX(HU_ord,BI$5-$A11+1)*$B11,0)</f>
        <v>0.0</v>
      </c>
      <c r="BJ11" s="14">
        <f>IF(AND(BJ$5-$A11&gt;=0,BJ$5-$A11&lt;=19),INDEX(HU_ord,BJ$5-$A11+1)*$B11,0)</f>
        <v>0.0</v>
      </c>
      <c r="BK11" s="14">
        <f>IF(AND(BK$5-$A11&gt;=0,BK$5-$A11&lt;=19),INDEX(HU_ord,BK$5-$A11+1)*$B11,0)</f>
        <v>0.0</v>
      </c>
      <c r="BL11" s="14">
        <f>IF(AND(BL$5-$A11&gt;=0,BL$5-$A11&lt;=19),INDEX(HU_ord,BL$5-$A11+1)*$B11,0)</f>
        <v>0.0</v>
      </c>
      <c r="BM11" s="14">
        <f>IF(AND(BM$5-$A11&gt;=0,BM$5-$A11&lt;=19),INDEX(HU_ord,BM$5-$A11+1)*$B11,0)</f>
        <v>0.0</v>
      </c>
      <c r="BN11" s="14">
        <f>IF(AND(BN$5-$A11&gt;=0,BN$5-$A11&lt;=19),INDEX(HU_ord,BN$5-$A11+1)*$B11,0)</f>
        <v>0.0</v>
      </c>
      <c r="BO11" s="14">
        <f>IF(AND(BO$5-$A11&gt;=0,BO$5-$A11&lt;=19),INDEX(HU_ord,BO$5-$A11+1)*$B11,0)</f>
        <v>0.0</v>
      </c>
      <c r="BP11" s="14">
        <f>IF(AND(BP$5-$A11&gt;=0,BP$5-$A11&lt;=19),INDEX(HU_ord,BP$5-$A11+1)*$B11,0)</f>
        <v>0.0</v>
      </c>
      <c r="BQ11" s="14">
        <f>IF(AND(BQ$5-$A11&gt;=0,BQ$5-$A11&lt;=19),INDEX(HU_ord,BQ$5-$A11+1)*$B11,0)</f>
        <v>0.0</v>
      </c>
      <c r="BR11" s="14">
        <f>IF(AND(BR$5-$A11&gt;=0,BR$5-$A11&lt;=19),INDEX(HU_ord,BR$5-$A11+1)*$B11,0)</f>
        <v>0.0</v>
      </c>
      <c r="BS11" s="14">
        <f>IF(AND(BS$5-$A11&gt;=0,BS$5-$A11&lt;=19),INDEX(HU_ord,BS$5-$A11+1)*$B11,0)</f>
        <v>0.0</v>
      </c>
      <c r="BT11" s="14">
        <f>IF(AND(BT$5-$A11&gt;=0,BT$5-$A11&lt;=19),INDEX(HU_ord,BT$5-$A11+1)*$B11,0)</f>
        <v>0.0</v>
      </c>
      <c r="BU11" s="14">
        <f>IF(AND(BU$5-$A11&gt;=0,BU$5-$A11&lt;=19),INDEX(HU_ord,BU$5-$A11+1)*$B11,0)</f>
        <v>0.0</v>
      </c>
      <c r="BV11" s="14">
        <f>IF(AND(BV$5-$A11&gt;=0,BV$5-$A11&lt;=19),INDEX(HU_ord,BV$5-$A11+1)*$B11,0)</f>
        <v>0.0</v>
      </c>
      <c r="BW11" s="14">
        <f>IF(AND(BW$5-$A11&gt;=0,BW$5-$A11&lt;=19),INDEX(HU_ord,BW$5-$A11+1)*$B11,0)</f>
        <v>0.0</v>
      </c>
      <c r="BX11" s="14">
        <f>IF(AND(BX$5-$A11&gt;=0,BX$5-$A11&lt;=19),INDEX(HU_ord,BX$5-$A11+1)*$B11,0)</f>
        <v>0.0</v>
      </c>
      <c r="BY11" s="14">
        <f>IF(AND(BY$5-$A11&gt;=0,BY$5-$A11&lt;=19),INDEX(HU_ord,BY$5-$A11+1)*$B11,0)</f>
        <v>0.0</v>
      </c>
      <c r="BZ11" s="14">
        <f>IF(AND(BZ$5-$A11&gt;=0,BZ$5-$A11&lt;=19),INDEX(HU_ord,BZ$5-$A11+1)*$B11,0)</f>
        <v>0.0</v>
      </c>
      <c r="CA11" s="14">
        <f>IF(AND(CA$5-$A11&gt;=0,CA$5-$A11&lt;=19),INDEX(HU_ord,CA$5-$A11+1)*$B11,0)</f>
        <v>0.0</v>
      </c>
      <c r="CB11" s="14">
        <f>IF(AND(CB$5-$A11&gt;=0,CB$5-$A11&lt;=19),INDEX(HU_ord,CB$5-$A11+1)*$B11,0)</f>
        <v>0.0</v>
      </c>
      <c r="CC11" s="14">
        <f>IF(AND(CC$5-$A11&gt;=0,CC$5-$A11&lt;=19),INDEX(HU_ord,CC$5-$A11+1)*$B11,0)</f>
        <v>0.0</v>
      </c>
      <c r="CD11" s="14">
        <f>IF(AND(CD$5-$A11&gt;=0,CD$5-$A11&lt;=19),INDEX(HU_ord,CD$5-$A11+1)*$B11,0)</f>
        <v>0.0</v>
      </c>
      <c r="CE11" s="14">
        <f>IF(AND(CE$5-$A11&gt;=0,CE$5-$A11&lt;=19),INDEX(HU_ord,CE$5-$A11+1)*$B11,0)</f>
        <v>0.0</v>
      </c>
      <c r="CF11" s="14">
        <f>IF(AND(CF$5-$A11&gt;=0,CF$5-$A11&lt;=19),INDEX(HU_ord,CF$5-$A11+1)*$B11,0)</f>
        <v>0.0</v>
      </c>
      <c r="CG11" s="14">
        <f>IF(AND(CG$5-$A11&gt;=0,CG$5-$A11&lt;=19),INDEX(HU_ord,CG$5-$A11+1)*$B11,0)</f>
        <v>0.0</v>
      </c>
      <c r="CH11" s="14">
        <f>IF(AND(CH$5-$A11&gt;=0,CH$5-$A11&lt;=19),INDEX(HU_ord,CH$5-$A11+1)*$B11,0)</f>
        <v>0.0</v>
      </c>
      <c r="CI11" s="14">
        <f>IF(AND(CI$5-$A11&gt;=0,CI$5-$A11&lt;=19),INDEX(HU_ord,CI$5-$A11+1)*$B11,0)</f>
        <v>0.0</v>
      </c>
      <c r="CJ11" s="14">
        <f>IF(AND(CJ$5-$A11&gt;=0,CJ$5-$A11&lt;=19),INDEX(HU_ord,CJ$5-$A11+1)*$B11,0)</f>
        <v>0.0</v>
      </c>
      <c r="CK11" s="14">
        <f>IF(AND(CK$5-$A11&gt;=0,CK$5-$A11&lt;=19),INDEX(HU_ord,CK$5-$A11+1)*$B11,0)</f>
        <v>0.0</v>
      </c>
      <c r="CL11" s="14">
        <f>IF(AND(CL$5-$A11&gt;=0,CL$5-$A11&lt;=19),INDEX(HU_ord,CL$5-$A11+1)*$B11,0)</f>
        <v>0.0</v>
      </c>
      <c r="CM11" s="14">
        <f>IF(AND(CM$5-$A11&gt;=0,CM$5-$A11&lt;=19),INDEX(HU_ord,CM$5-$A11+1)*$B11,0)</f>
        <v>0.0</v>
      </c>
      <c r="CN11" s="14">
        <f>IF(AND(CN$5-$A11&gt;=0,CN$5-$A11&lt;=19),INDEX(HU_ord,CN$5-$A11+1)*$B11,0)</f>
        <v>0.0</v>
      </c>
      <c r="CO11" s="14">
        <f>IF(AND(CO$5-$A11&gt;=0,CO$5-$A11&lt;=19),INDEX(HU_ord,CO$5-$A11+1)*$B11,0)</f>
        <v>0.0</v>
      </c>
      <c r="CP11" s="14">
        <f>IF(AND(CP$5-$A11&gt;=0,CP$5-$A11&lt;=19),INDEX(HU_ord,CP$5-$A11+1)*$B11,0)</f>
        <v>0.0</v>
      </c>
      <c r="CQ11" s="14">
        <f>IF(AND(CQ$5-$A11&gt;=0,CQ$5-$A11&lt;=19),INDEX(HU_ord,CQ$5-$A11+1)*$B11,0)</f>
        <v>0.0</v>
      </c>
      <c r="CR11" s="14">
        <f>IF(AND(CR$5-$A11&gt;=0,CR$5-$A11&lt;=19),INDEX(HU_ord,CR$5-$A11+1)*$B11,0)</f>
        <v>0.0</v>
      </c>
      <c r="CS11" s="14">
        <f>IF(AND(CS$5-$A11&gt;=0,CS$5-$A11&lt;=19),INDEX(HU_ord,CS$5-$A11+1)*$B11,0)</f>
        <v>0.0</v>
      </c>
      <c r="CT11" s="14">
        <f>IF(AND(CT$5-$A11&gt;=0,CT$5-$A11&lt;=19),INDEX(HU_ord,CT$5-$A11+1)*$B11,0)</f>
        <v>0.0</v>
      </c>
      <c r="CU11" s="14">
        <f>IF(AND(CU$5-$A11&gt;=0,CU$5-$A11&lt;=19),INDEX(HU_ord,CU$5-$A11+1)*$B11,0)</f>
        <v>0.0</v>
      </c>
      <c r="CV11" s="14">
        <f>IF(AND(CV$5-$A11&gt;=0,CV$5-$A11&lt;=19),INDEX(HU_ord,CV$5-$A11+1)*$B11,0)</f>
        <v>0.0</v>
      </c>
      <c r="CW11" s="14">
        <f>IF(AND(CW$5-$A11&gt;=0,CW$5-$A11&lt;=19),INDEX(HU_ord,CW$5-$A11+1)*$B11,0)</f>
        <v>0.0</v>
      </c>
      <c r="CX11" s="14">
        <f>IF(AND(CX$5-$A11&gt;=0,CX$5-$A11&lt;=19),INDEX(HU_ord,CX$5-$A11+1)*$B11,0)</f>
        <v>0.0</v>
      </c>
      <c r="CY11" s="14">
        <f>IF(AND(CY$5-$A11&gt;=0,CY$5-$A11&lt;=19),INDEX(HU_ord,CY$5-$A11+1)*$B11,0)</f>
        <v>0.0</v>
      </c>
      <c r="CZ11" s="14">
        <f>IF(AND(CZ$5-$A11&gt;=0,CZ$5-$A11&lt;=19),INDEX(HU_ord,CZ$5-$A11+1)*$B11,0)</f>
        <v>0.0</v>
      </c>
      <c r="DA11" s="14">
        <f>IF(AND(DA$5-$A11&gt;=0,DA$5-$A11&lt;=19),INDEX(HU_ord,DA$5-$A11+1)*$B11,0)</f>
        <v>0.0</v>
      </c>
      <c r="DB11" s="14">
        <f>IF(AND(DB$5-$A11&gt;=0,DB$5-$A11&lt;=19),INDEX(HU_ord,DB$5-$A11+1)*$B11,0)</f>
        <v>0.0</v>
      </c>
      <c r="DC11" s="14">
        <f>IF(AND(DC$5-$A11&gt;=0,DC$5-$A11&lt;=19),INDEX(HU_ord,DC$5-$A11+1)*$B11,0)</f>
        <v>0.0</v>
      </c>
      <c r="DD11" s="14">
        <f>IF(AND(DD$5-$A11&gt;=0,DD$5-$A11&lt;=19),INDEX(HU_ord,DD$5-$A11+1)*$B11,0)</f>
        <v>0.0</v>
      </c>
      <c r="DE11" s="14">
        <f>IF(AND(DE$5-$A11&gt;=0,DE$5-$A11&lt;=19),INDEX(HU_ord,DE$5-$A11+1)*$B11,0)</f>
        <v>0.0</v>
      </c>
      <c r="DF11" s="14">
        <f>IF(AND(DF$5-$A11&gt;=0,DF$5-$A11&lt;=19),INDEX(HU_ord,DF$5-$A11+1)*$B11,0)</f>
        <v>0.0</v>
      </c>
      <c r="DG11" s="14">
        <f>IF(AND(DG$5-$A11&gt;=0,DG$5-$A11&lt;=19),INDEX(HU_ord,DG$5-$A11+1)*$B11,0)</f>
        <v>0.0</v>
      </c>
      <c r="DH11" s="14">
        <f>IF(AND(DH$5-$A11&gt;=0,DH$5-$A11&lt;=19),INDEX(HU_ord,DH$5-$A11+1)*$B11,0)</f>
        <v>0.0</v>
      </c>
      <c r="DI11" s="14">
        <f>IF(AND(DI$5-$A11&gt;=0,DI$5-$A11&lt;=19),INDEX(HU_ord,DI$5-$A11+1)*$B11,0)</f>
        <v>0.0</v>
      </c>
    </row>
    <row r="12" spans="1:113">
      <c r="A12">
        <v>6</v>
      </c>
      <c r="B12" s="10">
        <f>Serie_horaria!N8</f>
        <v>0.061803091085687586</v>
      </c>
      <c r="C12" s="14">
        <f>IF(AND(C$5-$A12&gt;=0,C$5-$A12&lt;=19),INDEX(HU_ord,C$5-$A12+1)*$B12,0)</f>
        <v>0.0</v>
      </c>
      <c r="D12" s="14">
        <f>IF(AND(D$5-$A12&gt;=0,D$5-$A12&lt;=19),INDEX(HU_ord,D$5-$A12+1)*$B12,0)</f>
        <v>0.0</v>
      </c>
      <c r="E12" s="14">
        <f>IF(AND(E$5-$A12&gt;=0,E$5-$A12&lt;=19),INDEX(HU_ord,E$5-$A12+1)*$B12,0)</f>
        <v>0.0</v>
      </c>
      <c r="F12" s="14">
        <f>IF(AND(F$5-$A12&gt;=0,F$5-$A12&lt;=19),INDEX(HU_ord,F$5-$A12+1)*$B12,0)</f>
        <v>0.0</v>
      </c>
      <c r="G12" s="14">
        <f>IF(AND(G$5-$A12&gt;=0,G$5-$A12&lt;=19),INDEX(HU_ord,G$5-$A12+1)*$B12,0)</f>
        <v>0.0</v>
      </c>
      <c r="H12" s="14">
        <f>IF(AND(H$5-$A12&gt;=0,H$5-$A12&lt;=19),INDEX(HU_ord,H$5-$A12+1)*$B12,0)</f>
        <v>0.0</v>
      </c>
      <c r="I12" s="14">
        <f>IF(AND(I$5-$A12&gt;=0,I$5-$A12&lt;=19),INDEX(HU_ord,I$5-$A12+1)*$B12,0)</f>
        <v>0.0</v>
      </c>
      <c r="J12" s="14">
        <f>IF(AND(J$5-$A12&gt;=0,J$5-$A12&lt;=19),INDEX(HU_ord,J$5-$A12+1)*$B12,0)</f>
        <v>0.20086438801216677</v>
      </c>
      <c r="K12" s="14">
        <f>IF(AND(K$5-$A12&gt;=0,K$5-$A12&lt;=19),INDEX(HU_ord,K$5-$A12+1)*$B12,0)</f>
        <v>0.40172877602433354</v>
      </c>
      <c r="L12" s="14">
        <f>IF(AND(L$5-$A12&gt;=0,L$5-$A12&lt;=19),INDEX(HU_ord,L$5-$A12+1)*$B12,0)</f>
        <v>0.6025931640365003</v>
      </c>
      <c r="M12" s="14">
        <f>IF(AND(M$5-$A12&gt;=0,M$5-$A12&lt;=19),INDEX(HU_ord,M$5-$A12+1)*$B12,0)</f>
        <v>0.8034575520486671</v>
      </c>
      <c r="N12" s="14">
        <f>IF(AND(N$5-$A12&gt;=0,N$5-$A12&lt;=19),INDEX(HU_ord,N$5-$A12+1)*$B12,0)</f>
        <v>1.0043219400608339</v>
      </c>
      <c r="O12" s="14">
        <f>IF(AND(O$5-$A12&gt;=0,O$5-$A12&lt;=19),INDEX(HU_ord,O$5-$A12+1)*$B12,0)</f>
        <v>1.2051863280730006</v>
      </c>
      <c r="P12" s="14">
        <f>IF(AND(P$5-$A12&gt;=0,P$5-$A12&lt;=19),INDEX(HU_ord,P$5-$A12+1)*$B12,0)</f>
        <v>1.3711104159294891</v>
      </c>
      <c r="Q12" s="14">
        <f>IF(AND(Q$5-$A12&gt;=0,Q$5-$A12&lt;=19),INDEX(HU_ord,Q$5-$A12+1)*$B12,0)</f>
        <v>1.2508323392754972</v>
      </c>
      <c r="R12" s="14">
        <f>IF(AND(R$5-$A12&gt;=0,R$5-$A12&lt;=19),INDEX(HU_ord,R$5-$A12+1)*$B12,0)</f>
        <v>1.130554262621505</v>
      </c>
      <c r="S12" s="14">
        <f>IF(AND(S$5-$A12&gt;=0,S$5-$A12&lt;=19),INDEX(HU_ord,S$5-$A12+1)*$B12,0)</f>
        <v>1.010276185967513</v>
      </c>
      <c r="T12" s="14">
        <f>IF(AND(T$5-$A12&gt;=0,T$5-$A12&lt;=19),INDEX(HU_ord,T$5-$A12+1)*$B12,0)</f>
        <v>0.8899981093135206</v>
      </c>
      <c r="U12" s="14">
        <f>IF(AND(U$5-$A12&gt;=0,U$5-$A12&lt;=19),INDEX(HU_ord,U$5-$A12+1)*$B12,0)</f>
        <v>0.7697200326595286</v>
      </c>
      <c r="V12" s="14">
        <f>IF(AND(V$5-$A12&gt;=0,V$5-$A12&lt;=19),INDEX(HU_ord,V$5-$A12+1)*$B12,0)</f>
        <v>0.6494419560055366</v>
      </c>
      <c r="W12" s="14">
        <f>IF(AND(W$5-$A12&gt;=0,W$5-$A12&lt;=19),INDEX(HU_ord,W$5-$A12+1)*$B12,0)</f>
        <v>0.5291638793515445</v>
      </c>
      <c r="X12" s="14">
        <f>IF(AND(X$5-$A12&gt;=0,X$5-$A12&lt;=19),INDEX(HU_ord,X$5-$A12+1)*$B12,0)</f>
        <v>0.40888580269755237</v>
      </c>
      <c r="Y12" s="14">
        <f>IF(AND(Y$5-$A12&gt;=0,Y$5-$A12&lt;=19),INDEX(HU_ord,Y$5-$A12+1)*$B12,0)</f>
        <v>0.2886077260435602</v>
      </c>
      <c r="Z12" s="14">
        <f>IF(AND(Z$5-$A12&gt;=0,Z$5-$A12&lt;=19),INDEX(HU_ord,Z$5-$A12+1)*$B12,0)</f>
        <v>0.16832964938956815</v>
      </c>
      <c r="AA12" s="14">
        <f>IF(AND(AA$5-$A12&gt;=0,AA$5-$A12&lt;=19),INDEX(HU_ord,AA$5-$A12+1)*$B12,0)</f>
        <v>0.048051572735576066</v>
      </c>
      <c r="AB12" s="14">
        <f>IF(AND(AB$5-$A12&gt;=0,AB$5-$A12&lt;=19),INDEX(HU_ord,AB$5-$A12+1)*$B12,0)</f>
        <v>0.0</v>
      </c>
      <c r="AC12" s="14">
        <f>IF(AND(AC$5-$A12&gt;=0,AC$5-$A12&lt;=19),INDEX(HU_ord,AC$5-$A12+1)*$B12,0)</f>
        <v>0.0</v>
      </c>
      <c r="AD12" s="14">
        <f>IF(AND(AD$5-$A12&gt;=0,AD$5-$A12&lt;=19),INDEX(HU_ord,AD$5-$A12+1)*$B12,0)</f>
        <v>0.0</v>
      </c>
      <c r="AE12" s="14">
        <f>IF(AND(AE$5-$A12&gt;=0,AE$5-$A12&lt;=19),INDEX(HU_ord,AE$5-$A12+1)*$B12,0)</f>
        <v>0.0</v>
      </c>
      <c r="AF12" s="14">
        <f>IF(AND(AF$5-$A12&gt;=0,AF$5-$A12&lt;=19),INDEX(HU_ord,AF$5-$A12+1)*$B12,0)</f>
        <v>0.0</v>
      </c>
      <c r="AG12" s="14">
        <f>IF(AND(AG$5-$A12&gt;=0,AG$5-$A12&lt;=19),INDEX(HU_ord,AG$5-$A12+1)*$B12,0)</f>
        <v>0.0</v>
      </c>
      <c r="AH12" s="14">
        <f>IF(AND(AH$5-$A12&gt;=0,AH$5-$A12&lt;=19),INDEX(HU_ord,AH$5-$A12+1)*$B12,0)</f>
        <v>0.0</v>
      </c>
      <c r="AI12" s="14">
        <f>IF(AND(AI$5-$A12&gt;=0,AI$5-$A12&lt;=19),INDEX(HU_ord,AI$5-$A12+1)*$B12,0)</f>
        <v>0.0</v>
      </c>
      <c r="AJ12" s="14">
        <f>IF(AND(AJ$5-$A12&gt;=0,AJ$5-$A12&lt;=19),INDEX(HU_ord,AJ$5-$A12+1)*$B12,0)</f>
        <v>0.0</v>
      </c>
      <c r="AK12" s="14">
        <f>IF(AND(AK$5-$A12&gt;=0,AK$5-$A12&lt;=19),INDEX(HU_ord,AK$5-$A12+1)*$B12,0)</f>
        <v>0.0</v>
      </c>
      <c r="AL12" s="14">
        <f>IF(AND(AL$5-$A12&gt;=0,AL$5-$A12&lt;=19),INDEX(HU_ord,AL$5-$A12+1)*$B12,0)</f>
        <v>0.0</v>
      </c>
      <c r="AM12" s="14">
        <f>IF(AND(AM$5-$A12&gt;=0,AM$5-$A12&lt;=19),INDEX(HU_ord,AM$5-$A12+1)*$B12,0)</f>
        <v>0.0</v>
      </c>
      <c r="AN12" s="14">
        <f>IF(AND(AN$5-$A12&gt;=0,AN$5-$A12&lt;=19),INDEX(HU_ord,AN$5-$A12+1)*$B12,0)</f>
        <v>0.0</v>
      </c>
      <c r="AO12" s="14">
        <f>IF(AND(AO$5-$A12&gt;=0,AO$5-$A12&lt;=19),INDEX(HU_ord,AO$5-$A12+1)*$B12,0)</f>
        <v>0.0</v>
      </c>
      <c r="AP12" s="14">
        <f>IF(AND(AP$5-$A12&gt;=0,AP$5-$A12&lt;=19),INDEX(HU_ord,AP$5-$A12+1)*$B12,0)</f>
        <v>0.0</v>
      </c>
      <c r="AQ12" s="14">
        <f>IF(AND(AQ$5-$A12&gt;=0,AQ$5-$A12&lt;=19),INDEX(HU_ord,AQ$5-$A12+1)*$B12,0)</f>
        <v>0.0</v>
      </c>
      <c r="AR12" s="14">
        <f>IF(AND(AR$5-$A12&gt;=0,AR$5-$A12&lt;=19),INDEX(HU_ord,AR$5-$A12+1)*$B12,0)</f>
        <v>0.0</v>
      </c>
      <c r="AS12" s="14">
        <f>IF(AND(AS$5-$A12&gt;=0,AS$5-$A12&lt;=19),INDEX(HU_ord,AS$5-$A12+1)*$B12,0)</f>
        <v>0.0</v>
      </c>
      <c r="AT12" s="14">
        <f>IF(AND(AT$5-$A12&gt;=0,AT$5-$A12&lt;=19),INDEX(HU_ord,AT$5-$A12+1)*$B12,0)</f>
        <v>0.0</v>
      </c>
      <c r="AU12" s="14">
        <f>IF(AND(AU$5-$A12&gt;=0,AU$5-$A12&lt;=19),INDEX(HU_ord,AU$5-$A12+1)*$B12,0)</f>
        <v>0.0</v>
      </c>
      <c r="AV12" s="14">
        <f>IF(AND(AV$5-$A12&gt;=0,AV$5-$A12&lt;=19),INDEX(HU_ord,AV$5-$A12+1)*$B12,0)</f>
        <v>0.0</v>
      </c>
      <c r="AW12" s="14">
        <f>IF(AND(AW$5-$A12&gt;=0,AW$5-$A12&lt;=19),INDEX(HU_ord,AW$5-$A12+1)*$B12,0)</f>
        <v>0.0</v>
      </c>
      <c r="AX12" s="14">
        <f>IF(AND(AX$5-$A12&gt;=0,AX$5-$A12&lt;=19),INDEX(HU_ord,AX$5-$A12+1)*$B12,0)</f>
        <v>0.0</v>
      </c>
      <c r="AY12" s="14">
        <f>IF(AND(AY$5-$A12&gt;=0,AY$5-$A12&lt;=19),INDEX(HU_ord,AY$5-$A12+1)*$B12,0)</f>
        <v>0.0</v>
      </c>
      <c r="AZ12" s="14">
        <f>IF(AND(AZ$5-$A12&gt;=0,AZ$5-$A12&lt;=19),INDEX(HU_ord,AZ$5-$A12+1)*$B12,0)</f>
        <v>0.0</v>
      </c>
      <c r="BA12" s="14">
        <f>IF(AND(BA$5-$A12&gt;=0,BA$5-$A12&lt;=19),INDEX(HU_ord,BA$5-$A12+1)*$B12,0)</f>
        <v>0.0</v>
      </c>
      <c r="BB12" s="14">
        <f>IF(AND(BB$5-$A12&gt;=0,BB$5-$A12&lt;=19),INDEX(HU_ord,BB$5-$A12+1)*$B12,0)</f>
        <v>0.0</v>
      </c>
      <c r="BC12" s="14">
        <f>IF(AND(BC$5-$A12&gt;=0,BC$5-$A12&lt;=19),INDEX(HU_ord,BC$5-$A12+1)*$B12,0)</f>
        <v>0.0</v>
      </c>
      <c r="BD12" s="14">
        <f>IF(AND(BD$5-$A12&gt;=0,BD$5-$A12&lt;=19),INDEX(HU_ord,BD$5-$A12+1)*$B12,0)</f>
        <v>0.0</v>
      </c>
      <c r="BE12" s="14">
        <f>IF(AND(BE$5-$A12&gt;=0,BE$5-$A12&lt;=19),INDEX(HU_ord,BE$5-$A12+1)*$B12,0)</f>
        <v>0.0</v>
      </c>
      <c r="BF12" s="14">
        <f>IF(AND(BF$5-$A12&gt;=0,BF$5-$A12&lt;=19),INDEX(HU_ord,BF$5-$A12+1)*$B12,0)</f>
        <v>0.0</v>
      </c>
      <c r="BG12" s="14">
        <f>IF(AND(BG$5-$A12&gt;=0,BG$5-$A12&lt;=19),INDEX(HU_ord,BG$5-$A12+1)*$B12,0)</f>
        <v>0.0</v>
      </c>
      <c r="BH12" s="14">
        <f>IF(AND(BH$5-$A12&gt;=0,BH$5-$A12&lt;=19),INDEX(HU_ord,BH$5-$A12+1)*$B12,0)</f>
        <v>0.0</v>
      </c>
      <c r="BI12" s="14">
        <f>IF(AND(BI$5-$A12&gt;=0,BI$5-$A12&lt;=19),INDEX(HU_ord,BI$5-$A12+1)*$B12,0)</f>
        <v>0.0</v>
      </c>
      <c r="BJ12" s="14">
        <f>IF(AND(BJ$5-$A12&gt;=0,BJ$5-$A12&lt;=19),INDEX(HU_ord,BJ$5-$A12+1)*$B12,0)</f>
        <v>0.0</v>
      </c>
      <c r="BK12" s="14">
        <f>IF(AND(BK$5-$A12&gt;=0,BK$5-$A12&lt;=19),INDEX(HU_ord,BK$5-$A12+1)*$B12,0)</f>
        <v>0.0</v>
      </c>
      <c r="BL12" s="14">
        <f>IF(AND(BL$5-$A12&gt;=0,BL$5-$A12&lt;=19),INDEX(HU_ord,BL$5-$A12+1)*$B12,0)</f>
        <v>0.0</v>
      </c>
      <c r="BM12" s="14">
        <f>IF(AND(BM$5-$A12&gt;=0,BM$5-$A12&lt;=19),INDEX(HU_ord,BM$5-$A12+1)*$B12,0)</f>
        <v>0.0</v>
      </c>
      <c r="BN12" s="14">
        <f>IF(AND(BN$5-$A12&gt;=0,BN$5-$A12&lt;=19),INDEX(HU_ord,BN$5-$A12+1)*$B12,0)</f>
        <v>0.0</v>
      </c>
      <c r="BO12" s="14">
        <f>IF(AND(BO$5-$A12&gt;=0,BO$5-$A12&lt;=19),INDEX(HU_ord,BO$5-$A12+1)*$B12,0)</f>
        <v>0.0</v>
      </c>
      <c r="BP12" s="14">
        <f>IF(AND(BP$5-$A12&gt;=0,BP$5-$A12&lt;=19),INDEX(HU_ord,BP$5-$A12+1)*$B12,0)</f>
        <v>0.0</v>
      </c>
      <c r="BQ12" s="14">
        <f>IF(AND(BQ$5-$A12&gt;=0,BQ$5-$A12&lt;=19),INDEX(HU_ord,BQ$5-$A12+1)*$B12,0)</f>
        <v>0.0</v>
      </c>
      <c r="BR12" s="14">
        <f>IF(AND(BR$5-$A12&gt;=0,BR$5-$A12&lt;=19),INDEX(HU_ord,BR$5-$A12+1)*$B12,0)</f>
        <v>0.0</v>
      </c>
      <c r="BS12" s="14">
        <f>IF(AND(BS$5-$A12&gt;=0,BS$5-$A12&lt;=19),INDEX(HU_ord,BS$5-$A12+1)*$B12,0)</f>
        <v>0.0</v>
      </c>
      <c r="BT12" s="14">
        <f>IF(AND(BT$5-$A12&gt;=0,BT$5-$A12&lt;=19),INDEX(HU_ord,BT$5-$A12+1)*$B12,0)</f>
        <v>0.0</v>
      </c>
      <c r="BU12" s="14">
        <f>IF(AND(BU$5-$A12&gt;=0,BU$5-$A12&lt;=19),INDEX(HU_ord,BU$5-$A12+1)*$B12,0)</f>
        <v>0.0</v>
      </c>
      <c r="BV12" s="14">
        <f>IF(AND(BV$5-$A12&gt;=0,BV$5-$A12&lt;=19),INDEX(HU_ord,BV$5-$A12+1)*$B12,0)</f>
        <v>0.0</v>
      </c>
      <c r="BW12" s="14">
        <f>IF(AND(BW$5-$A12&gt;=0,BW$5-$A12&lt;=19),INDEX(HU_ord,BW$5-$A12+1)*$B12,0)</f>
        <v>0.0</v>
      </c>
      <c r="BX12" s="14">
        <f>IF(AND(BX$5-$A12&gt;=0,BX$5-$A12&lt;=19),INDEX(HU_ord,BX$5-$A12+1)*$B12,0)</f>
        <v>0.0</v>
      </c>
      <c r="BY12" s="14">
        <f>IF(AND(BY$5-$A12&gt;=0,BY$5-$A12&lt;=19),INDEX(HU_ord,BY$5-$A12+1)*$B12,0)</f>
        <v>0.0</v>
      </c>
      <c r="BZ12" s="14">
        <f>IF(AND(BZ$5-$A12&gt;=0,BZ$5-$A12&lt;=19),INDEX(HU_ord,BZ$5-$A12+1)*$B12,0)</f>
        <v>0.0</v>
      </c>
      <c r="CA12" s="14">
        <f>IF(AND(CA$5-$A12&gt;=0,CA$5-$A12&lt;=19),INDEX(HU_ord,CA$5-$A12+1)*$B12,0)</f>
        <v>0.0</v>
      </c>
      <c r="CB12" s="14">
        <f>IF(AND(CB$5-$A12&gt;=0,CB$5-$A12&lt;=19),INDEX(HU_ord,CB$5-$A12+1)*$B12,0)</f>
        <v>0.0</v>
      </c>
      <c r="CC12" s="14">
        <f>IF(AND(CC$5-$A12&gt;=0,CC$5-$A12&lt;=19),INDEX(HU_ord,CC$5-$A12+1)*$B12,0)</f>
        <v>0.0</v>
      </c>
      <c r="CD12" s="14">
        <f>IF(AND(CD$5-$A12&gt;=0,CD$5-$A12&lt;=19),INDEX(HU_ord,CD$5-$A12+1)*$B12,0)</f>
        <v>0.0</v>
      </c>
      <c r="CE12" s="14">
        <f>IF(AND(CE$5-$A12&gt;=0,CE$5-$A12&lt;=19),INDEX(HU_ord,CE$5-$A12+1)*$B12,0)</f>
        <v>0.0</v>
      </c>
      <c r="CF12" s="14">
        <f>IF(AND(CF$5-$A12&gt;=0,CF$5-$A12&lt;=19),INDEX(HU_ord,CF$5-$A12+1)*$B12,0)</f>
        <v>0.0</v>
      </c>
      <c r="CG12" s="14">
        <f>IF(AND(CG$5-$A12&gt;=0,CG$5-$A12&lt;=19),INDEX(HU_ord,CG$5-$A12+1)*$B12,0)</f>
        <v>0.0</v>
      </c>
      <c r="CH12" s="14">
        <f>IF(AND(CH$5-$A12&gt;=0,CH$5-$A12&lt;=19),INDEX(HU_ord,CH$5-$A12+1)*$B12,0)</f>
        <v>0.0</v>
      </c>
      <c r="CI12" s="14">
        <f>IF(AND(CI$5-$A12&gt;=0,CI$5-$A12&lt;=19),INDEX(HU_ord,CI$5-$A12+1)*$B12,0)</f>
        <v>0.0</v>
      </c>
      <c r="CJ12" s="14">
        <f>IF(AND(CJ$5-$A12&gt;=0,CJ$5-$A12&lt;=19),INDEX(HU_ord,CJ$5-$A12+1)*$B12,0)</f>
        <v>0.0</v>
      </c>
      <c r="CK12" s="14">
        <f>IF(AND(CK$5-$A12&gt;=0,CK$5-$A12&lt;=19),INDEX(HU_ord,CK$5-$A12+1)*$B12,0)</f>
        <v>0.0</v>
      </c>
      <c r="CL12" s="14">
        <f>IF(AND(CL$5-$A12&gt;=0,CL$5-$A12&lt;=19),INDEX(HU_ord,CL$5-$A12+1)*$B12,0)</f>
        <v>0.0</v>
      </c>
      <c r="CM12" s="14">
        <f>IF(AND(CM$5-$A12&gt;=0,CM$5-$A12&lt;=19),INDEX(HU_ord,CM$5-$A12+1)*$B12,0)</f>
        <v>0.0</v>
      </c>
      <c r="CN12" s="14">
        <f>IF(AND(CN$5-$A12&gt;=0,CN$5-$A12&lt;=19),INDEX(HU_ord,CN$5-$A12+1)*$B12,0)</f>
        <v>0.0</v>
      </c>
      <c r="CO12" s="14">
        <f>IF(AND(CO$5-$A12&gt;=0,CO$5-$A12&lt;=19),INDEX(HU_ord,CO$5-$A12+1)*$B12,0)</f>
        <v>0.0</v>
      </c>
      <c r="CP12" s="14">
        <f>IF(AND(CP$5-$A12&gt;=0,CP$5-$A12&lt;=19),INDEX(HU_ord,CP$5-$A12+1)*$B12,0)</f>
        <v>0.0</v>
      </c>
      <c r="CQ12" s="14">
        <f>IF(AND(CQ$5-$A12&gt;=0,CQ$5-$A12&lt;=19),INDEX(HU_ord,CQ$5-$A12+1)*$B12,0)</f>
        <v>0.0</v>
      </c>
      <c r="CR12" s="14">
        <f>IF(AND(CR$5-$A12&gt;=0,CR$5-$A12&lt;=19),INDEX(HU_ord,CR$5-$A12+1)*$B12,0)</f>
        <v>0.0</v>
      </c>
      <c r="CS12" s="14">
        <f>IF(AND(CS$5-$A12&gt;=0,CS$5-$A12&lt;=19),INDEX(HU_ord,CS$5-$A12+1)*$B12,0)</f>
        <v>0.0</v>
      </c>
      <c r="CT12" s="14">
        <f>IF(AND(CT$5-$A12&gt;=0,CT$5-$A12&lt;=19),INDEX(HU_ord,CT$5-$A12+1)*$B12,0)</f>
        <v>0.0</v>
      </c>
      <c r="CU12" s="14">
        <f>IF(AND(CU$5-$A12&gt;=0,CU$5-$A12&lt;=19),INDEX(HU_ord,CU$5-$A12+1)*$B12,0)</f>
        <v>0.0</v>
      </c>
      <c r="CV12" s="14">
        <f>IF(AND(CV$5-$A12&gt;=0,CV$5-$A12&lt;=19),INDEX(HU_ord,CV$5-$A12+1)*$B12,0)</f>
        <v>0.0</v>
      </c>
      <c r="CW12" s="14">
        <f>IF(AND(CW$5-$A12&gt;=0,CW$5-$A12&lt;=19),INDEX(HU_ord,CW$5-$A12+1)*$B12,0)</f>
        <v>0.0</v>
      </c>
      <c r="CX12" s="14">
        <f>IF(AND(CX$5-$A12&gt;=0,CX$5-$A12&lt;=19),INDEX(HU_ord,CX$5-$A12+1)*$B12,0)</f>
        <v>0.0</v>
      </c>
      <c r="CY12" s="14">
        <f>IF(AND(CY$5-$A12&gt;=0,CY$5-$A12&lt;=19),INDEX(HU_ord,CY$5-$A12+1)*$B12,0)</f>
        <v>0.0</v>
      </c>
      <c r="CZ12" s="14">
        <f>IF(AND(CZ$5-$A12&gt;=0,CZ$5-$A12&lt;=19),INDEX(HU_ord,CZ$5-$A12+1)*$B12,0)</f>
        <v>0.0</v>
      </c>
      <c r="DA12" s="14">
        <f>IF(AND(DA$5-$A12&gt;=0,DA$5-$A12&lt;=19),INDEX(HU_ord,DA$5-$A12+1)*$B12,0)</f>
        <v>0.0</v>
      </c>
      <c r="DB12" s="14">
        <f>IF(AND(DB$5-$A12&gt;=0,DB$5-$A12&lt;=19),INDEX(HU_ord,DB$5-$A12+1)*$B12,0)</f>
        <v>0.0</v>
      </c>
      <c r="DC12" s="14">
        <f>IF(AND(DC$5-$A12&gt;=0,DC$5-$A12&lt;=19),INDEX(HU_ord,DC$5-$A12+1)*$B12,0)</f>
        <v>0.0</v>
      </c>
      <c r="DD12" s="14">
        <f>IF(AND(DD$5-$A12&gt;=0,DD$5-$A12&lt;=19),INDEX(HU_ord,DD$5-$A12+1)*$B12,0)</f>
        <v>0.0</v>
      </c>
      <c r="DE12" s="14">
        <f>IF(AND(DE$5-$A12&gt;=0,DE$5-$A12&lt;=19),INDEX(HU_ord,DE$5-$A12+1)*$B12,0)</f>
        <v>0.0</v>
      </c>
      <c r="DF12" s="14">
        <f>IF(AND(DF$5-$A12&gt;=0,DF$5-$A12&lt;=19),INDEX(HU_ord,DF$5-$A12+1)*$B12,0)</f>
        <v>0.0</v>
      </c>
      <c r="DG12" s="14">
        <f>IF(AND(DG$5-$A12&gt;=0,DG$5-$A12&lt;=19),INDEX(HU_ord,DG$5-$A12+1)*$B12,0)</f>
        <v>0.0</v>
      </c>
      <c r="DH12" s="14">
        <f>IF(AND(DH$5-$A12&gt;=0,DH$5-$A12&lt;=19),INDEX(HU_ord,DH$5-$A12+1)*$B12,0)</f>
        <v>0.0</v>
      </c>
      <c r="DI12" s="14">
        <f>IF(AND(DI$5-$A12&gt;=0,DI$5-$A12&lt;=19),INDEX(HU_ord,DI$5-$A12+1)*$B12,0)</f>
        <v>0.0</v>
      </c>
    </row>
    <row r="13" spans="1:113">
      <c r="A13">
        <v>7</v>
      </c>
      <c r="B13" s="10">
        <f>Serie_horaria!N9</f>
        <v>0.05564709009747063</v>
      </c>
      <c r="C13" s="14">
        <f>IF(AND(C$5-$A13&gt;=0,C$5-$A13&lt;=19),INDEX(HU_ord,C$5-$A13+1)*$B13,0)</f>
        <v>0.0</v>
      </c>
      <c r="D13" s="14">
        <f>IF(AND(D$5-$A13&gt;=0,D$5-$A13&lt;=19),INDEX(HU_ord,D$5-$A13+1)*$B13,0)</f>
        <v>0.0</v>
      </c>
      <c r="E13" s="14">
        <f>IF(AND(E$5-$A13&gt;=0,E$5-$A13&lt;=19),INDEX(HU_ord,E$5-$A13+1)*$B13,0)</f>
        <v>0.0</v>
      </c>
      <c r="F13" s="14">
        <f>IF(AND(F$5-$A13&gt;=0,F$5-$A13&lt;=19),INDEX(HU_ord,F$5-$A13+1)*$B13,0)</f>
        <v>0.0</v>
      </c>
      <c r="G13" s="14">
        <f>IF(AND(G$5-$A13&gt;=0,G$5-$A13&lt;=19),INDEX(HU_ord,G$5-$A13+1)*$B13,0)</f>
        <v>0.0</v>
      </c>
      <c r="H13" s="14">
        <f>IF(AND(H$5-$A13&gt;=0,H$5-$A13&lt;=19),INDEX(HU_ord,H$5-$A13+1)*$B13,0)</f>
        <v>0.0</v>
      </c>
      <c r="I13" s="14">
        <f>IF(AND(I$5-$A13&gt;=0,I$5-$A13&lt;=19),INDEX(HU_ord,I$5-$A13+1)*$B13,0)</f>
        <v>0.0</v>
      </c>
      <c r="J13" s="14">
        <f>IF(AND(J$5-$A13&gt;=0,J$5-$A13&lt;=19),INDEX(HU_ord,J$5-$A13+1)*$B13,0)</f>
        <v>0.0</v>
      </c>
      <c r="K13" s="14">
        <f>IF(AND(K$5-$A13&gt;=0,K$5-$A13&lt;=19),INDEX(HU_ord,K$5-$A13+1)*$B13,0)</f>
        <v>0.1808569523098634</v>
      </c>
      <c r="L13" s="14">
        <f>IF(AND(L$5-$A13&gt;=0,L$5-$A13&lt;=19),INDEX(HU_ord,L$5-$A13+1)*$B13,0)</f>
        <v>0.3617139046197268</v>
      </c>
      <c r="M13" s="14">
        <f>IF(AND(M$5-$A13&gt;=0,M$5-$A13&lt;=19),INDEX(HU_ord,M$5-$A13+1)*$B13,0)</f>
        <v>0.5425708569295903</v>
      </c>
      <c r="N13" s="14">
        <f>IF(AND(N$5-$A13&gt;=0,N$5-$A13&lt;=19),INDEX(HU_ord,N$5-$A13+1)*$B13,0)</f>
        <v>0.7234278092394536</v>
      </c>
      <c r="O13" s="14">
        <f>IF(AND(O$5-$A13&gt;=0,O$5-$A13&lt;=19),INDEX(HU_ord,O$5-$A13+1)*$B13,0)</f>
        <v>0.9042847615493171</v>
      </c>
      <c r="P13" s="14">
        <f>IF(AND(P$5-$A13&gt;=0,P$5-$A13&lt;=19),INDEX(HU_ord,P$5-$A13+1)*$B13,0)</f>
        <v>1.0851417138591806</v>
      </c>
      <c r="Q13" s="14">
        <f>IF(AND(Q$5-$A13&gt;=0,Q$5-$A13&lt;=19),INDEX(HU_ord,Q$5-$A13+1)*$B13,0)</f>
        <v>1.234538653463531</v>
      </c>
      <c r="R13" s="14">
        <f>IF(AND(R$5-$A13&gt;=0,R$5-$A13&lt;=19),INDEX(HU_ord,R$5-$A13+1)*$B13,0)</f>
        <v>1.12624107723008</v>
      </c>
      <c r="S13" s="14">
        <f>IF(AND(S$5-$A13&gt;=0,S$5-$A13&lt;=19),INDEX(HU_ord,S$5-$A13+1)*$B13,0)</f>
        <v>1.017943500996629</v>
      </c>
      <c r="T13" s="14">
        <f>IF(AND(T$5-$A13&gt;=0,T$5-$A13&lt;=19),INDEX(HU_ord,T$5-$A13+1)*$B13,0)</f>
        <v>0.9096459247631776</v>
      </c>
      <c r="U13" s="14">
        <f>IF(AND(U$5-$A13&gt;=0,U$5-$A13&lt;=19),INDEX(HU_ord,U$5-$A13+1)*$B13,0)</f>
        <v>0.8013483485297264</v>
      </c>
      <c r="V13" s="14">
        <f>IF(AND(V$5-$A13&gt;=0,V$5-$A13&lt;=19),INDEX(HU_ord,V$5-$A13+1)*$B13,0)</f>
        <v>0.6930507722962752</v>
      </c>
      <c r="W13" s="14">
        <f>IF(AND(W$5-$A13&gt;=0,W$5-$A13&lt;=19),INDEX(HU_ord,W$5-$A13+1)*$B13,0)</f>
        <v>0.5847531960628242</v>
      </c>
      <c r="X13" s="14">
        <f>IF(AND(X$5-$A13&gt;=0,X$5-$A13&lt;=19),INDEX(HU_ord,X$5-$A13+1)*$B13,0)</f>
        <v>0.47645561982937307</v>
      </c>
      <c r="Y13" s="14">
        <f>IF(AND(Y$5-$A13&gt;=0,Y$5-$A13&lt;=19),INDEX(HU_ord,Y$5-$A13+1)*$B13,0)</f>
        <v>0.36815804359592186</v>
      </c>
      <c r="Z13" s="14">
        <f>IF(AND(Z$5-$A13&gt;=0,Z$5-$A13&lt;=19),INDEX(HU_ord,Z$5-$A13+1)*$B13,0)</f>
        <v>0.25986046736247065</v>
      </c>
      <c r="AA13" s="14">
        <f>IF(AND(AA$5-$A13&gt;=0,AA$5-$A13&lt;=19),INDEX(HU_ord,AA$5-$A13+1)*$B13,0)</f>
        <v>0.15156289112901947</v>
      </c>
      <c r="AB13" s="14">
        <f>IF(AND(AB$5-$A13&gt;=0,AB$5-$A13&lt;=19),INDEX(HU_ord,AB$5-$A13+1)*$B13,0)</f>
        <v>0.04326531489556832</v>
      </c>
      <c r="AC13" s="14">
        <f>IF(AND(AC$5-$A13&gt;=0,AC$5-$A13&lt;=19),INDEX(HU_ord,AC$5-$A13+1)*$B13,0)</f>
        <v>0.0</v>
      </c>
      <c r="AD13" s="14">
        <f>IF(AND(AD$5-$A13&gt;=0,AD$5-$A13&lt;=19),INDEX(HU_ord,AD$5-$A13+1)*$B13,0)</f>
        <v>0.0</v>
      </c>
      <c r="AE13" s="14">
        <f>IF(AND(AE$5-$A13&gt;=0,AE$5-$A13&lt;=19),INDEX(HU_ord,AE$5-$A13+1)*$B13,0)</f>
        <v>0.0</v>
      </c>
      <c r="AF13" s="14">
        <f>IF(AND(AF$5-$A13&gt;=0,AF$5-$A13&lt;=19),INDEX(HU_ord,AF$5-$A13+1)*$B13,0)</f>
        <v>0.0</v>
      </c>
      <c r="AG13" s="14">
        <f>IF(AND(AG$5-$A13&gt;=0,AG$5-$A13&lt;=19),INDEX(HU_ord,AG$5-$A13+1)*$B13,0)</f>
        <v>0.0</v>
      </c>
      <c r="AH13" s="14">
        <f>IF(AND(AH$5-$A13&gt;=0,AH$5-$A13&lt;=19),INDEX(HU_ord,AH$5-$A13+1)*$B13,0)</f>
        <v>0.0</v>
      </c>
      <c r="AI13" s="14">
        <f>IF(AND(AI$5-$A13&gt;=0,AI$5-$A13&lt;=19),INDEX(HU_ord,AI$5-$A13+1)*$B13,0)</f>
        <v>0.0</v>
      </c>
      <c r="AJ13" s="14">
        <f>IF(AND(AJ$5-$A13&gt;=0,AJ$5-$A13&lt;=19),INDEX(HU_ord,AJ$5-$A13+1)*$B13,0)</f>
        <v>0.0</v>
      </c>
      <c r="AK13" s="14">
        <f>IF(AND(AK$5-$A13&gt;=0,AK$5-$A13&lt;=19),INDEX(HU_ord,AK$5-$A13+1)*$B13,0)</f>
        <v>0.0</v>
      </c>
      <c r="AL13" s="14">
        <f>IF(AND(AL$5-$A13&gt;=0,AL$5-$A13&lt;=19),INDEX(HU_ord,AL$5-$A13+1)*$B13,0)</f>
        <v>0.0</v>
      </c>
      <c r="AM13" s="14">
        <f>IF(AND(AM$5-$A13&gt;=0,AM$5-$A13&lt;=19),INDEX(HU_ord,AM$5-$A13+1)*$B13,0)</f>
        <v>0.0</v>
      </c>
      <c r="AN13" s="14">
        <f>IF(AND(AN$5-$A13&gt;=0,AN$5-$A13&lt;=19),INDEX(HU_ord,AN$5-$A13+1)*$B13,0)</f>
        <v>0.0</v>
      </c>
      <c r="AO13" s="14">
        <f>IF(AND(AO$5-$A13&gt;=0,AO$5-$A13&lt;=19),INDEX(HU_ord,AO$5-$A13+1)*$B13,0)</f>
        <v>0.0</v>
      </c>
      <c r="AP13" s="14">
        <f>IF(AND(AP$5-$A13&gt;=0,AP$5-$A13&lt;=19),INDEX(HU_ord,AP$5-$A13+1)*$B13,0)</f>
        <v>0.0</v>
      </c>
      <c r="AQ13" s="14">
        <f>IF(AND(AQ$5-$A13&gt;=0,AQ$5-$A13&lt;=19),INDEX(HU_ord,AQ$5-$A13+1)*$B13,0)</f>
        <v>0.0</v>
      </c>
      <c r="AR13" s="14">
        <f>IF(AND(AR$5-$A13&gt;=0,AR$5-$A13&lt;=19),INDEX(HU_ord,AR$5-$A13+1)*$B13,0)</f>
        <v>0.0</v>
      </c>
      <c r="AS13" s="14">
        <f>IF(AND(AS$5-$A13&gt;=0,AS$5-$A13&lt;=19),INDEX(HU_ord,AS$5-$A13+1)*$B13,0)</f>
        <v>0.0</v>
      </c>
      <c r="AT13" s="14">
        <f>IF(AND(AT$5-$A13&gt;=0,AT$5-$A13&lt;=19),INDEX(HU_ord,AT$5-$A13+1)*$B13,0)</f>
        <v>0.0</v>
      </c>
      <c r="AU13" s="14">
        <f>IF(AND(AU$5-$A13&gt;=0,AU$5-$A13&lt;=19),INDEX(HU_ord,AU$5-$A13+1)*$B13,0)</f>
        <v>0.0</v>
      </c>
      <c r="AV13" s="14">
        <f>IF(AND(AV$5-$A13&gt;=0,AV$5-$A13&lt;=19),INDEX(HU_ord,AV$5-$A13+1)*$B13,0)</f>
        <v>0.0</v>
      </c>
      <c r="AW13" s="14">
        <f>IF(AND(AW$5-$A13&gt;=0,AW$5-$A13&lt;=19),INDEX(HU_ord,AW$5-$A13+1)*$B13,0)</f>
        <v>0.0</v>
      </c>
      <c r="AX13" s="14">
        <f>IF(AND(AX$5-$A13&gt;=0,AX$5-$A13&lt;=19),INDEX(HU_ord,AX$5-$A13+1)*$B13,0)</f>
        <v>0.0</v>
      </c>
      <c r="AY13" s="14">
        <f>IF(AND(AY$5-$A13&gt;=0,AY$5-$A13&lt;=19),INDEX(HU_ord,AY$5-$A13+1)*$B13,0)</f>
        <v>0.0</v>
      </c>
      <c r="AZ13" s="14">
        <f>IF(AND(AZ$5-$A13&gt;=0,AZ$5-$A13&lt;=19),INDEX(HU_ord,AZ$5-$A13+1)*$B13,0)</f>
        <v>0.0</v>
      </c>
      <c r="BA13" s="14">
        <f>IF(AND(BA$5-$A13&gt;=0,BA$5-$A13&lt;=19),INDEX(HU_ord,BA$5-$A13+1)*$B13,0)</f>
        <v>0.0</v>
      </c>
      <c r="BB13" s="14">
        <f>IF(AND(BB$5-$A13&gt;=0,BB$5-$A13&lt;=19),INDEX(HU_ord,BB$5-$A13+1)*$B13,0)</f>
        <v>0.0</v>
      </c>
      <c r="BC13" s="14">
        <f>IF(AND(BC$5-$A13&gt;=0,BC$5-$A13&lt;=19),INDEX(HU_ord,BC$5-$A13+1)*$B13,0)</f>
        <v>0.0</v>
      </c>
      <c r="BD13" s="14">
        <f>IF(AND(BD$5-$A13&gt;=0,BD$5-$A13&lt;=19),INDEX(HU_ord,BD$5-$A13+1)*$B13,0)</f>
        <v>0.0</v>
      </c>
      <c r="BE13" s="14">
        <f>IF(AND(BE$5-$A13&gt;=0,BE$5-$A13&lt;=19),INDEX(HU_ord,BE$5-$A13+1)*$B13,0)</f>
        <v>0.0</v>
      </c>
      <c r="BF13" s="14">
        <f>IF(AND(BF$5-$A13&gt;=0,BF$5-$A13&lt;=19),INDEX(HU_ord,BF$5-$A13+1)*$B13,0)</f>
        <v>0.0</v>
      </c>
      <c r="BG13" s="14">
        <f>IF(AND(BG$5-$A13&gt;=0,BG$5-$A13&lt;=19),INDEX(HU_ord,BG$5-$A13+1)*$B13,0)</f>
        <v>0.0</v>
      </c>
      <c r="BH13" s="14">
        <f>IF(AND(BH$5-$A13&gt;=0,BH$5-$A13&lt;=19),INDEX(HU_ord,BH$5-$A13+1)*$B13,0)</f>
        <v>0.0</v>
      </c>
      <c r="BI13" s="14">
        <f>IF(AND(BI$5-$A13&gt;=0,BI$5-$A13&lt;=19),INDEX(HU_ord,BI$5-$A13+1)*$B13,0)</f>
        <v>0.0</v>
      </c>
      <c r="BJ13" s="14">
        <f>IF(AND(BJ$5-$A13&gt;=0,BJ$5-$A13&lt;=19),INDEX(HU_ord,BJ$5-$A13+1)*$B13,0)</f>
        <v>0.0</v>
      </c>
      <c r="BK13" s="14">
        <f>IF(AND(BK$5-$A13&gt;=0,BK$5-$A13&lt;=19),INDEX(HU_ord,BK$5-$A13+1)*$B13,0)</f>
        <v>0.0</v>
      </c>
      <c r="BL13" s="14">
        <f>IF(AND(BL$5-$A13&gt;=0,BL$5-$A13&lt;=19),INDEX(HU_ord,BL$5-$A13+1)*$B13,0)</f>
        <v>0.0</v>
      </c>
      <c r="BM13" s="14">
        <f>IF(AND(BM$5-$A13&gt;=0,BM$5-$A13&lt;=19),INDEX(HU_ord,BM$5-$A13+1)*$B13,0)</f>
        <v>0.0</v>
      </c>
      <c r="BN13" s="14">
        <f>IF(AND(BN$5-$A13&gt;=0,BN$5-$A13&lt;=19),INDEX(HU_ord,BN$5-$A13+1)*$B13,0)</f>
        <v>0.0</v>
      </c>
      <c r="BO13" s="14">
        <f>IF(AND(BO$5-$A13&gt;=0,BO$5-$A13&lt;=19),INDEX(HU_ord,BO$5-$A13+1)*$B13,0)</f>
        <v>0.0</v>
      </c>
      <c r="BP13" s="14">
        <f>IF(AND(BP$5-$A13&gt;=0,BP$5-$A13&lt;=19),INDEX(HU_ord,BP$5-$A13+1)*$B13,0)</f>
        <v>0.0</v>
      </c>
      <c r="BQ13" s="14">
        <f>IF(AND(BQ$5-$A13&gt;=0,BQ$5-$A13&lt;=19),INDEX(HU_ord,BQ$5-$A13+1)*$B13,0)</f>
        <v>0.0</v>
      </c>
      <c r="BR13" s="14">
        <f>IF(AND(BR$5-$A13&gt;=0,BR$5-$A13&lt;=19),INDEX(HU_ord,BR$5-$A13+1)*$B13,0)</f>
        <v>0.0</v>
      </c>
      <c r="BS13" s="14">
        <f>IF(AND(BS$5-$A13&gt;=0,BS$5-$A13&lt;=19),INDEX(HU_ord,BS$5-$A13+1)*$B13,0)</f>
        <v>0.0</v>
      </c>
      <c r="BT13" s="14">
        <f>IF(AND(BT$5-$A13&gt;=0,BT$5-$A13&lt;=19),INDEX(HU_ord,BT$5-$A13+1)*$B13,0)</f>
        <v>0.0</v>
      </c>
      <c r="BU13" s="14">
        <f>IF(AND(BU$5-$A13&gt;=0,BU$5-$A13&lt;=19),INDEX(HU_ord,BU$5-$A13+1)*$B13,0)</f>
        <v>0.0</v>
      </c>
      <c r="BV13" s="14">
        <f>IF(AND(BV$5-$A13&gt;=0,BV$5-$A13&lt;=19),INDEX(HU_ord,BV$5-$A13+1)*$B13,0)</f>
        <v>0.0</v>
      </c>
      <c r="BW13" s="14">
        <f>IF(AND(BW$5-$A13&gt;=0,BW$5-$A13&lt;=19),INDEX(HU_ord,BW$5-$A13+1)*$B13,0)</f>
        <v>0.0</v>
      </c>
      <c r="BX13" s="14">
        <f>IF(AND(BX$5-$A13&gt;=0,BX$5-$A13&lt;=19),INDEX(HU_ord,BX$5-$A13+1)*$B13,0)</f>
        <v>0.0</v>
      </c>
      <c r="BY13" s="14">
        <f>IF(AND(BY$5-$A13&gt;=0,BY$5-$A13&lt;=19),INDEX(HU_ord,BY$5-$A13+1)*$B13,0)</f>
        <v>0.0</v>
      </c>
      <c r="BZ13" s="14">
        <f>IF(AND(BZ$5-$A13&gt;=0,BZ$5-$A13&lt;=19),INDEX(HU_ord,BZ$5-$A13+1)*$B13,0)</f>
        <v>0.0</v>
      </c>
      <c r="CA13" s="14">
        <f>IF(AND(CA$5-$A13&gt;=0,CA$5-$A13&lt;=19),INDEX(HU_ord,CA$5-$A13+1)*$B13,0)</f>
        <v>0.0</v>
      </c>
      <c r="CB13" s="14">
        <f>IF(AND(CB$5-$A13&gt;=0,CB$5-$A13&lt;=19),INDEX(HU_ord,CB$5-$A13+1)*$B13,0)</f>
        <v>0.0</v>
      </c>
      <c r="CC13" s="14">
        <f>IF(AND(CC$5-$A13&gt;=0,CC$5-$A13&lt;=19),INDEX(HU_ord,CC$5-$A13+1)*$B13,0)</f>
        <v>0.0</v>
      </c>
      <c r="CD13" s="14">
        <f>IF(AND(CD$5-$A13&gt;=0,CD$5-$A13&lt;=19),INDEX(HU_ord,CD$5-$A13+1)*$B13,0)</f>
        <v>0.0</v>
      </c>
      <c r="CE13" s="14">
        <f>IF(AND(CE$5-$A13&gt;=0,CE$5-$A13&lt;=19),INDEX(HU_ord,CE$5-$A13+1)*$B13,0)</f>
        <v>0.0</v>
      </c>
      <c r="CF13" s="14">
        <f>IF(AND(CF$5-$A13&gt;=0,CF$5-$A13&lt;=19),INDEX(HU_ord,CF$5-$A13+1)*$B13,0)</f>
        <v>0.0</v>
      </c>
      <c r="CG13" s="14">
        <f>IF(AND(CG$5-$A13&gt;=0,CG$5-$A13&lt;=19),INDEX(HU_ord,CG$5-$A13+1)*$B13,0)</f>
        <v>0.0</v>
      </c>
      <c r="CH13" s="14">
        <f>IF(AND(CH$5-$A13&gt;=0,CH$5-$A13&lt;=19),INDEX(HU_ord,CH$5-$A13+1)*$B13,0)</f>
        <v>0.0</v>
      </c>
      <c r="CI13" s="14">
        <f>IF(AND(CI$5-$A13&gt;=0,CI$5-$A13&lt;=19),INDEX(HU_ord,CI$5-$A13+1)*$B13,0)</f>
        <v>0.0</v>
      </c>
      <c r="CJ13" s="14">
        <f>IF(AND(CJ$5-$A13&gt;=0,CJ$5-$A13&lt;=19),INDEX(HU_ord,CJ$5-$A13+1)*$B13,0)</f>
        <v>0.0</v>
      </c>
      <c r="CK13" s="14">
        <f>IF(AND(CK$5-$A13&gt;=0,CK$5-$A13&lt;=19),INDEX(HU_ord,CK$5-$A13+1)*$B13,0)</f>
        <v>0.0</v>
      </c>
      <c r="CL13" s="14">
        <f>IF(AND(CL$5-$A13&gt;=0,CL$5-$A13&lt;=19),INDEX(HU_ord,CL$5-$A13+1)*$B13,0)</f>
        <v>0.0</v>
      </c>
      <c r="CM13" s="14">
        <f>IF(AND(CM$5-$A13&gt;=0,CM$5-$A13&lt;=19),INDEX(HU_ord,CM$5-$A13+1)*$B13,0)</f>
        <v>0.0</v>
      </c>
      <c r="CN13" s="14">
        <f>IF(AND(CN$5-$A13&gt;=0,CN$5-$A13&lt;=19),INDEX(HU_ord,CN$5-$A13+1)*$B13,0)</f>
        <v>0.0</v>
      </c>
      <c r="CO13" s="14">
        <f>IF(AND(CO$5-$A13&gt;=0,CO$5-$A13&lt;=19),INDEX(HU_ord,CO$5-$A13+1)*$B13,0)</f>
        <v>0.0</v>
      </c>
      <c r="CP13" s="14">
        <f>IF(AND(CP$5-$A13&gt;=0,CP$5-$A13&lt;=19),INDEX(HU_ord,CP$5-$A13+1)*$B13,0)</f>
        <v>0.0</v>
      </c>
      <c r="CQ13" s="14">
        <f>IF(AND(CQ$5-$A13&gt;=0,CQ$5-$A13&lt;=19),INDEX(HU_ord,CQ$5-$A13+1)*$B13,0)</f>
        <v>0.0</v>
      </c>
      <c r="CR13" s="14">
        <f>IF(AND(CR$5-$A13&gt;=0,CR$5-$A13&lt;=19),INDEX(HU_ord,CR$5-$A13+1)*$B13,0)</f>
        <v>0.0</v>
      </c>
      <c r="CS13" s="14">
        <f>IF(AND(CS$5-$A13&gt;=0,CS$5-$A13&lt;=19),INDEX(HU_ord,CS$5-$A13+1)*$B13,0)</f>
        <v>0.0</v>
      </c>
      <c r="CT13" s="14">
        <f>IF(AND(CT$5-$A13&gt;=0,CT$5-$A13&lt;=19),INDEX(HU_ord,CT$5-$A13+1)*$B13,0)</f>
        <v>0.0</v>
      </c>
      <c r="CU13" s="14">
        <f>IF(AND(CU$5-$A13&gt;=0,CU$5-$A13&lt;=19),INDEX(HU_ord,CU$5-$A13+1)*$B13,0)</f>
        <v>0.0</v>
      </c>
      <c r="CV13" s="14">
        <f>IF(AND(CV$5-$A13&gt;=0,CV$5-$A13&lt;=19),INDEX(HU_ord,CV$5-$A13+1)*$B13,0)</f>
        <v>0.0</v>
      </c>
      <c r="CW13" s="14">
        <f>IF(AND(CW$5-$A13&gt;=0,CW$5-$A13&lt;=19),INDEX(HU_ord,CW$5-$A13+1)*$B13,0)</f>
        <v>0.0</v>
      </c>
      <c r="CX13" s="14">
        <f>IF(AND(CX$5-$A13&gt;=0,CX$5-$A13&lt;=19),INDEX(HU_ord,CX$5-$A13+1)*$B13,0)</f>
        <v>0.0</v>
      </c>
      <c r="CY13" s="14">
        <f>IF(AND(CY$5-$A13&gt;=0,CY$5-$A13&lt;=19),INDEX(HU_ord,CY$5-$A13+1)*$B13,0)</f>
        <v>0.0</v>
      </c>
      <c r="CZ13" s="14">
        <f>IF(AND(CZ$5-$A13&gt;=0,CZ$5-$A13&lt;=19),INDEX(HU_ord,CZ$5-$A13+1)*$B13,0)</f>
        <v>0.0</v>
      </c>
      <c r="DA13" s="14">
        <f>IF(AND(DA$5-$A13&gt;=0,DA$5-$A13&lt;=19),INDEX(HU_ord,DA$5-$A13+1)*$B13,0)</f>
        <v>0.0</v>
      </c>
      <c r="DB13" s="14">
        <f>IF(AND(DB$5-$A13&gt;=0,DB$5-$A13&lt;=19),INDEX(HU_ord,DB$5-$A13+1)*$B13,0)</f>
        <v>0.0</v>
      </c>
      <c r="DC13" s="14">
        <f>IF(AND(DC$5-$A13&gt;=0,DC$5-$A13&lt;=19),INDEX(HU_ord,DC$5-$A13+1)*$B13,0)</f>
        <v>0.0</v>
      </c>
      <c r="DD13" s="14">
        <f>IF(AND(DD$5-$A13&gt;=0,DD$5-$A13&lt;=19),INDEX(HU_ord,DD$5-$A13+1)*$B13,0)</f>
        <v>0.0</v>
      </c>
      <c r="DE13" s="14">
        <f>IF(AND(DE$5-$A13&gt;=0,DE$5-$A13&lt;=19),INDEX(HU_ord,DE$5-$A13+1)*$B13,0)</f>
        <v>0.0</v>
      </c>
      <c r="DF13" s="14">
        <f>IF(AND(DF$5-$A13&gt;=0,DF$5-$A13&lt;=19),INDEX(HU_ord,DF$5-$A13+1)*$B13,0)</f>
        <v>0.0</v>
      </c>
      <c r="DG13" s="14">
        <f>IF(AND(DG$5-$A13&gt;=0,DG$5-$A13&lt;=19),INDEX(HU_ord,DG$5-$A13+1)*$B13,0)</f>
        <v>0.0</v>
      </c>
      <c r="DH13" s="14">
        <f>IF(AND(DH$5-$A13&gt;=0,DH$5-$A13&lt;=19),INDEX(HU_ord,DH$5-$A13+1)*$B13,0)</f>
        <v>0.0</v>
      </c>
      <c r="DI13" s="14">
        <f>IF(AND(DI$5-$A13&gt;=0,DI$5-$A13&lt;=19),INDEX(HU_ord,DI$5-$A13+1)*$B13,0)</f>
        <v>0.0</v>
      </c>
    </row>
    <row r="14" spans="1:113">
      <c r="A14">
        <v>8</v>
      </c>
      <c r="B14" s="10">
        <f>Serie_horaria!N10</f>
        <v>0.1329020450627676</v>
      </c>
      <c r="C14" s="14">
        <f>IF(AND(C$5-$A14&gt;=0,C$5-$A14&lt;=19),INDEX(HU_ord,C$5-$A14+1)*$B14,0)</f>
        <v>0.0</v>
      </c>
      <c r="D14" s="14">
        <f>IF(AND(D$5-$A14&gt;=0,D$5-$A14&lt;=19),INDEX(HU_ord,D$5-$A14+1)*$B14,0)</f>
        <v>0.0</v>
      </c>
      <c r="E14" s="14">
        <f>IF(AND(E$5-$A14&gt;=0,E$5-$A14&lt;=19),INDEX(HU_ord,E$5-$A14+1)*$B14,0)</f>
        <v>0.0</v>
      </c>
      <c r="F14" s="14">
        <f>IF(AND(F$5-$A14&gt;=0,F$5-$A14&lt;=19),INDEX(HU_ord,F$5-$A14+1)*$B14,0)</f>
        <v>0.0</v>
      </c>
      <c r="G14" s="14">
        <f>IF(AND(G$5-$A14&gt;=0,G$5-$A14&lt;=19),INDEX(HU_ord,G$5-$A14+1)*$B14,0)</f>
        <v>0.0</v>
      </c>
      <c r="H14" s="14">
        <f>IF(AND(H$5-$A14&gt;=0,H$5-$A14&lt;=19),INDEX(HU_ord,H$5-$A14+1)*$B14,0)</f>
        <v>0.0</v>
      </c>
      <c r="I14" s="14">
        <f>IF(AND(I$5-$A14&gt;=0,I$5-$A14&lt;=19),INDEX(HU_ord,I$5-$A14+1)*$B14,0)</f>
        <v>0.0</v>
      </c>
      <c r="J14" s="14">
        <f>IF(AND(J$5-$A14&gt;=0,J$5-$A14&lt;=19),INDEX(HU_ord,J$5-$A14+1)*$B14,0)</f>
        <v>0.0</v>
      </c>
      <c r="K14" s="14">
        <f>IF(AND(K$5-$A14&gt;=0,K$5-$A14&lt;=19),INDEX(HU_ord,K$5-$A14+1)*$B14,0)</f>
        <v>0.0</v>
      </c>
      <c r="L14" s="14">
        <f>IF(AND(L$5-$A14&gt;=0,L$5-$A14&lt;=19),INDEX(HU_ord,L$5-$A14+1)*$B14,0)</f>
        <v>0.4319409835033371</v>
      </c>
      <c r="M14" s="14">
        <f>IF(AND(M$5-$A14&gt;=0,M$5-$A14&lt;=19),INDEX(HU_ord,M$5-$A14+1)*$B14,0)</f>
        <v>0.8638819670066742</v>
      </c>
      <c r="N14" s="14">
        <f>IF(AND(N$5-$A14&gt;=0,N$5-$A14&lt;=19),INDEX(HU_ord,N$5-$A14+1)*$B14,0)</f>
        <v>1.2958229505100114</v>
      </c>
      <c r="O14" s="14">
        <f>IF(AND(O$5-$A14&gt;=0,O$5-$A14&lt;=19),INDEX(HU_ord,O$5-$A14+1)*$B14,0)</f>
        <v>1.7277639340133484</v>
      </c>
      <c r="P14" s="14">
        <f>IF(AND(P$5-$A14&gt;=0,P$5-$A14&lt;=19),INDEX(HU_ord,P$5-$A14+1)*$B14,0)</f>
        <v>2.159704917516686</v>
      </c>
      <c r="Q14" s="14">
        <f>IF(AND(Q$5-$A14&gt;=0,Q$5-$A14&lt;=19),INDEX(HU_ord,Q$5-$A14+1)*$B14,0)</f>
        <v>2.591645901020023</v>
      </c>
      <c r="R14" s="14">
        <f>IF(AND(R$5-$A14&gt;=0,R$5-$A14&lt;=19),INDEX(HU_ord,R$5-$A14+1)*$B14,0)</f>
        <v>2.9484508797666016</v>
      </c>
      <c r="S14" s="14">
        <f>IF(AND(S$5-$A14&gt;=0,S$5-$A14&lt;=19),INDEX(HU_ord,S$5-$A14+1)*$B14,0)</f>
        <v>2.6898035842556216</v>
      </c>
      <c r="T14" s="14">
        <f>IF(AND(T$5-$A14&gt;=0,T$5-$A14&lt;=19),INDEX(HU_ord,T$5-$A14+1)*$B14,0)</f>
        <v>2.431156288744641</v>
      </c>
      <c r="U14" s="14">
        <f>IF(AND(U$5-$A14&gt;=0,U$5-$A14&lt;=19),INDEX(HU_ord,U$5-$A14+1)*$B14,0)</f>
        <v>2.1725089932336608</v>
      </c>
      <c r="V14" s="14">
        <f>IF(AND(V$5-$A14&gt;=0,V$5-$A14&lt;=19),INDEX(HU_ord,V$5-$A14+1)*$B14,0)</f>
        <v>1.91386169772268</v>
      </c>
      <c r="W14" s="14">
        <f>IF(AND(W$5-$A14&gt;=0,W$5-$A14&lt;=19),INDEX(HU_ord,W$5-$A14+1)*$B14,0)</f>
        <v>1.6552144022117</v>
      </c>
      <c r="X14" s="14">
        <f>IF(AND(X$5-$A14&gt;=0,X$5-$A14&lt;=19),INDEX(HU_ord,X$5-$A14+1)*$B14,0)</f>
        <v>1.3965671067007197</v>
      </c>
      <c r="Y14" s="14">
        <f>IF(AND(Y$5-$A14&gt;=0,Y$5-$A14&lt;=19),INDEX(HU_ord,Y$5-$A14+1)*$B14,0)</f>
        <v>1.1379198111897395</v>
      </c>
      <c r="Z14" s="14">
        <f>IF(AND(Z$5-$A14&gt;=0,Z$5-$A14&lt;=19),INDEX(HU_ord,Z$5-$A14+1)*$B14,0)</f>
        <v>0.879272515678759</v>
      </c>
      <c r="AA14" s="14">
        <f>IF(AND(AA$5-$A14&gt;=0,AA$5-$A14&lt;=19),INDEX(HU_ord,AA$5-$A14+1)*$B14,0)</f>
        <v>0.6206252201677785</v>
      </c>
      <c r="AB14" s="14">
        <f>IF(AND(AB$5-$A14&gt;=0,AB$5-$A14&lt;=19),INDEX(HU_ord,AB$5-$A14+1)*$B14,0)</f>
        <v>0.3619779246567982</v>
      </c>
      <c r="AC14" s="14">
        <f>IF(AND(AC$5-$A14&gt;=0,AC$5-$A14&lt;=19),INDEX(HU_ord,AC$5-$A14+1)*$B14,0)</f>
        <v>0.10333062914581785</v>
      </c>
      <c r="AD14" s="14">
        <f>IF(AND(AD$5-$A14&gt;=0,AD$5-$A14&lt;=19),INDEX(HU_ord,AD$5-$A14+1)*$B14,0)</f>
        <v>0.0</v>
      </c>
      <c r="AE14" s="14">
        <f>IF(AND(AE$5-$A14&gt;=0,AE$5-$A14&lt;=19),INDEX(HU_ord,AE$5-$A14+1)*$B14,0)</f>
        <v>0.0</v>
      </c>
      <c r="AF14" s="14">
        <f>IF(AND(AF$5-$A14&gt;=0,AF$5-$A14&lt;=19),INDEX(HU_ord,AF$5-$A14+1)*$B14,0)</f>
        <v>0.0</v>
      </c>
      <c r="AG14" s="14">
        <f>IF(AND(AG$5-$A14&gt;=0,AG$5-$A14&lt;=19),INDEX(HU_ord,AG$5-$A14+1)*$B14,0)</f>
        <v>0.0</v>
      </c>
      <c r="AH14" s="14">
        <f>IF(AND(AH$5-$A14&gt;=0,AH$5-$A14&lt;=19),INDEX(HU_ord,AH$5-$A14+1)*$B14,0)</f>
        <v>0.0</v>
      </c>
      <c r="AI14" s="14">
        <f>IF(AND(AI$5-$A14&gt;=0,AI$5-$A14&lt;=19),INDEX(HU_ord,AI$5-$A14+1)*$B14,0)</f>
        <v>0.0</v>
      </c>
      <c r="AJ14" s="14">
        <f>IF(AND(AJ$5-$A14&gt;=0,AJ$5-$A14&lt;=19),INDEX(HU_ord,AJ$5-$A14+1)*$B14,0)</f>
        <v>0.0</v>
      </c>
      <c r="AK14" s="14">
        <f>IF(AND(AK$5-$A14&gt;=0,AK$5-$A14&lt;=19),INDEX(HU_ord,AK$5-$A14+1)*$B14,0)</f>
        <v>0.0</v>
      </c>
      <c r="AL14" s="14">
        <f>IF(AND(AL$5-$A14&gt;=0,AL$5-$A14&lt;=19),INDEX(HU_ord,AL$5-$A14+1)*$B14,0)</f>
        <v>0.0</v>
      </c>
      <c r="AM14" s="14">
        <f>IF(AND(AM$5-$A14&gt;=0,AM$5-$A14&lt;=19),INDEX(HU_ord,AM$5-$A14+1)*$B14,0)</f>
        <v>0.0</v>
      </c>
      <c r="AN14" s="14">
        <f>IF(AND(AN$5-$A14&gt;=0,AN$5-$A14&lt;=19),INDEX(HU_ord,AN$5-$A14+1)*$B14,0)</f>
        <v>0.0</v>
      </c>
      <c r="AO14" s="14">
        <f>IF(AND(AO$5-$A14&gt;=0,AO$5-$A14&lt;=19),INDEX(HU_ord,AO$5-$A14+1)*$B14,0)</f>
        <v>0.0</v>
      </c>
      <c r="AP14" s="14">
        <f>IF(AND(AP$5-$A14&gt;=0,AP$5-$A14&lt;=19),INDEX(HU_ord,AP$5-$A14+1)*$B14,0)</f>
        <v>0.0</v>
      </c>
      <c r="AQ14" s="14">
        <f>IF(AND(AQ$5-$A14&gt;=0,AQ$5-$A14&lt;=19),INDEX(HU_ord,AQ$5-$A14+1)*$B14,0)</f>
        <v>0.0</v>
      </c>
      <c r="AR14" s="14">
        <f>IF(AND(AR$5-$A14&gt;=0,AR$5-$A14&lt;=19),INDEX(HU_ord,AR$5-$A14+1)*$B14,0)</f>
        <v>0.0</v>
      </c>
      <c r="AS14" s="14">
        <f>IF(AND(AS$5-$A14&gt;=0,AS$5-$A14&lt;=19),INDEX(HU_ord,AS$5-$A14+1)*$B14,0)</f>
        <v>0.0</v>
      </c>
      <c r="AT14" s="14">
        <f>IF(AND(AT$5-$A14&gt;=0,AT$5-$A14&lt;=19),INDEX(HU_ord,AT$5-$A14+1)*$B14,0)</f>
        <v>0.0</v>
      </c>
      <c r="AU14" s="14">
        <f>IF(AND(AU$5-$A14&gt;=0,AU$5-$A14&lt;=19),INDEX(HU_ord,AU$5-$A14+1)*$B14,0)</f>
        <v>0.0</v>
      </c>
      <c r="AV14" s="14">
        <f>IF(AND(AV$5-$A14&gt;=0,AV$5-$A14&lt;=19),INDEX(HU_ord,AV$5-$A14+1)*$B14,0)</f>
        <v>0.0</v>
      </c>
      <c r="AW14" s="14">
        <f>IF(AND(AW$5-$A14&gt;=0,AW$5-$A14&lt;=19),INDEX(HU_ord,AW$5-$A14+1)*$B14,0)</f>
        <v>0.0</v>
      </c>
      <c r="AX14" s="14">
        <f>IF(AND(AX$5-$A14&gt;=0,AX$5-$A14&lt;=19),INDEX(HU_ord,AX$5-$A14+1)*$B14,0)</f>
        <v>0.0</v>
      </c>
      <c r="AY14" s="14">
        <f>IF(AND(AY$5-$A14&gt;=0,AY$5-$A14&lt;=19),INDEX(HU_ord,AY$5-$A14+1)*$B14,0)</f>
        <v>0.0</v>
      </c>
      <c r="AZ14" s="14">
        <f>IF(AND(AZ$5-$A14&gt;=0,AZ$5-$A14&lt;=19),INDEX(HU_ord,AZ$5-$A14+1)*$B14,0)</f>
        <v>0.0</v>
      </c>
      <c r="BA14" s="14">
        <f>IF(AND(BA$5-$A14&gt;=0,BA$5-$A14&lt;=19),INDEX(HU_ord,BA$5-$A14+1)*$B14,0)</f>
        <v>0.0</v>
      </c>
      <c r="BB14" s="14">
        <f>IF(AND(BB$5-$A14&gt;=0,BB$5-$A14&lt;=19),INDEX(HU_ord,BB$5-$A14+1)*$B14,0)</f>
        <v>0.0</v>
      </c>
      <c r="BC14" s="14">
        <f>IF(AND(BC$5-$A14&gt;=0,BC$5-$A14&lt;=19),INDEX(HU_ord,BC$5-$A14+1)*$B14,0)</f>
        <v>0.0</v>
      </c>
      <c r="BD14" s="14">
        <f>IF(AND(BD$5-$A14&gt;=0,BD$5-$A14&lt;=19),INDEX(HU_ord,BD$5-$A14+1)*$B14,0)</f>
        <v>0.0</v>
      </c>
      <c r="BE14" s="14">
        <f>IF(AND(BE$5-$A14&gt;=0,BE$5-$A14&lt;=19),INDEX(HU_ord,BE$5-$A14+1)*$B14,0)</f>
        <v>0.0</v>
      </c>
      <c r="BF14" s="14">
        <f>IF(AND(BF$5-$A14&gt;=0,BF$5-$A14&lt;=19),INDEX(HU_ord,BF$5-$A14+1)*$B14,0)</f>
        <v>0.0</v>
      </c>
      <c r="BG14" s="14">
        <f>IF(AND(BG$5-$A14&gt;=0,BG$5-$A14&lt;=19),INDEX(HU_ord,BG$5-$A14+1)*$B14,0)</f>
        <v>0.0</v>
      </c>
      <c r="BH14" s="14">
        <f>IF(AND(BH$5-$A14&gt;=0,BH$5-$A14&lt;=19),INDEX(HU_ord,BH$5-$A14+1)*$B14,0)</f>
        <v>0.0</v>
      </c>
      <c r="BI14" s="14">
        <f>IF(AND(BI$5-$A14&gt;=0,BI$5-$A14&lt;=19),INDEX(HU_ord,BI$5-$A14+1)*$B14,0)</f>
        <v>0.0</v>
      </c>
      <c r="BJ14" s="14">
        <f>IF(AND(BJ$5-$A14&gt;=0,BJ$5-$A14&lt;=19),INDEX(HU_ord,BJ$5-$A14+1)*$B14,0)</f>
        <v>0.0</v>
      </c>
      <c r="BK14" s="14">
        <f>IF(AND(BK$5-$A14&gt;=0,BK$5-$A14&lt;=19),INDEX(HU_ord,BK$5-$A14+1)*$B14,0)</f>
        <v>0.0</v>
      </c>
      <c r="BL14" s="14">
        <f>IF(AND(BL$5-$A14&gt;=0,BL$5-$A14&lt;=19),INDEX(HU_ord,BL$5-$A14+1)*$B14,0)</f>
        <v>0.0</v>
      </c>
      <c r="BM14" s="14">
        <f>IF(AND(BM$5-$A14&gt;=0,BM$5-$A14&lt;=19),INDEX(HU_ord,BM$5-$A14+1)*$B14,0)</f>
        <v>0.0</v>
      </c>
      <c r="BN14" s="14">
        <f>IF(AND(BN$5-$A14&gt;=0,BN$5-$A14&lt;=19),INDEX(HU_ord,BN$5-$A14+1)*$B14,0)</f>
        <v>0.0</v>
      </c>
      <c r="BO14" s="14">
        <f>IF(AND(BO$5-$A14&gt;=0,BO$5-$A14&lt;=19),INDEX(HU_ord,BO$5-$A14+1)*$B14,0)</f>
        <v>0.0</v>
      </c>
      <c r="BP14" s="14">
        <f>IF(AND(BP$5-$A14&gt;=0,BP$5-$A14&lt;=19),INDEX(HU_ord,BP$5-$A14+1)*$B14,0)</f>
        <v>0.0</v>
      </c>
      <c r="BQ14" s="14">
        <f>IF(AND(BQ$5-$A14&gt;=0,BQ$5-$A14&lt;=19),INDEX(HU_ord,BQ$5-$A14+1)*$B14,0)</f>
        <v>0.0</v>
      </c>
      <c r="BR14" s="14">
        <f>IF(AND(BR$5-$A14&gt;=0,BR$5-$A14&lt;=19),INDEX(HU_ord,BR$5-$A14+1)*$B14,0)</f>
        <v>0.0</v>
      </c>
      <c r="BS14" s="14">
        <f>IF(AND(BS$5-$A14&gt;=0,BS$5-$A14&lt;=19),INDEX(HU_ord,BS$5-$A14+1)*$B14,0)</f>
        <v>0.0</v>
      </c>
      <c r="BT14" s="14">
        <f>IF(AND(BT$5-$A14&gt;=0,BT$5-$A14&lt;=19),INDEX(HU_ord,BT$5-$A14+1)*$B14,0)</f>
        <v>0.0</v>
      </c>
      <c r="BU14" s="14">
        <f>IF(AND(BU$5-$A14&gt;=0,BU$5-$A14&lt;=19),INDEX(HU_ord,BU$5-$A14+1)*$B14,0)</f>
        <v>0.0</v>
      </c>
      <c r="BV14" s="14">
        <f>IF(AND(BV$5-$A14&gt;=0,BV$5-$A14&lt;=19),INDEX(HU_ord,BV$5-$A14+1)*$B14,0)</f>
        <v>0.0</v>
      </c>
      <c r="BW14" s="14">
        <f>IF(AND(BW$5-$A14&gt;=0,BW$5-$A14&lt;=19),INDEX(HU_ord,BW$5-$A14+1)*$B14,0)</f>
        <v>0.0</v>
      </c>
      <c r="BX14" s="14">
        <f>IF(AND(BX$5-$A14&gt;=0,BX$5-$A14&lt;=19),INDEX(HU_ord,BX$5-$A14+1)*$B14,0)</f>
        <v>0.0</v>
      </c>
      <c r="BY14" s="14">
        <f>IF(AND(BY$5-$A14&gt;=0,BY$5-$A14&lt;=19),INDEX(HU_ord,BY$5-$A14+1)*$B14,0)</f>
        <v>0.0</v>
      </c>
      <c r="BZ14" s="14">
        <f>IF(AND(BZ$5-$A14&gt;=0,BZ$5-$A14&lt;=19),INDEX(HU_ord,BZ$5-$A14+1)*$B14,0)</f>
        <v>0.0</v>
      </c>
      <c r="CA14" s="14">
        <f>IF(AND(CA$5-$A14&gt;=0,CA$5-$A14&lt;=19),INDEX(HU_ord,CA$5-$A14+1)*$B14,0)</f>
        <v>0.0</v>
      </c>
      <c r="CB14" s="14">
        <f>IF(AND(CB$5-$A14&gt;=0,CB$5-$A14&lt;=19),INDEX(HU_ord,CB$5-$A14+1)*$B14,0)</f>
        <v>0.0</v>
      </c>
      <c r="CC14" s="14">
        <f>IF(AND(CC$5-$A14&gt;=0,CC$5-$A14&lt;=19),INDEX(HU_ord,CC$5-$A14+1)*$B14,0)</f>
        <v>0.0</v>
      </c>
      <c r="CD14" s="14">
        <f>IF(AND(CD$5-$A14&gt;=0,CD$5-$A14&lt;=19),INDEX(HU_ord,CD$5-$A14+1)*$B14,0)</f>
        <v>0.0</v>
      </c>
      <c r="CE14" s="14">
        <f>IF(AND(CE$5-$A14&gt;=0,CE$5-$A14&lt;=19),INDEX(HU_ord,CE$5-$A14+1)*$B14,0)</f>
        <v>0.0</v>
      </c>
      <c r="CF14" s="14">
        <f>IF(AND(CF$5-$A14&gt;=0,CF$5-$A14&lt;=19),INDEX(HU_ord,CF$5-$A14+1)*$B14,0)</f>
        <v>0.0</v>
      </c>
      <c r="CG14" s="14">
        <f>IF(AND(CG$5-$A14&gt;=0,CG$5-$A14&lt;=19),INDEX(HU_ord,CG$5-$A14+1)*$B14,0)</f>
        <v>0.0</v>
      </c>
      <c r="CH14" s="14">
        <f>IF(AND(CH$5-$A14&gt;=0,CH$5-$A14&lt;=19),INDEX(HU_ord,CH$5-$A14+1)*$B14,0)</f>
        <v>0.0</v>
      </c>
      <c r="CI14" s="14">
        <f>IF(AND(CI$5-$A14&gt;=0,CI$5-$A14&lt;=19),INDEX(HU_ord,CI$5-$A14+1)*$B14,0)</f>
        <v>0.0</v>
      </c>
      <c r="CJ14" s="14">
        <f>IF(AND(CJ$5-$A14&gt;=0,CJ$5-$A14&lt;=19),INDEX(HU_ord,CJ$5-$A14+1)*$B14,0)</f>
        <v>0.0</v>
      </c>
      <c r="CK14" s="14">
        <f>IF(AND(CK$5-$A14&gt;=0,CK$5-$A14&lt;=19),INDEX(HU_ord,CK$5-$A14+1)*$B14,0)</f>
        <v>0.0</v>
      </c>
      <c r="CL14" s="14">
        <f>IF(AND(CL$5-$A14&gt;=0,CL$5-$A14&lt;=19),INDEX(HU_ord,CL$5-$A14+1)*$B14,0)</f>
        <v>0.0</v>
      </c>
      <c r="CM14" s="14">
        <f>IF(AND(CM$5-$A14&gt;=0,CM$5-$A14&lt;=19),INDEX(HU_ord,CM$5-$A14+1)*$B14,0)</f>
        <v>0.0</v>
      </c>
      <c r="CN14" s="14">
        <f>IF(AND(CN$5-$A14&gt;=0,CN$5-$A14&lt;=19),INDEX(HU_ord,CN$5-$A14+1)*$B14,0)</f>
        <v>0.0</v>
      </c>
      <c r="CO14" s="14">
        <f>IF(AND(CO$5-$A14&gt;=0,CO$5-$A14&lt;=19),INDEX(HU_ord,CO$5-$A14+1)*$B14,0)</f>
        <v>0.0</v>
      </c>
      <c r="CP14" s="14">
        <f>IF(AND(CP$5-$A14&gt;=0,CP$5-$A14&lt;=19),INDEX(HU_ord,CP$5-$A14+1)*$B14,0)</f>
        <v>0.0</v>
      </c>
      <c r="CQ14" s="14">
        <f>IF(AND(CQ$5-$A14&gt;=0,CQ$5-$A14&lt;=19),INDEX(HU_ord,CQ$5-$A14+1)*$B14,0)</f>
        <v>0.0</v>
      </c>
      <c r="CR14" s="14">
        <f>IF(AND(CR$5-$A14&gt;=0,CR$5-$A14&lt;=19),INDEX(HU_ord,CR$5-$A14+1)*$B14,0)</f>
        <v>0.0</v>
      </c>
      <c r="CS14" s="14">
        <f>IF(AND(CS$5-$A14&gt;=0,CS$5-$A14&lt;=19),INDEX(HU_ord,CS$5-$A14+1)*$B14,0)</f>
        <v>0.0</v>
      </c>
      <c r="CT14" s="14">
        <f>IF(AND(CT$5-$A14&gt;=0,CT$5-$A14&lt;=19),INDEX(HU_ord,CT$5-$A14+1)*$B14,0)</f>
        <v>0.0</v>
      </c>
      <c r="CU14" s="14">
        <f>IF(AND(CU$5-$A14&gt;=0,CU$5-$A14&lt;=19),INDEX(HU_ord,CU$5-$A14+1)*$B14,0)</f>
        <v>0.0</v>
      </c>
      <c r="CV14" s="14">
        <f>IF(AND(CV$5-$A14&gt;=0,CV$5-$A14&lt;=19),INDEX(HU_ord,CV$5-$A14+1)*$B14,0)</f>
        <v>0.0</v>
      </c>
      <c r="CW14" s="14">
        <f>IF(AND(CW$5-$A14&gt;=0,CW$5-$A14&lt;=19),INDEX(HU_ord,CW$5-$A14+1)*$B14,0)</f>
        <v>0.0</v>
      </c>
      <c r="CX14" s="14">
        <f>IF(AND(CX$5-$A14&gt;=0,CX$5-$A14&lt;=19),INDEX(HU_ord,CX$5-$A14+1)*$B14,0)</f>
        <v>0.0</v>
      </c>
      <c r="CY14" s="14">
        <f>IF(AND(CY$5-$A14&gt;=0,CY$5-$A14&lt;=19),INDEX(HU_ord,CY$5-$A14+1)*$B14,0)</f>
        <v>0.0</v>
      </c>
      <c r="CZ14" s="14">
        <f>IF(AND(CZ$5-$A14&gt;=0,CZ$5-$A14&lt;=19),INDEX(HU_ord,CZ$5-$A14+1)*$B14,0)</f>
        <v>0.0</v>
      </c>
      <c r="DA14" s="14">
        <f>IF(AND(DA$5-$A14&gt;=0,DA$5-$A14&lt;=19),INDEX(HU_ord,DA$5-$A14+1)*$B14,0)</f>
        <v>0.0</v>
      </c>
      <c r="DB14" s="14">
        <f>IF(AND(DB$5-$A14&gt;=0,DB$5-$A14&lt;=19),INDEX(HU_ord,DB$5-$A14+1)*$B14,0)</f>
        <v>0.0</v>
      </c>
      <c r="DC14" s="14">
        <f>IF(AND(DC$5-$A14&gt;=0,DC$5-$A14&lt;=19),INDEX(HU_ord,DC$5-$A14+1)*$B14,0)</f>
        <v>0.0</v>
      </c>
      <c r="DD14" s="14">
        <f>IF(AND(DD$5-$A14&gt;=0,DD$5-$A14&lt;=19),INDEX(HU_ord,DD$5-$A14+1)*$B14,0)</f>
        <v>0.0</v>
      </c>
      <c r="DE14" s="14">
        <f>IF(AND(DE$5-$A14&gt;=0,DE$5-$A14&lt;=19),INDEX(HU_ord,DE$5-$A14+1)*$B14,0)</f>
        <v>0.0</v>
      </c>
      <c r="DF14" s="14">
        <f>IF(AND(DF$5-$A14&gt;=0,DF$5-$A14&lt;=19),INDEX(HU_ord,DF$5-$A14+1)*$B14,0)</f>
        <v>0.0</v>
      </c>
      <c r="DG14" s="14">
        <f>IF(AND(DG$5-$A14&gt;=0,DG$5-$A14&lt;=19),INDEX(HU_ord,DG$5-$A14+1)*$B14,0)</f>
        <v>0.0</v>
      </c>
      <c r="DH14" s="14">
        <f>IF(AND(DH$5-$A14&gt;=0,DH$5-$A14&lt;=19),INDEX(HU_ord,DH$5-$A14+1)*$B14,0)</f>
        <v>0.0</v>
      </c>
      <c r="DI14" s="14">
        <f>IF(AND(DI$5-$A14&gt;=0,DI$5-$A14&lt;=19),INDEX(HU_ord,DI$5-$A14+1)*$B14,0)</f>
        <v>0.0</v>
      </c>
    </row>
    <row r="15" spans="1:113">
      <c r="A15">
        <v>9</v>
      </c>
      <c r="B15" s="10">
        <f>Serie_horaria!N11</f>
        <v>0.05420300122925279</v>
      </c>
      <c r="C15" s="14">
        <f>IF(AND(C$5-$A15&gt;=0,C$5-$A15&lt;=19),INDEX(HU_ord,C$5-$A15+1)*$B15,0)</f>
        <v>0.0</v>
      </c>
      <c r="D15" s="14">
        <f>IF(AND(D$5-$A15&gt;=0,D$5-$A15&lt;=19),INDEX(HU_ord,D$5-$A15+1)*$B15,0)</f>
        <v>0.0</v>
      </c>
      <c r="E15" s="14">
        <f>IF(AND(E$5-$A15&gt;=0,E$5-$A15&lt;=19),INDEX(HU_ord,E$5-$A15+1)*$B15,0)</f>
        <v>0.0</v>
      </c>
      <c r="F15" s="14">
        <f>IF(AND(F$5-$A15&gt;=0,F$5-$A15&lt;=19),INDEX(HU_ord,F$5-$A15+1)*$B15,0)</f>
        <v>0.0</v>
      </c>
      <c r="G15" s="14">
        <f>IF(AND(G$5-$A15&gt;=0,G$5-$A15&lt;=19),INDEX(HU_ord,G$5-$A15+1)*$B15,0)</f>
        <v>0.0</v>
      </c>
      <c r="H15" s="14">
        <f>IF(AND(H$5-$A15&gt;=0,H$5-$A15&lt;=19),INDEX(HU_ord,H$5-$A15+1)*$B15,0)</f>
        <v>0.0</v>
      </c>
      <c r="I15" s="14">
        <f>IF(AND(I$5-$A15&gt;=0,I$5-$A15&lt;=19),INDEX(HU_ord,I$5-$A15+1)*$B15,0)</f>
        <v>0.0</v>
      </c>
      <c r="J15" s="14">
        <f>IF(AND(J$5-$A15&gt;=0,J$5-$A15&lt;=19),INDEX(HU_ord,J$5-$A15+1)*$B15,0)</f>
        <v>0.0</v>
      </c>
      <c r="K15" s="14">
        <f>IF(AND(K$5-$A15&gt;=0,K$5-$A15&lt;=19),INDEX(HU_ord,K$5-$A15+1)*$B15,0)</f>
        <v>0.0</v>
      </c>
      <c r="L15" s="14">
        <f>IF(AND(L$5-$A15&gt;=0,L$5-$A15&lt;=19),INDEX(HU_ord,L$5-$A15+1)*$B15,0)</f>
        <v>0.0</v>
      </c>
      <c r="M15" s="14">
        <f>IF(AND(M$5-$A15&gt;=0,M$5-$A15&lt;=19),INDEX(HU_ord,M$5-$A15+1)*$B15,0)</f>
        <v>0.17616356203351632</v>
      </c>
      <c r="N15" s="14">
        <f>IF(AND(N$5-$A15&gt;=0,N$5-$A15&lt;=19),INDEX(HU_ord,N$5-$A15+1)*$B15,0)</f>
        <v>0.35232712406703265</v>
      </c>
      <c r="O15" s="14">
        <f>IF(AND(O$5-$A15&gt;=0,O$5-$A15&lt;=19),INDEX(HU_ord,O$5-$A15+1)*$B15,0)</f>
        <v>0.528490686100549</v>
      </c>
      <c r="P15" s="14">
        <f>IF(AND(P$5-$A15&gt;=0,P$5-$A15&lt;=19),INDEX(HU_ord,P$5-$A15+1)*$B15,0)</f>
        <v>0.7046542481340653</v>
      </c>
      <c r="Q15" s="14">
        <f>IF(AND(Q$5-$A15&gt;=0,Q$5-$A15&lt;=19),INDEX(HU_ord,Q$5-$A15+1)*$B15,0)</f>
        <v>0.8808178101675816</v>
      </c>
      <c r="R15" s="14">
        <f>IF(AND(R$5-$A15&gt;=0,R$5-$A15&lt;=19),INDEX(HU_ord,R$5-$A15+1)*$B15,0)</f>
        <v>1.056981372201098</v>
      </c>
      <c r="S15" s="14">
        <f>IF(AND(S$5-$A15&gt;=0,S$5-$A15&lt;=19),INDEX(HU_ord,S$5-$A15+1)*$B15,0)</f>
        <v>1.2025013353624654</v>
      </c>
      <c r="T15" s="14">
        <f>IF(AND(T$5-$A15&gt;=0,T$5-$A15&lt;=19),INDEX(HU_ord,T$5-$A15+1)*$B15,0)</f>
        <v>1.0970141724681444</v>
      </c>
      <c r="U15" s="14">
        <f>IF(AND(U$5-$A15&gt;=0,U$5-$A15&lt;=19),INDEX(HU_ord,U$5-$A15+1)*$B15,0)</f>
        <v>0.9915270095738231</v>
      </c>
      <c r="V15" s="14">
        <f>IF(AND(V$5-$A15&gt;=0,V$5-$A15&lt;=19),INDEX(HU_ord,V$5-$A15+1)*$B15,0)</f>
        <v>0.8860398466795019</v>
      </c>
      <c r="W15" s="14">
        <f>IF(AND(W$5-$A15&gt;=0,W$5-$A15&lt;=19),INDEX(HU_ord,W$5-$A15+1)*$B15,0)</f>
        <v>0.7805526837851806</v>
      </c>
      <c r="X15" s="14">
        <f>IF(AND(X$5-$A15&gt;=0,X$5-$A15&lt;=19),INDEX(HU_ord,X$5-$A15+1)*$B15,0)</f>
        <v>0.6750655208908596</v>
      </c>
      <c r="Y15" s="14">
        <f>IF(AND(Y$5-$A15&gt;=0,Y$5-$A15&lt;=19),INDEX(HU_ord,Y$5-$A15+1)*$B15,0)</f>
        <v>0.5695783579965384</v>
      </c>
      <c r="Z15" s="14">
        <f>IF(AND(Z$5-$A15&gt;=0,Z$5-$A15&lt;=19),INDEX(HU_ord,Z$5-$A15+1)*$B15,0)</f>
        <v>0.4640911951022173</v>
      </c>
      <c r="AA15" s="14">
        <f>IF(AND(AA$5-$A15&gt;=0,AA$5-$A15&lt;=19),INDEX(HU_ord,AA$5-$A15+1)*$B15,0)</f>
        <v>0.3586040322078961</v>
      </c>
      <c r="AB15" s="14">
        <f>IF(AND(AB$5-$A15&gt;=0,AB$5-$A15&lt;=19),INDEX(HU_ord,AB$5-$A15+1)*$B15,0)</f>
        <v>0.25311686931357485</v>
      </c>
      <c r="AC15" s="14">
        <f>IF(AND(AC$5-$A15&gt;=0,AC$5-$A15&lt;=19),INDEX(HU_ord,AC$5-$A15+1)*$B15,0)</f>
        <v>0.1476297064192537</v>
      </c>
      <c r="AD15" s="14">
        <f>IF(AND(AD$5-$A15&gt;=0,AD$5-$A15&lt;=19),INDEX(HU_ord,AD$5-$A15+1)*$B15,0)</f>
        <v>0.04214254352493254</v>
      </c>
      <c r="AE15" s="14">
        <f>IF(AND(AE$5-$A15&gt;=0,AE$5-$A15&lt;=19),INDEX(HU_ord,AE$5-$A15+1)*$B15,0)</f>
        <v>0.0</v>
      </c>
      <c r="AF15" s="14">
        <f>IF(AND(AF$5-$A15&gt;=0,AF$5-$A15&lt;=19),INDEX(HU_ord,AF$5-$A15+1)*$B15,0)</f>
        <v>0.0</v>
      </c>
      <c r="AG15" s="14">
        <f>IF(AND(AG$5-$A15&gt;=0,AG$5-$A15&lt;=19),INDEX(HU_ord,AG$5-$A15+1)*$B15,0)</f>
        <v>0.0</v>
      </c>
      <c r="AH15" s="14">
        <f>IF(AND(AH$5-$A15&gt;=0,AH$5-$A15&lt;=19),INDEX(HU_ord,AH$5-$A15+1)*$B15,0)</f>
        <v>0.0</v>
      </c>
      <c r="AI15" s="14">
        <f>IF(AND(AI$5-$A15&gt;=0,AI$5-$A15&lt;=19),INDEX(HU_ord,AI$5-$A15+1)*$B15,0)</f>
        <v>0.0</v>
      </c>
      <c r="AJ15" s="14">
        <f>IF(AND(AJ$5-$A15&gt;=0,AJ$5-$A15&lt;=19),INDEX(HU_ord,AJ$5-$A15+1)*$B15,0)</f>
        <v>0.0</v>
      </c>
      <c r="AK15" s="14">
        <f>IF(AND(AK$5-$A15&gt;=0,AK$5-$A15&lt;=19),INDEX(HU_ord,AK$5-$A15+1)*$B15,0)</f>
        <v>0.0</v>
      </c>
      <c r="AL15" s="14">
        <f>IF(AND(AL$5-$A15&gt;=0,AL$5-$A15&lt;=19),INDEX(HU_ord,AL$5-$A15+1)*$B15,0)</f>
        <v>0.0</v>
      </c>
      <c r="AM15" s="14">
        <f>IF(AND(AM$5-$A15&gt;=0,AM$5-$A15&lt;=19),INDEX(HU_ord,AM$5-$A15+1)*$B15,0)</f>
        <v>0.0</v>
      </c>
      <c r="AN15" s="14">
        <f>IF(AND(AN$5-$A15&gt;=0,AN$5-$A15&lt;=19),INDEX(HU_ord,AN$5-$A15+1)*$B15,0)</f>
        <v>0.0</v>
      </c>
      <c r="AO15" s="14">
        <f>IF(AND(AO$5-$A15&gt;=0,AO$5-$A15&lt;=19),INDEX(HU_ord,AO$5-$A15+1)*$B15,0)</f>
        <v>0.0</v>
      </c>
      <c r="AP15" s="14">
        <f>IF(AND(AP$5-$A15&gt;=0,AP$5-$A15&lt;=19),INDEX(HU_ord,AP$5-$A15+1)*$B15,0)</f>
        <v>0.0</v>
      </c>
      <c r="AQ15" s="14">
        <f>IF(AND(AQ$5-$A15&gt;=0,AQ$5-$A15&lt;=19),INDEX(HU_ord,AQ$5-$A15+1)*$B15,0)</f>
        <v>0.0</v>
      </c>
      <c r="AR15" s="14">
        <f>IF(AND(AR$5-$A15&gt;=0,AR$5-$A15&lt;=19),INDEX(HU_ord,AR$5-$A15+1)*$B15,0)</f>
        <v>0.0</v>
      </c>
      <c r="AS15" s="14">
        <f>IF(AND(AS$5-$A15&gt;=0,AS$5-$A15&lt;=19),INDEX(HU_ord,AS$5-$A15+1)*$B15,0)</f>
        <v>0.0</v>
      </c>
      <c r="AT15" s="14">
        <f>IF(AND(AT$5-$A15&gt;=0,AT$5-$A15&lt;=19),INDEX(HU_ord,AT$5-$A15+1)*$B15,0)</f>
        <v>0.0</v>
      </c>
      <c r="AU15" s="14">
        <f>IF(AND(AU$5-$A15&gt;=0,AU$5-$A15&lt;=19),INDEX(HU_ord,AU$5-$A15+1)*$B15,0)</f>
        <v>0.0</v>
      </c>
      <c r="AV15" s="14">
        <f>IF(AND(AV$5-$A15&gt;=0,AV$5-$A15&lt;=19),INDEX(HU_ord,AV$5-$A15+1)*$B15,0)</f>
        <v>0.0</v>
      </c>
      <c r="AW15" s="14">
        <f>IF(AND(AW$5-$A15&gt;=0,AW$5-$A15&lt;=19),INDEX(HU_ord,AW$5-$A15+1)*$B15,0)</f>
        <v>0.0</v>
      </c>
      <c r="AX15" s="14">
        <f>IF(AND(AX$5-$A15&gt;=0,AX$5-$A15&lt;=19),INDEX(HU_ord,AX$5-$A15+1)*$B15,0)</f>
        <v>0.0</v>
      </c>
      <c r="AY15" s="14">
        <f>IF(AND(AY$5-$A15&gt;=0,AY$5-$A15&lt;=19),INDEX(HU_ord,AY$5-$A15+1)*$B15,0)</f>
        <v>0.0</v>
      </c>
      <c r="AZ15" s="14">
        <f>IF(AND(AZ$5-$A15&gt;=0,AZ$5-$A15&lt;=19),INDEX(HU_ord,AZ$5-$A15+1)*$B15,0)</f>
        <v>0.0</v>
      </c>
      <c r="BA15" s="14">
        <f>IF(AND(BA$5-$A15&gt;=0,BA$5-$A15&lt;=19),INDEX(HU_ord,BA$5-$A15+1)*$B15,0)</f>
        <v>0.0</v>
      </c>
      <c r="BB15" s="14">
        <f>IF(AND(BB$5-$A15&gt;=0,BB$5-$A15&lt;=19),INDEX(HU_ord,BB$5-$A15+1)*$B15,0)</f>
        <v>0.0</v>
      </c>
      <c r="BC15" s="14">
        <f>IF(AND(BC$5-$A15&gt;=0,BC$5-$A15&lt;=19),INDEX(HU_ord,BC$5-$A15+1)*$B15,0)</f>
        <v>0.0</v>
      </c>
      <c r="BD15" s="14">
        <f>IF(AND(BD$5-$A15&gt;=0,BD$5-$A15&lt;=19),INDEX(HU_ord,BD$5-$A15+1)*$B15,0)</f>
        <v>0.0</v>
      </c>
      <c r="BE15" s="14">
        <f>IF(AND(BE$5-$A15&gt;=0,BE$5-$A15&lt;=19),INDEX(HU_ord,BE$5-$A15+1)*$B15,0)</f>
        <v>0.0</v>
      </c>
      <c r="BF15" s="14">
        <f>IF(AND(BF$5-$A15&gt;=0,BF$5-$A15&lt;=19),INDEX(HU_ord,BF$5-$A15+1)*$B15,0)</f>
        <v>0.0</v>
      </c>
      <c r="BG15" s="14">
        <f>IF(AND(BG$5-$A15&gt;=0,BG$5-$A15&lt;=19),INDEX(HU_ord,BG$5-$A15+1)*$B15,0)</f>
        <v>0.0</v>
      </c>
      <c r="BH15" s="14">
        <f>IF(AND(BH$5-$A15&gt;=0,BH$5-$A15&lt;=19),INDEX(HU_ord,BH$5-$A15+1)*$B15,0)</f>
        <v>0.0</v>
      </c>
      <c r="BI15" s="14">
        <f>IF(AND(BI$5-$A15&gt;=0,BI$5-$A15&lt;=19),INDEX(HU_ord,BI$5-$A15+1)*$B15,0)</f>
        <v>0.0</v>
      </c>
      <c r="BJ15" s="14">
        <f>IF(AND(BJ$5-$A15&gt;=0,BJ$5-$A15&lt;=19),INDEX(HU_ord,BJ$5-$A15+1)*$B15,0)</f>
        <v>0.0</v>
      </c>
      <c r="BK15" s="14">
        <f>IF(AND(BK$5-$A15&gt;=0,BK$5-$A15&lt;=19),INDEX(HU_ord,BK$5-$A15+1)*$B15,0)</f>
        <v>0.0</v>
      </c>
      <c r="BL15" s="14">
        <f>IF(AND(BL$5-$A15&gt;=0,BL$5-$A15&lt;=19),INDEX(HU_ord,BL$5-$A15+1)*$B15,0)</f>
        <v>0.0</v>
      </c>
      <c r="BM15" s="14">
        <f>IF(AND(BM$5-$A15&gt;=0,BM$5-$A15&lt;=19),INDEX(HU_ord,BM$5-$A15+1)*$B15,0)</f>
        <v>0.0</v>
      </c>
      <c r="BN15" s="14">
        <f>IF(AND(BN$5-$A15&gt;=0,BN$5-$A15&lt;=19),INDEX(HU_ord,BN$5-$A15+1)*$B15,0)</f>
        <v>0.0</v>
      </c>
      <c r="BO15" s="14">
        <f>IF(AND(BO$5-$A15&gt;=0,BO$5-$A15&lt;=19),INDEX(HU_ord,BO$5-$A15+1)*$B15,0)</f>
        <v>0.0</v>
      </c>
      <c r="BP15" s="14">
        <f>IF(AND(BP$5-$A15&gt;=0,BP$5-$A15&lt;=19),INDEX(HU_ord,BP$5-$A15+1)*$B15,0)</f>
        <v>0.0</v>
      </c>
      <c r="BQ15" s="14">
        <f>IF(AND(BQ$5-$A15&gt;=0,BQ$5-$A15&lt;=19),INDEX(HU_ord,BQ$5-$A15+1)*$B15,0)</f>
        <v>0.0</v>
      </c>
      <c r="BR15" s="14">
        <f>IF(AND(BR$5-$A15&gt;=0,BR$5-$A15&lt;=19),INDEX(HU_ord,BR$5-$A15+1)*$B15,0)</f>
        <v>0.0</v>
      </c>
      <c r="BS15" s="14">
        <f>IF(AND(BS$5-$A15&gt;=0,BS$5-$A15&lt;=19),INDEX(HU_ord,BS$5-$A15+1)*$B15,0)</f>
        <v>0.0</v>
      </c>
      <c r="BT15" s="14">
        <f>IF(AND(BT$5-$A15&gt;=0,BT$5-$A15&lt;=19),INDEX(HU_ord,BT$5-$A15+1)*$B15,0)</f>
        <v>0.0</v>
      </c>
      <c r="BU15" s="14">
        <f>IF(AND(BU$5-$A15&gt;=0,BU$5-$A15&lt;=19),INDEX(HU_ord,BU$5-$A15+1)*$B15,0)</f>
        <v>0.0</v>
      </c>
      <c r="BV15" s="14">
        <f>IF(AND(BV$5-$A15&gt;=0,BV$5-$A15&lt;=19),INDEX(HU_ord,BV$5-$A15+1)*$B15,0)</f>
        <v>0.0</v>
      </c>
      <c r="BW15" s="14">
        <f>IF(AND(BW$5-$A15&gt;=0,BW$5-$A15&lt;=19),INDEX(HU_ord,BW$5-$A15+1)*$B15,0)</f>
        <v>0.0</v>
      </c>
      <c r="BX15" s="14">
        <f>IF(AND(BX$5-$A15&gt;=0,BX$5-$A15&lt;=19),INDEX(HU_ord,BX$5-$A15+1)*$B15,0)</f>
        <v>0.0</v>
      </c>
      <c r="BY15" s="14">
        <f>IF(AND(BY$5-$A15&gt;=0,BY$5-$A15&lt;=19),INDEX(HU_ord,BY$5-$A15+1)*$B15,0)</f>
        <v>0.0</v>
      </c>
      <c r="BZ15" s="14">
        <f>IF(AND(BZ$5-$A15&gt;=0,BZ$5-$A15&lt;=19),INDEX(HU_ord,BZ$5-$A15+1)*$B15,0)</f>
        <v>0.0</v>
      </c>
      <c r="CA15" s="14">
        <f>IF(AND(CA$5-$A15&gt;=0,CA$5-$A15&lt;=19),INDEX(HU_ord,CA$5-$A15+1)*$B15,0)</f>
        <v>0.0</v>
      </c>
      <c r="CB15" s="14">
        <f>IF(AND(CB$5-$A15&gt;=0,CB$5-$A15&lt;=19),INDEX(HU_ord,CB$5-$A15+1)*$B15,0)</f>
        <v>0.0</v>
      </c>
      <c r="CC15" s="14">
        <f>IF(AND(CC$5-$A15&gt;=0,CC$5-$A15&lt;=19),INDEX(HU_ord,CC$5-$A15+1)*$B15,0)</f>
        <v>0.0</v>
      </c>
      <c r="CD15" s="14">
        <f>IF(AND(CD$5-$A15&gt;=0,CD$5-$A15&lt;=19),INDEX(HU_ord,CD$5-$A15+1)*$B15,0)</f>
        <v>0.0</v>
      </c>
      <c r="CE15" s="14">
        <f>IF(AND(CE$5-$A15&gt;=0,CE$5-$A15&lt;=19),INDEX(HU_ord,CE$5-$A15+1)*$B15,0)</f>
        <v>0.0</v>
      </c>
      <c r="CF15" s="14">
        <f>IF(AND(CF$5-$A15&gt;=0,CF$5-$A15&lt;=19),INDEX(HU_ord,CF$5-$A15+1)*$B15,0)</f>
        <v>0.0</v>
      </c>
      <c r="CG15" s="14">
        <f>IF(AND(CG$5-$A15&gt;=0,CG$5-$A15&lt;=19),INDEX(HU_ord,CG$5-$A15+1)*$B15,0)</f>
        <v>0.0</v>
      </c>
      <c r="CH15" s="14">
        <f>IF(AND(CH$5-$A15&gt;=0,CH$5-$A15&lt;=19),INDEX(HU_ord,CH$5-$A15+1)*$B15,0)</f>
        <v>0.0</v>
      </c>
      <c r="CI15" s="14">
        <f>IF(AND(CI$5-$A15&gt;=0,CI$5-$A15&lt;=19),INDEX(HU_ord,CI$5-$A15+1)*$B15,0)</f>
        <v>0.0</v>
      </c>
      <c r="CJ15" s="14">
        <f>IF(AND(CJ$5-$A15&gt;=0,CJ$5-$A15&lt;=19),INDEX(HU_ord,CJ$5-$A15+1)*$B15,0)</f>
        <v>0.0</v>
      </c>
      <c r="CK15" s="14">
        <f>IF(AND(CK$5-$A15&gt;=0,CK$5-$A15&lt;=19),INDEX(HU_ord,CK$5-$A15+1)*$B15,0)</f>
        <v>0.0</v>
      </c>
      <c r="CL15" s="14">
        <f>IF(AND(CL$5-$A15&gt;=0,CL$5-$A15&lt;=19),INDEX(HU_ord,CL$5-$A15+1)*$B15,0)</f>
        <v>0.0</v>
      </c>
      <c r="CM15" s="14">
        <f>IF(AND(CM$5-$A15&gt;=0,CM$5-$A15&lt;=19),INDEX(HU_ord,CM$5-$A15+1)*$B15,0)</f>
        <v>0.0</v>
      </c>
      <c r="CN15" s="14">
        <f>IF(AND(CN$5-$A15&gt;=0,CN$5-$A15&lt;=19),INDEX(HU_ord,CN$5-$A15+1)*$B15,0)</f>
        <v>0.0</v>
      </c>
      <c r="CO15" s="14">
        <f>IF(AND(CO$5-$A15&gt;=0,CO$5-$A15&lt;=19),INDEX(HU_ord,CO$5-$A15+1)*$B15,0)</f>
        <v>0.0</v>
      </c>
      <c r="CP15" s="14">
        <f>IF(AND(CP$5-$A15&gt;=0,CP$5-$A15&lt;=19),INDEX(HU_ord,CP$5-$A15+1)*$B15,0)</f>
        <v>0.0</v>
      </c>
      <c r="CQ15" s="14">
        <f>IF(AND(CQ$5-$A15&gt;=0,CQ$5-$A15&lt;=19),INDEX(HU_ord,CQ$5-$A15+1)*$B15,0)</f>
        <v>0.0</v>
      </c>
      <c r="CR15" s="14">
        <f>IF(AND(CR$5-$A15&gt;=0,CR$5-$A15&lt;=19),INDEX(HU_ord,CR$5-$A15+1)*$B15,0)</f>
        <v>0.0</v>
      </c>
      <c r="CS15" s="14">
        <f>IF(AND(CS$5-$A15&gt;=0,CS$5-$A15&lt;=19),INDEX(HU_ord,CS$5-$A15+1)*$B15,0)</f>
        <v>0.0</v>
      </c>
      <c r="CT15" s="14">
        <f>IF(AND(CT$5-$A15&gt;=0,CT$5-$A15&lt;=19),INDEX(HU_ord,CT$5-$A15+1)*$B15,0)</f>
        <v>0.0</v>
      </c>
      <c r="CU15" s="14">
        <f>IF(AND(CU$5-$A15&gt;=0,CU$5-$A15&lt;=19),INDEX(HU_ord,CU$5-$A15+1)*$B15,0)</f>
        <v>0.0</v>
      </c>
      <c r="CV15" s="14">
        <f>IF(AND(CV$5-$A15&gt;=0,CV$5-$A15&lt;=19),INDEX(HU_ord,CV$5-$A15+1)*$B15,0)</f>
        <v>0.0</v>
      </c>
      <c r="CW15" s="14">
        <f>IF(AND(CW$5-$A15&gt;=0,CW$5-$A15&lt;=19),INDEX(HU_ord,CW$5-$A15+1)*$B15,0)</f>
        <v>0.0</v>
      </c>
      <c r="CX15" s="14">
        <f>IF(AND(CX$5-$A15&gt;=0,CX$5-$A15&lt;=19),INDEX(HU_ord,CX$5-$A15+1)*$B15,0)</f>
        <v>0.0</v>
      </c>
      <c r="CY15" s="14">
        <f>IF(AND(CY$5-$A15&gt;=0,CY$5-$A15&lt;=19),INDEX(HU_ord,CY$5-$A15+1)*$B15,0)</f>
        <v>0.0</v>
      </c>
      <c r="CZ15" s="14">
        <f>IF(AND(CZ$5-$A15&gt;=0,CZ$5-$A15&lt;=19),INDEX(HU_ord,CZ$5-$A15+1)*$B15,0)</f>
        <v>0.0</v>
      </c>
      <c r="DA15" s="14">
        <f>IF(AND(DA$5-$A15&gt;=0,DA$5-$A15&lt;=19),INDEX(HU_ord,DA$5-$A15+1)*$B15,0)</f>
        <v>0.0</v>
      </c>
      <c r="DB15" s="14">
        <f>IF(AND(DB$5-$A15&gt;=0,DB$5-$A15&lt;=19),INDEX(HU_ord,DB$5-$A15+1)*$B15,0)</f>
        <v>0.0</v>
      </c>
      <c r="DC15" s="14">
        <f>IF(AND(DC$5-$A15&gt;=0,DC$5-$A15&lt;=19),INDEX(HU_ord,DC$5-$A15+1)*$B15,0)</f>
        <v>0.0</v>
      </c>
      <c r="DD15" s="14">
        <f>IF(AND(DD$5-$A15&gt;=0,DD$5-$A15&lt;=19),INDEX(HU_ord,DD$5-$A15+1)*$B15,0)</f>
        <v>0.0</v>
      </c>
      <c r="DE15" s="14">
        <f>IF(AND(DE$5-$A15&gt;=0,DE$5-$A15&lt;=19),INDEX(HU_ord,DE$5-$A15+1)*$B15,0)</f>
        <v>0.0</v>
      </c>
      <c r="DF15" s="14">
        <f>IF(AND(DF$5-$A15&gt;=0,DF$5-$A15&lt;=19),INDEX(HU_ord,DF$5-$A15+1)*$B15,0)</f>
        <v>0.0</v>
      </c>
      <c r="DG15" s="14">
        <f>IF(AND(DG$5-$A15&gt;=0,DG$5-$A15&lt;=19),INDEX(HU_ord,DG$5-$A15+1)*$B15,0)</f>
        <v>0.0</v>
      </c>
      <c r="DH15" s="14">
        <f>IF(AND(DH$5-$A15&gt;=0,DH$5-$A15&lt;=19),INDEX(HU_ord,DH$5-$A15+1)*$B15,0)</f>
        <v>0.0</v>
      </c>
      <c r="DI15" s="14">
        <f>IF(AND(DI$5-$A15&gt;=0,DI$5-$A15&lt;=19),INDEX(HU_ord,DI$5-$A15+1)*$B15,0)</f>
        <v>0.0</v>
      </c>
    </row>
    <row r="16" spans="1:113">
      <c r="A16">
        <v>10</v>
      </c>
      <c r="B16" s="10">
        <f>Serie_horaria!N12</f>
        <v>0.14319224236975484</v>
      </c>
      <c r="C16" s="14">
        <f>IF(AND(C$5-$A16&gt;=0,C$5-$A16&lt;=19),INDEX(HU_ord,C$5-$A16+1)*$B16,0)</f>
        <v>0.0</v>
      </c>
      <c r="D16" s="14">
        <f>IF(AND(D$5-$A16&gt;=0,D$5-$A16&lt;=19),INDEX(HU_ord,D$5-$A16+1)*$B16,0)</f>
        <v>0.0</v>
      </c>
      <c r="E16" s="14">
        <f>IF(AND(E$5-$A16&gt;=0,E$5-$A16&lt;=19),INDEX(HU_ord,E$5-$A16+1)*$B16,0)</f>
        <v>0.0</v>
      </c>
      <c r="F16" s="14">
        <f>IF(AND(F$5-$A16&gt;=0,F$5-$A16&lt;=19),INDEX(HU_ord,F$5-$A16+1)*$B16,0)</f>
        <v>0.0</v>
      </c>
      <c r="G16" s="14">
        <f>IF(AND(G$5-$A16&gt;=0,G$5-$A16&lt;=19),INDEX(HU_ord,G$5-$A16+1)*$B16,0)</f>
        <v>0.0</v>
      </c>
      <c r="H16" s="14">
        <f>IF(AND(H$5-$A16&gt;=0,H$5-$A16&lt;=19),INDEX(HU_ord,H$5-$A16+1)*$B16,0)</f>
        <v>0.0</v>
      </c>
      <c r="I16" s="14">
        <f>IF(AND(I$5-$A16&gt;=0,I$5-$A16&lt;=19),INDEX(HU_ord,I$5-$A16+1)*$B16,0)</f>
        <v>0.0</v>
      </c>
      <c r="J16" s="14">
        <f>IF(AND(J$5-$A16&gt;=0,J$5-$A16&lt;=19),INDEX(HU_ord,J$5-$A16+1)*$B16,0)</f>
        <v>0.0</v>
      </c>
      <c r="K16" s="14">
        <f>IF(AND(K$5-$A16&gt;=0,K$5-$A16&lt;=19),INDEX(HU_ord,K$5-$A16+1)*$B16,0)</f>
        <v>0.0</v>
      </c>
      <c r="L16" s="14">
        <f>IF(AND(L$5-$A16&gt;=0,L$5-$A16&lt;=19),INDEX(HU_ord,L$5-$A16+1)*$B16,0)</f>
        <v>0.0</v>
      </c>
      <c r="M16" s="14">
        <f>IF(AND(M$5-$A16&gt;=0,M$5-$A16&lt;=19),INDEX(HU_ord,M$5-$A16+1)*$B16,0)</f>
        <v>0.0</v>
      </c>
      <c r="N16" s="14">
        <f>IF(AND(N$5-$A16&gt;=0,N$5-$A16&lt;=19),INDEX(HU_ord,N$5-$A16+1)*$B16,0)</f>
        <v>0.4653848476901092</v>
      </c>
      <c r="O16" s="14">
        <f>IF(AND(O$5-$A16&gt;=0,O$5-$A16&lt;=19),INDEX(HU_ord,O$5-$A16+1)*$B16,0)</f>
        <v>0.9307696953802184</v>
      </c>
      <c r="P16" s="14">
        <f>IF(AND(P$5-$A16&gt;=0,P$5-$A16&lt;=19),INDEX(HU_ord,P$5-$A16+1)*$B16,0)</f>
        <v>1.3961545430703275</v>
      </c>
      <c r="Q16" s="14">
        <f>IF(AND(Q$5-$A16&gt;=0,Q$5-$A16&lt;=19),INDEX(HU_ord,Q$5-$A16+1)*$B16,0)</f>
        <v>1.8615393907604367</v>
      </c>
      <c r="R16" s="14">
        <f>IF(AND(R$5-$A16&gt;=0,R$5-$A16&lt;=19),INDEX(HU_ord,R$5-$A16+1)*$B16,0)</f>
        <v>2.326924238450546</v>
      </c>
      <c r="S16" s="14">
        <f>IF(AND(S$5-$A16&gt;=0,S$5-$A16&lt;=19),INDEX(HU_ord,S$5-$A16+1)*$B16,0)</f>
        <v>2.792309086140655</v>
      </c>
      <c r="T16" s="14">
        <f>IF(AND(T$5-$A16&gt;=0,T$5-$A16&lt;=19),INDEX(HU_ord,T$5-$A16+1)*$B16,0)</f>
        <v>3.17674037891185</v>
      </c>
      <c r="U16" s="14">
        <f>IF(AND(U$5-$A16&gt;=0,U$5-$A16&lt;=19),INDEX(HU_ord,U$5-$A16+1)*$B16,0)</f>
        <v>2.898066817420767</v>
      </c>
      <c r="V16" s="14">
        <f>IF(AND(V$5-$A16&gt;=0,V$5-$A16&lt;=19),INDEX(HU_ord,V$5-$A16+1)*$B16,0)</f>
        <v>2.6193932559296833</v>
      </c>
      <c r="W16" s="14">
        <f>IF(AND(W$5-$A16&gt;=0,W$5-$A16&lt;=19),INDEX(HU_ord,W$5-$A16+1)*$B16,0)</f>
        <v>2.3407196944386</v>
      </c>
      <c r="X16" s="14">
        <f>IF(AND(X$5-$A16&gt;=0,X$5-$A16&lt;=19),INDEX(HU_ord,X$5-$A16+1)*$B16,0)</f>
        <v>2.0620461329475166</v>
      </c>
      <c r="Y16" s="14">
        <f>IF(AND(Y$5-$A16&gt;=0,Y$5-$A16&lt;=19),INDEX(HU_ord,Y$5-$A16+1)*$B16,0)</f>
        <v>1.783372571456433</v>
      </c>
      <c r="Z16" s="14">
        <f>IF(AND(Z$5-$A16&gt;=0,Z$5-$A16&lt;=19),INDEX(HU_ord,Z$5-$A16+1)*$B16,0)</f>
        <v>1.5046990099653499</v>
      </c>
      <c r="AA16" s="14">
        <f>IF(AND(AA$5-$A16&gt;=0,AA$5-$A16&lt;=19),INDEX(HU_ord,AA$5-$A16+1)*$B16,0)</f>
        <v>1.2260254484742665</v>
      </c>
      <c r="AB16" s="14">
        <f>IF(AND(AB$5-$A16&gt;=0,AB$5-$A16&lt;=19),INDEX(HU_ord,AB$5-$A16+1)*$B16,0)</f>
        <v>0.9473518869831831</v>
      </c>
      <c r="AC16" s="14">
        <f>IF(AND(AC$5-$A16&gt;=0,AC$5-$A16&lt;=19),INDEX(HU_ord,AC$5-$A16+1)*$B16,0)</f>
        <v>0.6686783254920996</v>
      </c>
      <c r="AD16" s="14">
        <f>IF(AND(AD$5-$A16&gt;=0,AD$5-$A16&lt;=19),INDEX(HU_ord,AD$5-$A16+1)*$B16,0)</f>
        <v>0.3900047640010162</v>
      </c>
      <c r="AE16" s="14">
        <f>IF(AND(AE$5-$A16&gt;=0,AE$5-$A16&lt;=19),INDEX(HU_ord,AE$5-$A16+1)*$B16,0)</f>
        <v>0.11133120250993286</v>
      </c>
      <c r="AF16" s="14">
        <f>IF(AND(AF$5-$A16&gt;=0,AF$5-$A16&lt;=19),INDEX(HU_ord,AF$5-$A16+1)*$B16,0)</f>
        <v>0.0</v>
      </c>
      <c r="AG16" s="14">
        <f>IF(AND(AG$5-$A16&gt;=0,AG$5-$A16&lt;=19),INDEX(HU_ord,AG$5-$A16+1)*$B16,0)</f>
        <v>0.0</v>
      </c>
      <c r="AH16" s="14">
        <f>IF(AND(AH$5-$A16&gt;=0,AH$5-$A16&lt;=19),INDEX(HU_ord,AH$5-$A16+1)*$B16,0)</f>
        <v>0.0</v>
      </c>
      <c r="AI16" s="14">
        <f>IF(AND(AI$5-$A16&gt;=0,AI$5-$A16&lt;=19),INDEX(HU_ord,AI$5-$A16+1)*$B16,0)</f>
        <v>0.0</v>
      </c>
      <c r="AJ16" s="14">
        <f>IF(AND(AJ$5-$A16&gt;=0,AJ$5-$A16&lt;=19),INDEX(HU_ord,AJ$5-$A16+1)*$B16,0)</f>
        <v>0.0</v>
      </c>
      <c r="AK16" s="14">
        <f>IF(AND(AK$5-$A16&gt;=0,AK$5-$A16&lt;=19),INDEX(HU_ord,AK$5-$A16+1)*$B16,0)</f>
        <v>0.0</v>
      </c>
      <c r="AL16" s="14">
        <f>IF(AND(AL$5-$A16&gt;=0,AL$5-$A16&lt;=19),INDEX(HU_ord,AL$5-$A16+1)*$B16,0)</f>
        <v>0.0</v>
      </c>
      <c r="AM16" s="14">
        <f>IF(AND(AM$5-$A16&gt;=0,AM$5-$A16&lt;=19),INDEX(HU_ord,AM$5-$A16+1)*$B16,0)</f>
        <v>0.0</v>
      </c>
      <c r="AN16" s="14">
        <f>IF(AND(AN$5-$A16&gt;=0,AN$5-$A16&lt;=19),INDEX(HU_ord,AN$5-$A16+1)*$B16,0)</f>
        <v>0.0</v>
      </c>
      <c r="AO16" s="14">
        <f>IF(AND(AO$5-$A16&gt;=0,AO$5-$A16&lt;=19),INDEX(HU_ord,AO$5-$A16+1)*$B16,0)</f>
        <v>0.0</v>
      </c>
      <c r="AP16" s="14">
        <f>IF(AND(AP$5-$A16&gt;=0,AP$5-$A16&lt;=19),INDEX(HU_ord,AP$5-$A16+1)*$B16,0)</f>
        <v>0.0</v>
      </c>
      <c r="AQ16" s="14">
        <f>IF(AND(AQ$5-$A16&gt;=0,AQ$5-$A16&lt;=19),INDEX(HU_ord,AQ$5-$A16+1)*$B16,0)</f>
        <v>0.0</v>
      </c>
      <c r="AR16" s="14">
        <f>IF(AND(AR$5-$A16&gt;=0,AR$5-$A16&lt;=19),INDEX(HU_ord,AR$5-$A16+1)*$B16,0)</f>
        <v>0.0</v>
      </c>
      <c r="AS16" s="14">
        <f>IF(AND(AS$5-$A16&gt;=0,AS$5-$A16&lt;=19),INDEX(HU_ord,AS$5-$A16+1)*$B16,0)</f>
        <v>0.0</v>
      </c>
      <c r="AT16" s="14">
        <f>IF(AND(AT$5-$A16&gt;=0,AT$5-$A16&lt;=19),INDEX(HU_ord,AT$5-$A16+1)*$B16,0)</f>
        <v>0.0</v>
      </c>
      <c r="AU16" s="14">
        <f>IF(AND(AU$5-$A16&gt;=0,AU$5-$A16&lt;=19),INDEX(HU_ord,AU$5-$A16+1)*$B16,0)</f>
        <v>0.0</v>
      </c>
      <c r="AV16" s="14">
        <f>IF(AND(AV$5-$A16&gt;=0,AV$5-$A16&lt;=19),INDEX(HU_ord,AV$5-$A16+1)*$B16,0)</f>
        <v>0.0</v>
      </c>
      <c r="AW16" s="14">
        <f>IF(AND(AW$5-$A16&gt;=0,AW$5-$A16&lt;=19),INDEX(HU_ord,AW$5-$A16+1)*$B16,0)</f>
        <v>0.0</v>
      </c>
      <c r="AX16" s="14">
        <f>IF(AND(AX$5-$A16&gt;=0,AX$5-$A16&lt;=19),INDEX(HU_ord,AX$5-$A16+1)*$B16,0)</f>
        <v>0.0</v>
      </c>
      <c r="AY16" s="14">
        <f>IF(AND(AY$5-$A16&gt;=0,AY$5-$A16&lt;=19),INDEX(HU_ord,AY$5-$A16+1)*$B16,0)</f>
        <v>0.0</v>
      </c>
      <c r="AZ16" s="14">
        <f>IF(AND(AZ$5-$A16&gt;=0,AZ$5-$A16&lt;=19),INDEX(HU_ord,AZ$5-$A16+1)*$B16,0)</f>
        <v>0.0</v>
      </c>
      <c r="BA16" s="14">
        <f>IF(AND(BA$5-$A16&gt;=0,BA$5-$A16&lt;=19),INDEX(HU_ord,BA$5-$A16+1)*$B16,0)</f>
        <v>0.0</v>
      </c>
      <c r="BB16" s="14">
        <f>IF(AND(BB$5-$A16&gt;=0,BB$5-$A16&lt;=19),INDEX(HU_ord,BB$5-$A16+1)*$B16,0)</f>
        <v>0.0</v>
      </c>
      <c r="BC16" s="14">
        <f>IF(AND(BC$5-$A16&gt;=0,BC$5-$A16&lt;=19),INDEX(HU_ord,BC$5-$A16+1)*$B16,0)</f>
        <v>0.0</v>
      </c>
      <c r="BD16" s="14">
        <f>IF(AND(BD$5-$A16&gt;=0,BD$5-$A16&lt;=19),INDEX(HU_ord,BD$5-$A16+1)*$B16,0)</f>
        <v>0.0</v>
      </c>
      <c r="BE16" s="14">
        <f>IF(AND(BE$5-$A16&gt;=0,BE$5-$A16&lt;=19),INDEX(HU_ord,BE$5-$A16+1)*$B16,0)</f>
        <v>0.0</v>
      </c>
      <c r="BF16" s="14">
        <f>IF(AND(BF$5-$A16&gt;=0,BF$5-$A16&lt;=19),INDEX(HU_ord,BF$5-$A16+1)*$B16,0)</f>
        <v>0.0</v>
      </c>
      <c r="BG16" s="14">
        <f>IF(AND(BG$5-$A16&gt;=0,BG$5-$A16&lt;=19),INDEX(HU_ord,BG$5-$A16+1)*$B16,0)</f>
        <v>0.0</v>
      </c>
      <c r="BH16" s="14">
        <f>IF(AND(BH$5-$A16&gt;=0,BH$5-$A16&lt;=19),INDEX(HU_ord,BH$5-$A16+1)*$B16,0)</f>
        <v>0.0</v>
      </c>
      <c r="BI16" s="14">
        <f>IF(AND(BI$5-$A16&gt;=0,BI$5-$A16&lt;=19),INDEX(HU_ord,BI$5-$A16+1)*$B16,0)</f>
        <v>0.0</v>
      </c>
      <c r="BJ16" s="14">
        <f>IF(AND(BJ$5-$A16&gt;=0,BJ$5-$A16&lt;=19),INDEX(HU_ord,BJ$5-$A16+1)*$B16,0)</f>
        <v>0.0</v>
      </c>
      <c r="BK16" s="14">
        <f>IF(AND(BK$5-$A16&gt;=0,BK$5-$A16&lt;=19),INDEX(HU_ord,BK$5-$A16+1)*$B16,0)</f>
        <v>0.0</v>
      </c>
      <c r="BL16" s="14">
        <f>IF(AND(BL$5-$A16&gt;=0,BL$5-$A16&lt;=19),INDEX(HU_ord,BL$5-$A16+1)*$B16,0)</f>
        <v>0.0</v>
      </c>
      <c r="BM16" s="14">
        <f>IF(AND(BM$5-$A16&gt;=0,BM$5-$A16&lt;=19),INDEX(HU_ord,BM$5-$A16+1)*$B16,0)</f>
        <v>0.0</v>
      </c>
      <c r="BN16" s="14">
        <f>IF(AND(BN$5-$A16&gt;=0,BN$5-$A16&lt;=19),INDEX(HU_ord,BN$5-$A16+1)*$B16,0)</f>
        <v>0.0</v>
      </c>
      <c r="BO16" s="14">
        <f>IF(AND(BO$5-$A16&gt;=0,BO$5-$A16&lt;=19),INDEX(HU_ord,BO$5-$A16+1)*$B16,0)</f>
        <v>0.0</v>
      </c>
      <c r="BP16" s="14">
        <f>IF(AND(BP$5-$A16&gt;=0,BP$5-$A16&lt;=19),INDEX(HU_ord,BP$5-$A16+1)*$B16,0)</f>
        <v>0.0</v>
      </c>
      <c r="BQ16" s="14">
        <f>IF(AND(BQ$5-$A16&gt;=0,BQ$5-$A16&lt;=19),INDEX(HU_ord,BQ$5-$A16+1)*$B16,0)</f>
        <v>0.0</v>
      </c>
      <c r="BR16" s="14">
        <f>IF(AND(BR$5-$A16&gt;=0,BR$5-$A16&lt;=19),INDEX(HU_ord,BR$5-$A16+1)*$B16,0)</f>
        <v>0.0</v>
      </c>
      <c r="BS16" s="14">
        <f>IF(AND(BS$5-$A16&gt;=0,BS$5-$A16&lt;=19),INDEX(HU_ord,BS$5-$A16+1)*$B16,0)</f>
        <v>0.0</v>
      </c>
      <c r="BT16" s="14">
        <f>IF(AND(BT$5-$A16&gt;=0,BT$5-$A16&lt;=19),INDEX(HU_ord,BT$5-$A16+1)*$B16,0)</f>
        <v>0.0</v>
      </c>
      <c r="BU16" s="14">
        <f>IF(AND(BU$5-$A16&gt;=0,BU$5-$A16&lt;=19),INDEX(HU_ord,BU$5-$A16+1)*$B16,0)</f>
        <v>0.0</v>
      </c>
      <c r="BV16" s="14">
        <f>IF(AND(BV$5-$A16&gt;=0,BV$5-$A16&lt;=19),INDEX(HU_ord,BV$5-$A16+1)*$B16,0)</f>
        <v>0.0</v>
      </c>
      <c r="BW16" s="14">
        <f>IF(AND(BW$5-$A16&gt;=0,BW$5-$A16&lt;=19),INDEX(HU_ord,BW$5-$A16+1)*$B16,0)</f>
        <v>0.0</v>
      </c>
      <c r="BX16" s="14">
        <f>IF(AND(BX$5-$A16&gt;=0,BX$5-$A16&lt;=19),INDEX(HU_ord,BX$5-$A16+1)*$B16,0)</f>
        <v>0.0</v>
      </c>
      <c r="BY16" s="14">
        <f>IF(AND(BY$5-$A16&gt;=0,BY$5-$A16&lt;=19),INDEX(HU_ord,BY$5-$A16+1)*$B16,0)</f>
        <v>0.0</v>
      </c>
      <c r="BZ16" s="14">
        <f>IF(AND(BZ$5-$A16&gt;=0,BZ$5-$A16&lt;=19),INDEX(HU_ord,BZ$5-$A16+1)*$B16,0)</f>
        <v>0.0</v>
      </c>
      <c r="CA16" s="14">
        <f>IF(AND(CA$5-$A16&gt;=0,CA$5-$A16&lt;=19),INDEX(HU_ord,CA$5-$A16+1)*$B16,0)</f>
        <v>0.0</v>
      </c>
      <c r="CB16" s="14">
        <f>IF(AND(CB$5-$A16&gt;=0,CB$5-$A16&lt;=19),INDEX(HU_ord,CB$5-$A16+1)*$B16,0)</f>
        <v>0.0</v>
      </c>
      <c r="CC16" s="14">
        <f>IF(AND(CC$5-$A16&gt;=0,CC$5-$A16&lt;=19),INDEX(HU_ord,CC$5-$A16+1)*$B16,0)</f>
        <v>0.0</v>
      </c>
      <c r="CD16" s="14">
        <f>IF(AND(CD$5-$A16&gt;=0,CD$5-$A16&lt;=19),INDEX(HU_ord,CD$5-$A16+1)*$B16,0)</f>
        <v>0.0</v>
      </c>
      <c r="CE16" s="14">
        <f>IF(AND(CE$5-$A16&gt;=0,CE$5-$A16&lt;=19),INDEX(HU_ord,CE$5-$A16+1)*$B16,0)</f>
        <v>0.0</v>
      </c>
      <c r="CF16" s="14">
        <f>IF(AND(CF$5-$A16&gt;=0,CF$5-$A16&lt;=19),INDEX(HU_ord,CF$5-$A16+1)*$B16,0)</f>
        <v>0.0</v>
      </c>
      <c r="CG16" s="14">
        <f>IF(AND(CG$5-$A16&gt;=0,CG$5-$A16&lt;=19),INDEX(HU_ord,CG$5-$A16+1)*$B16,0)</f>
        <v>0.0</v>
      </c>
      <c r="CH16" s="14">
        <f>IF(AND(CH$5-$A16&gt;=0,CH$5-$A16&lt;=19),INDEX(HU_ord,CH$5-$A16+1)*$B16,0)</f>
        <v>0.0</v>
      </c>
      <c r="CI16" s="14">
        <f>IF(AND(CI$5-$A16&gt;=0,CI$5-$A16&lt;=19),INDEX(HU_ord,CI$5-$A16+1)*$B16,0)</f>
        <v>0.0</v>
      </c>
      <c r="CJ16" s="14">
        <f>IF(AND(CJ$5-$A16&gt;=0,CJ$5-$A16&lt;=19),INDEX(HU_ord,CJ$5-$A16+1)*$B16,0)</f>
        <v>0.0</v>
      </c>
      <c r="CK16" s="14">
        <f>IF(AND(CK$5-$A16&gt;=0,CK$5-$A16&lt;=19),INDEX(HU_ord,CK$5-$A16+1)*$B16,0)</f>
        <v>0.0</v>
      </c>
      <c r="CL16" s="14">
        <f>IF(AND(CL$5-$A16&gt;=0,CL$5-$A16&lt;=19),INDEX(HU_ord,CL$5-$A16+1)*$B16,0)</f>
        <v>0.0</v>
      </c>
      <c r="CM16" s="14">
        <f>IF(AND(CM$5-$A16&gt;=0,CM$5-$A16&lt;=19),INDEX(HU_ord,CM$5-$A16+1)*$B16,0)</f>
        <v>0.0</v>
      </c>
      <c r="CN16" s="14">
        <f>IF(AND(CN$5-$A16&gt;=0,CN$5-$A16&lt;=19),INDEX(HU_ord,CN$5-$A16+1)*$B16,0)</f>
        <v>0.0</v>
      </c>
      <c r="CO16" s="14">
        <f>IF(AND(CO$5-$A16&gt;=0,CO$5-$A16&lt;=19),INDEX(HU_ord,CO$5-$A16+1)*$B16,0)</f>
        <v>0.0</v>
      </c>
      <c r="CP16" s="14">
        <f>IF(AND(CP$5-$A16&gt;=0,CP$5-$A16&lt;=19),INDEX(HU_ord,CP$5-$A16+1)*$B16,0)</f>
        <v>0.0</v>
      </c>
      <c r="CQ16" s="14">
        <f>IF(AND(CQ$5-$A16&gt;=0,CQ$5-$A16&lt;=19),INDEX(HU_ord,CQ$5-$A16+1)*$B16,0)</f>
        <v>0.0</v>
      </c>
      <c r="CR16" s="14">
        <f>IF(AND(CR$5-$A16&gt;=0,CR$5-$A16&lt;=19),INDEX(HU_ord,CR$5-$A16+1)*$B16,0)</f>
        <v>0.0</v>
      </c>
      <c r="CS16" s="14">
        <f>IF(AND(CS$5-$A16&gt;=0,CS$5-$A16&lt;=19),INDEX(HU_ord,CS$5-$A16+1)*$B16,0)</f>
        <v>0.0</v>
      </c>
      <c r="CT16" s="14">
        <f>IF(AND(CT$5-$A16&gt;=0,CT$5-$A16&lt;=19),INDEX(HU_ord,CT$5-$A16+1)*$B16,0)</f>
        <v>0.0</v>
      </c>
      <c r="CU16" s="14">
        <f>IF(AND(CU$5-$A16&gt;=0,CU$5-$A16&lt;=19),INDEX(HU_ord,CU$5-$A16+1)*$B16,0)</f>
        <v>0.0</v>
      </c>
      <c r="CV16" s="14">
        <f>IF(AND(CV$5-$A16&gt;=0,CV$5-$A16&lt;=19),INDEX(HU_ord,CV$5-$A16+1)*$B16,0)</f>
        <v>0.0</v>
      </c>
      <c r="CW16" s="14">
        <f>IF(AND(CW$5-$A16&gt;=0,CW$5-$A16&lt;=19),INDEX(HU_ord,CW$5-$A16+1)*$B16,0)</f>
        <v>0.0</v>
      </c>
      <c r="CX16" s="14">
        <f>IF(AND(CX$5-$A16&gt;=0,CX$5-$A16&lt;=19),INDEX(HU_ord,CX$5-$A16+1)*$B16,0)</f>
        <v>0.0</v>
      </c>
      <c r="CY16" s="14">
        <f>IF(AND(CY$5-$A16&gt;=0,CY$5-$A16&lt;=19),INDEX(HU_ord,CY$5-$A16+1)*$B16,0)</f>
        <v>0.0</v>
      </c>
      <c r="CZ16" s="14">
        <f>IF(AND(CZ$5-$A16&gt;=0,CZ$5-$A16&lt;=19),INDEX(HU_ord,CZ$5-$A16+1)*$B16,0)</f>
        <v>0.0</v>
      </c>
      <c r="DA16" s="14">
        <f>IF(AND(DA$5-$A16&gt;=0,DA$5-$A16&lt;=19),INDEX(HU_ord,DA$5-$A16+1)*$B16,0)</f>
        <v>0.0</v>
      </c>
      <c r="DB16" s="14">
        <f>IF(AND(DB$5-$A16&gt;=0,DB$5-$A16&lt;=19),INDEX(HU_ord,DB$5-$A16+1)*$B16,0)</f>
        <v>0.0</v>
      </c>
      <c r="DC16" s="14">
        <f>IF(AND(DC$5-$A16&gt;=0,DC$5-$A16&lt;=19),INDEX(HU_ord,DC$5-$A16+1)*$B16,0)</f>
        <v>0.0</v>
      </c>
      <c r="DD16" s="14">
        <f>IF(AND(DD$5-$A16&gt;=0,DD$5-$A16&lt;=19),INDEX(HU_ord,DD$5-$A16+1)*$B16,0)</f>
        <v>0.0</v>
      </c>
      <c r="DE16" s="14">
        <f>IF(AND(DE$5-$A16&gt;=0,DE$5-$A16&lt;=19),INDEX(HU_ord,DE$5-$A16+1)*$B16,0)</f>
        <v>0.0</v>
      </c>
      <c r="DF16" s="14">
        <f>IF(AND(DF$5-$A16&gt;=0,DF$5-$A16&lt;=19),INDEX(HU_ord,DF$5-$A16+1)*$B16,0)</f>
        <v>0.0</v>
      </c>
      <c r="DG16" s="14">
        <f>IF(AND(DG$5-$A16&gt;=0,DG$5-$A16&lt;=19),INDEX(HU_ord,DG$5-$A16+1)*$B16,0)</f>
        <v>0.0</v>
      </c>
      <c r="DH16" s="14">
        <f>IF(AND(DH$5-$A16&gt;=0,DH$5-$A16&lt;=19),INDEX(HU_ord,DH$5-$A16+1)*$B16,0)</f>
        <v>0.0</v>
      </c>
      <c r="DI16" s="14">
        <f>IF(AND(DI$5-$A16&gt;=0,DI$5-$A16&lt;=19),INDEX(HU_ord,DI$5-$A16+1)*$B16,0)</f>
        <v>0.0</v>
      </c>
    </row>
    <row r="17" spans="1:113">
      <c r="A17">
        <v>11</v>
      </c>
      <c r="B17" s="10">
        <f>Serie_horaria!N13</f>
        <v>0.04042989896054774</v>
      </c>
      <c r="C17" s="14">
        <f>IF(AND(C$5-$A17&gt;=0,C$5-$A17&lt;=19),INDEX(HU_ord,C$5-$A17+1)*$B17,0)</f>
        <v>0.0</v>
      </c>
      <c r="D17" s="14">
        <f>IF(AND(D$5-$A17&gt;=0,D$5-$A17&lt;=19),INDEX(HU_ord,D$5-$A17+1)*$B17,0)</f>
        <v>0.0</v>
      </c>
      <c r="E17" s="14">
        <f>IF(AND(E$5-$A17&gt;=0,E$5-$A17&lt;=19),INDEX(HU_ord,E$5-$A17+1)*$B17,0)</f>
        <v>0.0</v>
      </c>
      <c r="F17" s="14">
        <f>IF(AND(F$5-$A17&gt;=0,F$5-$A17&lt;=19),INDEX(HU_ord,F$5-$A17+1)*$B17,0)</f>
        <v>0.0</v>
      </c>
      <c r="G17" s="14">
        <f>IF(AND(G$5-$A17&gt;=0,G$5-$A17&lt;=19),INDEX(HU_ord,G$5-$A17+1)*$B17,0)</f>
        <v>0.0</v>
      </c>
      <c r="H17" s="14">
        <f>IF(AND(H$5-$A17&gt;=0,H$5-$A17&lt;=19),INDEX(HU_ord,H$5-$A17+1)*$B17,0)</f>
        <v>0.0</v>
      </c>
      <c r="I17" s="14">
        <f>IF(AND(I$5-$A17&gt;=0,I$5-$A17&lt;=19),INDEX(HU_ord,I$5-$A17+1)*$B17,0)</f>
        <v>0.0</v>
      </c>
      <c r="J17" s="14">
        <f>IF(AND(J$5-$A17&gt;=0,J$5-$A17&lt;=19),INDEX(HU_ord,J$5-$A17+1)*$B17,0)</f>
        <v>0.0</v>
      </c>
      <c r="K17" s="14">
        <f>IF(AND(K$5-$A17&gt;=0,K$5-$A17&lt;=19),INDEX(HU_ord,K$5-$A17+1)*$B17,0)</f>
        <v>0.0</v>
      </c>
      <c r="L17" s="14">
        <f>IF(AND(L$5-$A17&gt;=0,L$5-$A17&lt;=19),INDEX(HU_ord,L$5-$A17+1)*$B17,0)</f>
        <v>0.0</v>
      </c>
      <c r="M17" s="14">
        <f>IF(AND(M$5-$A17&gt;=0,M$5-$A17&lt;=19),INDEX(HU_ord,M$5-$A17+1)*$B17,0)</f>
        <v>0.0</v>
      </c>
      <c r="N17" s="14">
        <f>IF(AND(N$5-$A17&gt;=0,N$5-$A17&lt;=19),INDEX(HU_ord,N$5-$A17+1)*$B17,0)</f>
        <v>0.0</v>
      </c>
      <c r="O17" s="14">
        <f>IF(AND(O$5-$A17&gt;=0,O$5-$A17&lt;=19),INDEX(HU_ord,O$5-$A17+1)*$B17,0)</f>
        <v>0.1314000120292496</v>
      </c>
      <c r="P17" s="14">
        <f>IF(AND(P$5-$A17&gt;=0,P$5-$A17&lt;=19),INDEX(HU_ord,P$5-$A17+1)*$B17,0)</f>
        <v>0.2628000240584992</v>
      </c>
      <c r="Q17" s="14">
        <f>IF(AND(Q$5-$A17&gt;=0,Q$5-$A17&lt;=19),INDEX(HU_ord,Q$5-$A17+1)*$B17,0)</f>
        <v>0.39420003608774884</v>
      </c>
      <c r="R17" s="14">
        <f>IF(AND(R$5-$A17&gt;=0,R$5-$A17&lt;=19),INDEX(HU_ord,R$5-$A17+1)*$B17,0)</f>
        <v>0.5256000481169985</v>
      </c>
      <c r="S17" s="14">
        <f>IF(AND(S$5-$A17&gt;=0,S$5-$A17&lt;=19),INDEX(HU_ord,S$5-$A17+1)*$B17,0)</f>
        <v>0.6570000601462481</v>
      </c>
      <c r="T17" s="14">
        <f>IF(AND(T$5-$A17&gt;=0,T$5-$A17&lt;=19),INDEX(HU_ord,T$5-$A17+1)*$B17,0)</f>
        <v>0.7884000721754977</v>
      </c>
      <c r="U17" s="14">
        <f>IF(AND(U$5-$A17&gt;=0,U$5-$A17&lt;=19),INDEX(HU_ord,U$5-$A17+1)*$B17,0)</f>
        <v>0.8969430914535802</v>
      </c>
      <c r="V17" s="14">
        <f>IF(AND(V$5-$A17&gt;=0,V$5-$A17&lt;=19),INDEX(HU_ord,V$5-$A17+1)*$B17,0)</f>
        <v>0.8182604495198978</v>
      </c>
      <c r="W17" s="14">
        <f>IF(AND(W$5-$A17&gt;=0,W$5-$A17&lt;=19),INDEX(HU_ord,W$5-$A17+1)*$B17,0)</f>
        <v>0.7395778075862154</v>
      </c>
      <c r="X17" s="14">
        <f>IF(AND(X$5-$A17&gt;=0,X$5-$A17&lt;=19),INDEX(HU_ord,X$5-$A17+1)*$B17,0)</f>
        <v>0.6608951656525329</v>
      </c>
      <c r="Y17" s="14">
        <f>IF(AND(Y$5-$A17&gt;=0,Y$5-$A17&lt;=19),INDEX(HU_ord,Y$5-$A17+1)*$B17,0)</f>
        <v>0.5822125237188505</v>
      </c>
      <c r="Z17" s="14">
        <f>IF(AND(Z$5-$A17&gt;=0,Z$5-$A17&lt;=19),INDEX(HU_ord,Z$5-$A17+1)*$B17,0)</f>
        <v>0.5035298817851681</v>
      </c>
      <c r="AA17" s="14">
        <f>IF(AND(AA$5-$A17&gt;=0,AA$5-$A17&lt;=19),INDEX(HU_ord,AA$5-$A17+1)*$B17,0)</f>
        <v>0.4248472398514857</v>
      </c>
      <c r="AB17" s="14">
        <f>IF(AND(AB$5-$A17&gt;=0,AB$5-$A17&lt;=19),INDEX(HU_ord,AB$5-$A17+1)*$B17,0)</f>
        <v>0.34616459791780335</v>
      </c>
      <c r="AC17" s="14">
        <f>IF(AND(AC$5-$A17&gt;=0,AC$5-$A17&lt;=19),INDEX(HU_ord,AC$5-$A17+1)*$B17,0)</f>
        <v>0.2674819559841209</v>
      </c>
      <c r="AD17" s="14">
        <f>IF(AND(AD$5-$A17&gt;=0,AD$5-$A17&lt;=19),INDEX(HU_ord,AD$5-$A17+1)*$B17,0)</f>
        <v>0.18879931405043843</v>
      </c>
      <c r="AE17" s="14">
        <f>IF(AND(AE$5-$A17&gt;=0,AE$5-$A17&lt;=19),INDEX(HU_ord,AE$5-$A17+1)*$B17,0)</f>
        <v>0.110116672116756</v>
      </c>
      <c r="AF17" s="14">
        <f>IF(AND(AF$5-$A17&gt;=0,AF$5-$A17&lt;=19),INDEX(HU_ord,AF$5-$A17+1)*$B17,0)</f>
        <v>0.03143403018307361</v>
      </c>
      <c r="AG17" s="14">
        <f>IF(AND(AG$5-$A17&gt;=0,AG$5-$A17&lt;=19),INDEX(HU_ord,AG$5-$A17+1)*$B17,0)</f>
        <v>0.0</v>
      </c>
      <c r="AH17" s="14">
        <f>IF(AND(AH$5-$A17&gt;=0,AH$5-$A17&lt;=19),INDEX(HU_ord,AH$5-$A17+1)*$B17,0)</f>
        <v>0.0</v>
      </c>
      <c r="AI17" s="14">
        <f>IF(AND(AI$5-$A17&gt;=0,AI$5-$A17&lt;=19),INDEX(HU_ord,AI$5-$A17+1)*$B17,0)</f>
        <v>0.0</v>
      </c>
      <c r="AJ17" s="14">
        <f>IF(AND(AJ$5-$A17&gt;=0,AJ$5-$A17&lt;=19),INDEX(HU_ord,AJ$5-$A17+1)*$B17,0)</f>
        <v>0.0</v>
      </c>
      <c r="AK17" s="14">
        <f>IF(AND(AK$5-$A17&gt;=0,AK$5-$A17&lt;=19),INDEX(HU_ord,AK$5-$A17+1)*$B17,0)</f>
        <v>0.0</v>
      </c>
      <c r="AL17" s="14">
        <f>IF(AND(AL$5-$A17&gt;=0,AL$5-$A17&lt;=19),INDEX(HU_ord,AL$5-$A17+1)*$B17,0)</f>
        <v>0.0</v>
      </c>
      <c r="AM17" s="14">
        <f>IF(AND(AM$5-$A17&gt;=0,AM$5-$A17&lt;=19),INDEX(HU_ord,AM$5-$A17+1)*$B17,0)</f>
        <v>0.0</v>
      </c>
      <c r="AN17" s="14">
        <f>IF(AND(AN$5-$A17&gt;=0,AN$5-$A17&lt;=19),INDEX(HU_ord,AN$5-$A17+1)*$B17,0)</f>
        <v>0.0</v>
      </c>
      <c r="AO17" s="14">
        <f>IF(AND(AO$5-$A17&gt;=0,AO$5-$A17&lt;=19),INDEX(HU_ord,AO$5-$A17+1)*$B17,0)</f>
        <v>0.0</v>
      </c>
      <c r="AP17" s="14">
        <f>IF(AND(AP$5-$A17&gt;=0,AP$5-$A17&lt;=19),INDEX(HU_ord,AP$5-$A17+1)*$B17,0)</f>
        <v>0.0</v>
      </c>
      <c r="AQ17" s="14">
        <f>IF(AND(AQ$5-$A17&gt;=0,AQ$5-$A17&lt;=19),INDEX(HU_ord,AQ$5-$A17+1)*$B17,0)</f>
        <v>0.0</v>
      </c>
      <c r="AR17" s="14">
        <f>IF(AND(AR$5-$A17&gt;=0,AR$5-$A17&lt;=19),INDEX(HU_ord,AR$5-$A17+1)*$B17,0)</f>
        <v>0.0</v>
      </c>
      <c r="AS17" s="14">
        <f>IF(AND(AS$5-$A17&gt;=0,AS$5-$A17&lt;=19),INDEX(HU_ord,AS$5-$A17+1)*$B17,0)</f>
        <v>0.0</v>
      </c>
      <c r="AT17" s="14">
        <f>IF(AND(AT$5-$A17&gt;=0,AT$5-$A17&lt;=19),INDEX(HU_ord,AT$5-$A17+1)*$B17,0)</f>
        <v>0.0</v>
      </c>
      <c r="AU17" s="14">
        <f>IF(AND(AU$5-$A17&gt;=0,AU$5-$A17&lt;=19),INDEX(HU_ord,AU$5-$A17+1)*$B17,0)</f>
        <v>0.0</v>
      </c>
      <c r="AV17" s="14">
        <f>IF(AND(AV$5-$A17&gt;=0,AV$5-$A17&lt;=19),INDEX(HU_ord,AV$5-$A17+1)*$B17,0)</f>
        <v>0.0</v>
      </c>
      <c r="AW17" s="14">
        <f>IF(AND(AW$5-$A17&gt;=0,AW$5-$A17&lt;=19),INDEX(HU_ord,AW$5-$A17+1)*$B17,0)</f>
        <v>0.0</v>
      </c>
      <c r="AX17" s="14">
        <f>IF(AND(AX$5-$A17&gt;=0,AX$5-$A17&lt;=19),INDEX(HU_ord,AX$5-$A17+1)*$B17,0)</f>
        <v>0.0</v>
      </c>
      <c r="AY17" s="14">
        <f>IF(AND(AY$5-$A17&gt;=0,AY$5-$A17&lt;=19),INDEX(HU_ord,AY$5-$A17+1)*$B17,0)</f>
        <v>0.0</v>
      </c>
      <c r="AZ17" s="14">
        <f>IF(AND(AZ$5-$A17&gt;=0,AZ$5-$A17&lt;=19),INDEX(HU_ord,AZ$5-$A17+1)*$B17,0)</f>
        <v>0.0</v>
      </c>
      <c r="BA17" s="14">
        <f>IF(AND(BA$5-$A17&gt;=0,BA$5-$A17&lt;=19),INDEX(HU_ord,BA$5-$A17+1)*$B17,0)</f>
        <v>0.0</v>
      </c>
      <c r="BB17" s="14">
        <f>IF(AND(BB$5-$A17&gt;=0,BB$5-$A17&lt;=19),INDEX(HU_ord,BB$5-$A17+1)*$B17,0)</f>
        <v>0.0</v>
      </c>
      <c r="BC17" s="14">
        <f>IF(AND(BC$5-$A17&gt;=0,BC$5-$A17&lt;=19),INDEX(HU_ord,BC$5-$A17+1)*$B17,0)</f>
        <v>0.0</v>
      </c>
      <c r="BD17" s="14">
        <f>IF(AND(BD$5-$A17&gt;=0,BD$5-$A17&lt;=19),INDEX(HU_ord,BD$5-$A17+1)*$B17,0)</f>
        <v>0.0</v>
      </c>
      <c r="BE17" s="14">
        <f>IF(AND(BE$5-$A17&gt;=0,BE$5-$A17&lt;=19),INDEX(HU_ord,BE$5-$A17+1)*$B17,0)</f>
        <v>0.0</v>
      </c>
      <c r="BF17" s="14">
        <f>IF(AND(BF$5-$A17&gt;=0,BF$5-$A17&lt;=19),INDEX(HU_ord,BF$5-$A17+1)*$B17,0)</f>
        <v>0.0</v>
      </c>
      <c r="BG17" s="14">
        <f>IF(AND(BG$5-$A17&gt;=0,BG$5-$A17&lt;=19),INDEX(HU_ord,BG$5-$A17+1)*$B17,0)</f>
        <v>0.0</v>
      </c>
      <c r="BH17" s="14">
        <f>IF(AND(BH$5-$A17&gt;=0,BH$5-$A17&lt;=19),INDEX(HU_ord,BH$5-$A17+1)*$B17,0)</f>
        <v>0.0</v>
      </c>
      <c r="BI17" s="14">
        <f>IF(AND(BI$5-$A17&gt;=0,BI$5-$A17&lt;=19),INDEX(HU_ord,BI$5-$A17+1)*$B17,0)</f>
        <v>0.0</v>
      </c>
      <c r="BJ17" s="14">
        <f>IF(AND(BJ$5-$A17&gt;=0,BJ$5-$A17&lt;=19),INDEX(HU_ord,BJ$5-$A17+1)*$B17,0)</f>
        <v>0.0</v>
      </c>
      <c r="BK17" s="14">
        <f>IF(AND(BK$5-$A17&gt;=0,BK$5-$A17&lt;=19),INDEX(HU_ord,BK$5-$A17+1)*$B17,0)</f>
        <v>0.0</v>
      </c>
      <c r="BL17" s="14">
        <f>IF(AND(BL$5-$A17&gt;=0,BL$5-$A17&lt;=19),INDEX(HU_ord,BL$5-$A17+1)*$B17,0)</f>
        <v>0.0</v>
      </c>
      <c r="BM17" s="14">
        <f>IF(AND(BM$5-$A17&gt;=0,BM$5-$A17&lt;=19),INDEX(HU_ord,BM$5-$A17+1)*$B17,0)</f>
        <v>0.0</v>
      </c>
      <c r="BN17" s="14">
        <f>IF(AND(BN$5-$A17&gt;=0,BN$5-$A17&lt;=19),INDEX(HU_ord,BN$5-$A17+1)*$B17,0)</f>
        <v>0.0</v>
      </c>
      <c r="BO17" s="14">
        <f>IF(AND(BO$5-$A17&gt;=0,BO$5-$A17&lt;=19),INDEX(HU_ord,BO$5-$A17+1)*$B17,0)</f>
        <v>0.0</v>
      </c>
      <c r="BP17" s="14">
        <f>IF(AND(BP$5-$A17&gt;=0,BP$5-$A17&lt;=19),INDEX(HU_ord,BP$5-$A17+1)*$B17,0)</f>
        <v>0.0</v>
      </c>
      <c r="BQ17" s="14">
        <f>IF(AND(BQ$5-$A17&gt;=0,BQ$5-$A17&lt;=19),INDEX(HU_ord,BQ$5-$A17+1)*$B17,0)</f>
        <v>0.0</v>
      </c>
      <c r="BR17" s="14">
        <f>IF(AND(BR$5-$A17&gt;=0,BR$5-$A17&lt;=19),INDEX(HU_ord,BR$5-$A17+1)*$B17,0)</f>
        <v>0.0</v>
      </c>
      <c r="BS17" s="14">
        <f>IF(AND(BS$5-$A17&gt;=0,BS$5-$A17&lt;=19),INDEX(HU_ord,BS$5-$A17+1)*$B17,0)</f>
        <v>0.0</v>
      </c>
      <c r="BT17" s="14">
        <f>IF(AND(BT$5-$A17&gt;=0,BT$5-$A17&lt;=19),INDEX(HU_ord,BT$5-$A17+1)*$B17,0)</f>
        <v>0.0</v>
      </c>
      <c r="BU17" s="14">
        <f>IF(AND(BU$5-$A17&gt;=0,BU$5-$A17&lt;=19),INDEX(HU_ord,BU$5-$A17+1)*$B17,0)</f>
        <v>0.0</v>
      </c>
      <c r="BV17" s="14">
        <f>IF(AND(BV$5-$A17&gt;=0,BV$5-$A17&lt;=19),INDEX(HU_ord,BV$5-$A17+1)*$B17,0)</f>
        <v>0.0</v>
      </c>
      <c r="BW17" s="14">
        <f>IF(AND(BW$5-$A17&gt;=0,BW$5-$A17&lt;=19),INDEX(HU_ord,BW$5-$A17+1)*$B17,0)</f>
        <v>0.0</v>
      </c>
      <c r="BX17" s="14">
        <f>IF(AND(BX$5-$A17&gt;=0,BX$5-$A17&lt;=19),INDEX(HU_ord,BX$5-$A17+1)*$B17,0)</f>
        <v>0.0</v>
      </c>
      <c r="BY17" s="14">
        <f>IF(AND(BY$5-$A17&gt;=0,BY$5-$A17&lt;=19),INDEX(HU_ord,BY$5-$A17+1)*$B17,0)</f>
        <v>0.0</v>
      </c>
      <c r="BZ17" s="14">
        <f>IF(AND(BZ$5-$A17&gt;=0,BZ$5-$A17&lt;=19),INDEX(HU_ord,BZ$5-$A17+1)*$B17,0)</f>
        <v>0.0</v>
      </c>
      <c r="CA17" s="14">
        <f>IF(AND(CA$5-$A17&gt;=0,CA$5-$A17&lt;=19),INDEX(HU_ord,CA$5-$A17+1)*$B17,0)</f>
        <v>0.0</v>
      </c>
      <c r="CB17" s="14">
        <f>IF(AND(CB$5-$A17&gt;=0,CB$5-$A17&lt;=19),INDEX(HU_ord,CB$5-$A17+1)*$B17,0)</f>
        <v>0.0</v>
      </c>
      <c r="CC17" s="14">
        <f>IF(AND(CC$5-$A17&gt;=0,CC$5-$A17&lt;=19),INDEX(HU_ord,CC$5-$A17+1)*$B17,0)</f>
        <v>0.0</v>
      </c>
      <c r="CD17" s="14">
        <f>IF(AND(CD$5-$A17&gt;=0,CD$5-$A17&lt;=19),INDEX(HU_ord,CD$5-$A17+1)*$B17,0)</f>
        <v>0.0</v>
      </c>
      <c r="CE17" s="14">
        <f>IF(AND(CE$5-$A17&gt;=0,CE$5-$A17&lt;=19),INDEX(HU_ord,CE$5-$A17+1)*$B17,0)</f>
        <v>0.0</v>
      </c>
      <c r="CF17" s="14">
        <f>IF(AND(CF$5-$A17&gt;=0,CF$5-$A17&lt;=19),INDEX(HU_ord,CF$5-$A17+1)*$B17,0)</f>
        <v>0.0</v>
      </c>
      <c r="CG17" s="14">
        <f>IF(AND(CG$5-$A17&gt;=0,CG$5-$A17&lt;=19),INDEX(HU_ord,CG$5-$A17+1)*$B17,0)</f>
        <v>0.0</v>
      </c>
      <c r="CH17" s="14">
        <f>IF(AND(CH$5-$A17&gt;=0,CH$5-$A17&lt;=19),INDEX(HU_ord,CH$5-$A17+1)*$B17,0)</f>
        <v>0.0</v>
      </c>
      <c r="CI17" s="14">
        <f>IF(AND(CI$5-$A17&gt;=0,CI$5-$A17&lt;=19),INDEX(HU_ord,CI$5-$A17+1)*$B17,0)</f>
        <v>0.0</v>
      </c>
      <c r="CJ17" s="14">
        <f>IF(AND(CJ$5-$A17&gt;=0,CJ$5-$A17&lt;=19),INDEX(HU_ord,CJ$5-$A17+1)*$B17,0)</f>
        <v>0.0</v>
      </c>
      <c r="CK17" s="14">
        <f>IF(AND(CK$5-$A17&gt;=0,CK$5-$A17&lt;=19),INDEX(HU_ord,CK$5-$A17+1)*$B17,0)</f>
        <v>0.0</v>
      </c>
      <c r="CL17" s="14">
        <f>IF(AND(CL$5-$A17&gt;=0,CL$5-$A17&lt;=19),INDEX(HU_ord,CL$5-$A17+1)*$B17,0)</f>
        <v>0.0</v>
      </c>
      <c r="CM17" s="14">
        <f>IF(AND(CM$5-$A17&gt;=0,CM$5-$A17&lt;=19),INDEX(HU_ord,CM$5-$A17+1)*$B17,0)</f>
        <v>0.0</v>
      </c>
      <c r="CN17" s="14">
        <f>IF(AND(CN$5-$A17&gt;=0,CN$5-$A17&lt;=19),INDEX(HU_ord,CN$5-$A17+1)*$B17,0)</f>
        <v>0.0</v>
      </c>
      <c r="CO17" s="14">
        <f>IF(AND(CO$5-$A17&gt;=0,CO$5-$A17&lt;=19),INDEX(HU_ord,CO$5-$A17+1)*$B17,0)</f>
        <v>0.0</v>
      </c>
      <c r="CP17" s="14">
        <f>IF(AND(CP$5-$A17&gt;=0,CP$5-$A17&lt;=19),INDEX(HU_ord,CP$5-$A17+1)*$B17,0)</f>
        <v>0.0</v>
      </c>
      <c r="CQ17" s="14">
        <f>IF(AND(CQ$5-$A17&gt;=0,CQ$5-$A17&lt;=19),INDEX(HU_ord,CQ$5-$A17+1)*$B17,0)</f>
        <v>0.0</v>
      </c>
      <c r="CR17" s="14">
        <f>IF(AND(CR$5-$A17&gt;=0,CR$5-$A17&lt;=19),INDEX(HU_ord,CR$5-$A17+1)*$B17,0)</f>
        <v>0.0</v>
      </c>
      <c r="CS17" s="14">
        <f>IF(AND(CS$5-$A17&gt;=0,CS$5-$A17&lt;=19),INDEX(HU_ord,CS$5-$A17+1)*$B17,0)</f>
        <v>0.0</v>
      </c>
      <c r="CT17" s="14">
        <f>IF(AND(CT$5-$A17&gt;=0,CT$5-$A17&lt;=19),INDEX(HU_ord,CT$5-$A17+1)*$B17,0)</f>
        <v>0.0</v>
      </c>
      <c r="CU17" s="14">
        <f>IF(AND(CU$5-$A17&gt;=0,CU$5-$A17&lt;=19),INDEX(HU_ord,CU$5-$A17+1)*$B17,0)</f>
        <v>0.0</v>
      </c>
      <c r="CV17" s="14">
        <f>IF(AND(CV$5-$A17&gt;=0,CV$5-$A17&lt;=19),INDEX(HU_ord,CV$5-$A17+1)*$B17,0)</f>
        <v>0.0</v>
      </c>
      <c r="CW17" s="14">
        <f>IF(AND(CW$5-$A17&gt;=0,CW$5-$A17&lt;=19),INDEX(HU_ord,CW$5-$A17+1)*$B17,0)</f>
        <v>0.0</v>
      </c>
      <c r="CX17" s="14">
        <f>IF(AND(CX$5-$A17&gt;=0,CX$5-$A17&lt;=19),INDEX(HU_ord,CX$5-$A17+1)*$B17,0)</f>
        <v>0.0</v>
      </c>
      <c r="CY17" s="14">
        <f>IF(AND(CY$5-$A17&gt;=0,CY$5-$A17&lt;=19),INDEX(HU_ord,CY$5-$A17+1)*$B17,0)</f>
        <v>0.0</v>
      </c>
      <c r="CZ17" s="14">
        <f>IF(AND(CZ$5-$A17&gt;=0,CZ$5-$A17&lt;=19),INDEX(HU_ord,CZ$5-$A17+1)*$B17,0)</f>
        <v>0.0</v>
      </c>
      <c r="DA17" s="14">
        <f>IF(AND(DA$5-$A17&gt;=0,DA$5-$A17&lt;=19),INDEX(HU_ord,DA$5-$A17+1)*$B17,0)</f>
        <v>0.0</v>
      </c>
      <c r="DB17" s="14">
        <f>IF(AND(DB$5-$A17&gt;=0,DB$5-$A17&lt;=19),INDEX(HU_ord,DB$5-$A17+1)*$B17,0)</f>
        <v>0.0</v>
      </c>
      <c r="DC17" s="14">
        <f>IF(AND(DC$5-$A17&gt;=0,DC$5-$A17&lt;=19),INDEX(HU_ord,DC$5-$A17+1)*$B17,0)</f>
        <v>0.0</v>
      </c>
      <c r="DD17" s="14">
        <f>IF(AND(DD$5-$A17&gt;=0,DD$5-$A17&lt;=19),INDEX(HU_ord,DD$5-$A17+1)*$B17,0)</f>
        <v>0.0</v>
      </c>
      <c r="DE17" s="14">
        <f>IF(AND(DE$5-$A17&gt;=0,DE$5-$A17&lt;=19),INDEX(HU_ord,DE$5-$A17+1)*$B17,0)</f>
        <v>0.0</v>
      </c>
      <c r="DF17" s="14">
        <f>IF(AND(DF$5-$A17&gt;=0,DF$5-$A17&lt;=19),INDEX(HU_ord,DF$5-$A17+1)*$B17,0)</f>
        <v>0.0</v>
      </c>
      <c r="DG17" s="14">
        <f>IF(AND(DG$5-$A17&gt;=0,DG$5-$A17&lt;=19),INDEX(HU_ord,DG$5-$A17+1)*$B17,0)</f>
        <v>0.0</v>
      </c>
      <c r="DH17" s="14">
        <f>IF(AND(DH$5-$A17&gt;=0,DH$5-$A17&lt;=19),INDEX(HU_ord,DH$5-$A17+1)*$B17,0)</f>
        <v>0.0</v>
      </c>
      <c r="DI17" s="14">
        <f>IF(AND(DI$5-$A17&gt;=0,DI$5-$A17&lt;=19),INDEX(HU_ord,DI$5-$A17+1)*$B17,0)</f>
        <v>0.0</v>
      </c>
    </row>
    <row r="18" spans="1:113">
      <c r="A18">
        <v>12</v>
      </c>
      <c r="B18" s="10">
        <f>Serie_horaria!N14</f>
        <v>0.038716149884668025</v>
      </c>
      <c r="C18" s="14">
        <f>IF(AND(C$5-$A18&gt;=0,C$5-$A18&lt;=19),INDEX(HU_ord,C$5-$A18+1)*$B18,0)</f>
        <v>0.0</v>
      </c>
      <c r="D18" s="14">
        <f>IF(AND(D$5-$A18&gt;=0,D$5-$A18&lt;=19),INDEX(HU_ord,D$5-$A18+1)*$B18,0)</f>
        <v>0.0</v>
      </c>
      <c r="E18" s="14">
        <f>IF(AND(E$5-$A18&gt;=0,E$5-$A18&lt;=19),INDEX(HU_ord,E$5-$A18+1)*$B18,0)</f>
        <v>0.0</v>
      </c>
      <c r="F18" s="14">
        <f>IF(AND(F$5-$A18&gt;=0,F$5-$A18&lt;=19),INDEX(HU_ord,F$5-$A18+1)*$B18,0)</f>
        <v>0.0</v>
      </c>
      <c r="G18" s="14">
        <f>IF(AND(G$5-$A18&gt;=0,G$5-$A18&lt;=19),INDEX(HU_ord,G$5-$A18+1)*$B18,0)</f>
        <v>0.0</v>
      </c>
      <c r="H18" s="14">
        <f>IF(AND(H$5-$A18&gt;=0,H$5-$A18&lt;=19),INDEX(HU_ord,H$5-$A18+1)*$B18,0)</f>
        <v>0.0</v>
      </c>
      <c r="I18" s="14">
        <f>IF(AND(I$5-$A18&gt;=0,I$5-$A18&lt;=19),INDEX(HU_ord,I$5-$A18+1)*$B18,0)</f>
        <v>0.0</v>
      </c>
      <c r="J18" s="14">
        <f>IF(AND(J$5-$A18&gt;=0,J$5-$A18&lt;=19),INDEX(HU_ord,J$5-$A18+1)*$B18,0)</f>
        <v>0.0</v>
      </c>
      <c r="K18" s="14">
        <f>IF(AND(K$5-$A18&gt;=0,K$5-$A18&lt;=19),INDEX(HU_ord,K$5-$A18+1)*$B18,0)</f>
        <v>0.0</v>
      </c>
      <c r="L18" s="14">
        <f>IF(AND(L$5-$A18&gt;=0,L$5-$A18&lt;=19),INDEX(HU_ord,L$5-$A18+1)*$B18,0)</f>
        <v>0.0</v>
      </c>
      <c r="M18" s="14">
        <f>IF(AND(M$5-$A18&gt;=0,M$5-$A18&lt;=19),INDEX(HU_ord,M$5-$A18+1)*$B18,0)</f>
        <v>0.0</v>
      </c>
      <c r="N18" s="14">
        <f>IF(AND(N$5-$A18&gt;=0,N$5-$A18&lt;=19),INDEX(HU_ord,N$5-$A18+1)*$B18,0)</f>
        <v>0.0</v>
      </c>
      <c r="O18" s="14">
        <f>IF(AND(O$5-$A18&gt;=0,O$5-$A18&lt;=19),INDEX(HU_ord,O$5-$A18+1)*$B18,0)</f>
        <v>0.0</v>
      </c>
      <c r="P18" s="14">
        <f>IF(AND(P$5-$A18&gt;=0,P$5-$A18&lt;=19),INDEX(HU_ord,P$5-$A18+1)*$B18,0)</f>
        <v>0.12583020713299076</v>
      </c>
      <c r="Q18" s="14">
        <f>IF(AND(Q$5-$A18&gt;=0,Q$5-$A18&lt;=19),INDEX(HU_ord,Q$5-$A18+1)*$B18,0)</f>
        <v>0.2516604142659815</v>
      </c>
      <c r="R18" s="14">
        <f>IF(AND(R$5-$A18&gt;=0,R$5-$A18&lt;=19),INDEX(HU_ord,R$5-$A18+1)*$B18,0)</f>
        <v>0.37749062139897227</v>
      </c>
      <c r="S18" s="14">
        <f>IF(AND(S$5-$A18&gt;=0,S$5-$A18&lt;=19),INDEX(HU_ord,S$5-$A18+1)*$B18,0)</f>
        <v>0.503320828531963</v>
      </c>
      <c r="T18" s="14">
        <f>IF(AND(T$5-$A18&gt;=0,T$5-$A18&lt;=19),INDEX(HU_ord,T$5-$A18+1)*$B18,0)</f>
        <v>0.6291510356649538</v>
      </c>
      <c r="U18" s="14">
        <f>IF(AND(U$5-$A18&gt;=0,U$5-$A18&lt;=19),INDEX(HU_ord,U$5-$A18+1)*$B18,0)</f>
        <v>0.7549812427979445</v>
      </c>
      <c r="V18" s="14">
        <f>IF(AND(V$5-$A18&gt;=0,V$5-$A18&lt;=19),INDEX(HU_ord,V$5-$A18+1)*$B18,0)</f>
        <v>0.8589233230738661</v>
      </c>
      <c r="W18" s="14">
        <f>IF(AND(W$5-$A18&gt;=0,W$5-$A18&lt;=19),INDEX(HU_ord,W$5-$A18+1)*$B18,0)</f>
        <v>0.7835758936529137</v>
      </c>
      <c r="X18" s="14">
        <f>IF(AND(X$5-$A18&gt;=0,X$5-$A18&lt;=19),INDEX(HU_ord,X$5-$A18+1)*$B18,0)</f>
        <v>0.7082284642319611</v>
      </c>
      <c r="Y18" s="14">
        <f>IF(AND(Y$5-$A18&gt;=0,Y$5-$A18&lt;=19),INDEX(HU_ord,Y$5-$A18+1)*$B18,0)</f>
        <v>0.6328810348110084</v>
      </c>
      <c r="Z18" s="14">
        <f>IF(AND(Z$5-$A18&gt;=0,Z$5-$A18&lt;=19),INDEX(HU_ord,Z$5-$A18+1)*$B18,0)</f>
        <v>0.5575336053900559</v>
      </c>
      <c r="AA18" s="14">
        <f>IF(AND(AA$5-$A18&gt;=0,AA$5-$A18&lt;=19),INDEX(HU_ord,AA$5-$A18+1)*$B18,0)</f>
        <v>0.48218617596910335</v>
      </c>
      <c r="AB18" s="14">
        <f>IF(AND(AB$5-$A18&gt;=0,AB$5-$A18&lt;=19),INDEX(HU_ord,AB$5-$A18+1)*$B18,0)</f>
        <v>0.40683874654815083</v>
      </c>
      <c r="AC18" s="14">
        <f>IF(AND(AC$5-$A18&gt;=0,AC$5-$A18&lt;=19),INDEX(HU_ord,AC$5-$A18+1)*$B18,0)</f>
        <v>0.3314913171271983</v>
      </c>
      <c r="AD18" s="14">
        <f>IF(AND(AD$5-$A18&gt;=0,AD$5-$A18&lt;=19),INDEX(HU_ord,AD$5-$A18+1)*$B18,0)</f>
        <v>0.2561438877062457</v>
      </c>
      <c r="AE18" s="14">
        <f>IF(AND(AE$5-$A18&gt;=0,AE$5-$A18&lt;=19),INDEX(HU_ord,AE$5-$A18+1)*$B18,0)</f>
        <v>0.18079645828529312</v>
      </c>
      <c r="AF18" s="14">
        <f>IF(AND(AF$5-$A18&gt;=0,AF$5-$A18&lt;=19),INDEX(HU_ord,AF$5-$A18+1)*$B18,0)</f>
        <v>0.10544902886434054</v>
      </c>
      <c r="AG18" s="14">
        <f>IF(AND(AG$5-$A18&gt;=0,AG$5-$A18&lt;=19),INDEX(HU_ord,AG$5-$A18+1)*$B18,0)</f>
        <v>0.030101599443387986</v>
      </c>
      <c r="AH18" s="14">
        <f>IF(AND(AH$5-$A18&gt;=0,AH$5-$A18&lt;=19),INDEX(HU_ord,AH$5-$A18+1)*$B18,0)</f>
        <v>0.0</v>
      </c>
      <c r="AI18" s="14">
        <f>IF(AND(AI$5-$A18&gt;=0,AI$5-$A18&lt;=19),INDEX(HU_ord,AI$5-$A18+1)*$B18,0)</f>
        <v>0.0</v>
      </c>
      <c r="AJ18" s="14">
        <f>IF(AND(AJ$5-$A18&gt;=0,AJ$5-$A18&lt;=19),INDEX(HU_ord,AJ$5-$A18+1)*$B18,0)</f>
        <v>0.0</v>
      </c>
      <c r="AK18" s="14">
        <f>IF(AND(AK$5-$A18&gt;=0,AK$5-$A18&lt;=19),INDEX(HU_ord,AK$5-$A18+1)*$B18,0)</f>
        <v>0.0</v>
      </c>
      <c r="AL18" s="14">
        <f>IF(AND(AL$5-$A18&gt;=0,AL$5-$A18&lt;=19),INDEX(HU_ord,AL$5-$A18+1)*$B18,0)</f>
        <v>0.0</v>
      </c>
      <c r="AM18" s="14">
        <f>IF(AND(AM$5-$A18&gt;=0,AM$5-$A18&lt;=19),INDEX(HU_ord,AM$5-$A18+1)*$B18,0)</f>
        <v>0.0</v>
      </c>
      <c r="AN18" s="14">
        <f>IF(AND(AN$5-$A18&gt;=0,AN$5-$A18&lt;=19),INDEX(HU_ord,AN$5-$A18+1)*$B18,0)</f>
        <v>0.0</v>
      </c>
      <c r="AO18" s="14">
        <f>IF(AND(AO$5-$A18&gt;=0,AO$5-$A18&lt;=19),INDEX(HU_ord,AO$5-$A18+1)*$B18,0)</f>
        <v>0.0</v>
      </c>
      <c r="AP18" s="14">
        <f>IF(AND(AP$5-$A18&gt;=0,AP$5-$A18&lt;=19),INDEX(HU_ord,AP$5-$A18+1)*$B18,0)</f>
        <v>0.0</v>
      </c>
      <c r="AQ18" s="14">
        <f>IF(AND(AQ$5-$A18&gt;=0,AQ$5-$A18&lt;=19),INDEX(HU_ord,AQ$5-$A18+1)*$B18,0)</f>
        <v>0.0</v>
      </c>
      <c r="AR18" s="14">
        <f>IF(AND(AR$5-$A18&gt;=0,AR$5-$A18&lt;=19),INDEX(HU_ord,AR$5-$A18+1)*$B18,0)</f>
        <v>0.0</v>
      </c>
      <c r="AS18" s="14">
        <f>IF(AND(AS$5-$A18&gt;=0,AS$5-$A18&lt;=19),INDEX(HU_ord,AS$5-$A18+1)*$B18,0)</f>
        <v>0.0</v>
      </c>
      <c r="AT18" s="14">
        <f>IF(AND(AT$5-$A18&gt;=0,AT$5-$A18&lt;=19),INDEX(HU_ord,AT$5-$A18+1)*$B18,0)</f>
        <v>0.0</v>
      </c>
      <c r="AU18" s="14">
        <f>IF(AND(AU$5-$A18&gt;=0,AU$5-$A18&lt;=19),INDEX(HU_ord,AU$5-$A18+1)*$B18,0)</f>
        <v>0.0</v>
      </c>
      <c r="AV18" s="14">
        <f>IF(AND(AV$5-$A18&gt;=0,AV$5-$A18&lt;=19),INDEX(HU_ord,AV$5-$A18+1)*$B18,0)</f>
        <v>0.0</v>
      </c>
      <c r="AW18" s="14">
        <f>IF(AND(AW$5-$A18&gt;=0,AW$5-$A18&lt;=19),INDEX(HU_ord,AW$5-$A18+1)*$B18,0)</f>
        <v>0.0</v>
      </c>
      <c r="AX18" s="14">
        <f>IF(AND(AX$5-$A18&gt;=0,AX$5-$A18&lt;=19),INDEX(HU_ord,AX$5-$A18+1)*$B18,0)</f>
        <v>0.0</v>
      </c>
      <c r="AY18" s="14">
        <f>IF(AND(AY$5-$A18&gt;=0,AY$5-$A18&lt;=19),INDEX(HU_ord,AY$5-$A18+1)*$B18,0)</f>
        <v>0.0</v>
      </c>
      <c r="AZ18" s="14">
        <f>IF(AND(AZ$5-$A18&gt;=0,AZ$5-$A18&lt;=19),INDEX(HU_ord,AZ$5-$A18+1)*$B18,0)</f>
        <v>0.0</v>
      </c>
      <c r="BA18" s="14">
        <f>IF(AND(BA$5-$A18&gt;=0,BA$5-$A18&lt;=19),INDEX(HU_ord,BA$5-$A18+1)*$B18,0)</f>
        <v>0.0</v>
      </c>
      <c r="BB18" s="14">
        <f>IF(AND(BB$5-$A18&gt;=0,BB$5-$A18&lt;=19),INDEX(HU_ord,BB$5-$A18+1)*$B18,0)</f>
        <v>0.0</v>
      </c>
      <c r="BC18" s="14">
        <f>IF(AND(BC$5-$A18&gt;=0,BC$5-$A18&lt;=19),INDEX(HU_ord,BC$5-$A18+1)*$B18,0)</f>
        <v>0.0</v>
      </c>
      <c r="BD18" s="14">
        <f>IF(AND(BD$5-$A18&gt;=0,BD$5-$A18&lt;=19),INDEX(HU_ord,BD$5-$A18+1)*$B18,0)</f>
        <v>0.0</v>
      </c>
      <c r="BE18" s="14">
        <f>IF(AND(BE$5-$A18&gt;=0,BE$5-$A18&lt;=19),INDEX(HU_ord,BE$5-$A18+1)*$B18,0)</f>
        <v>0.0</v>
      </c>
      <c r="BF18" s="14">
        <f>IF(AND(BF$5-$A18&gt;=0,BF$5-$A18&lt;=19),INDEX(HU_ord,BF$5-$A18+1)*$B18,0)</f>
        <v>0.0</v>
      </c>
      <c r="BG18" s="14">
        <f>IF(AND(BG$5-$A18&gt;=0,BG$5-$A18&lt;=19),INDEX(HU_ord,BG$5-$A18+1)*$B18,0)</f>
        <v>0.0</v>
      </c>
      <c r="BH18" s="14">
        <f>IF(AND(BH$5-$A18&gt;=0,BH$5-$A18&lt;=19),INDEX(HU_ord,BH$5-$A18+1)*$B18,0)</f>
        <v>0.0</v>
      </c>
      <c r="BI18" s="14">
        <f>IF(AND(BI$5-$A18&gt;=0,BI$5-$A18&lt;=19),INDEX(HU_ord,BI$5-$A18+1)*$B18,0)</f>
        <v>0.0</v>
      </c>
      <c r="BJ18" s="14">
        <f>IF(AND(BJ$5-$A18&gt;=0,BJ$5-$A18&lt;=19),INDEX(HU_ord,BJ$5-$A18+1)*$B18,0)</f>
        <v>0.0</v>
      </c>
      <c r="BK18" s="14">
        <f>IF(AND(BK$5-$A18&gt;=0,BK$5-$A18&lt;=19),INDEX(HU_ord,BK$5-$A18+1)*$B18,0)</f>
        <v>0.0</v>
      </c>
      <c r="BL18" s="14">
        <f>IF(AND(BL$5-$A18&gt;=0,BL$5-$A18&lt;=19),INDEX(HU_ord,BL$5-$A18+1)*$B18,0)</f>
        <v>0.0</v>
      </c>
      <c r="BM18" s="14">
        <f>IF(AND(BM$5-$A18&gt;=0,BM$5-$A18&lt;=19),INDEX(HU_ord,BM$5-$A18+1)*$B18,0)</f>
        <v>0.0</v>
      </c>
      <c r="BN18" s="14">
        <f>IF(AND(BN$5-$A18&gt;=0,BN$5-$A18&lt;=19),INDEX(HU_ord,BN$5-$A18+1)*$B18,0)</f>
        <v>0.0</v>
      </c>
      <c r="BO18" s="14">
        <f>IF(AND(BO$5-$A18&gt;=0,BO$5-$A18&lt;=19),INDEX(HU_ord,BO$5-$A18+1)*$B18,0)</f>
        <v>0.0</v>
      </c>
      <c r="BP18" s="14">
        <f>IF(AND(BP$5-$A18&gt;=0,BP$5-$A18&lt;=19),INDEX(HU_ord,BP$5-$A18+1)*$B18,0)</f>
        <v>0.0</v>
      </c>
      <c r="BQ18" s="14">
        <f>IF(AND(BQ$5-$A18&gt;=0,BQ$5-$A18&lt;=19),INDEX(HU_ord,BQ$5-$A18+1)*$B18,0)</f>
        <v>0.0</v>
      </c>
      <c r="BR18" s="14">
        <f>IF(AND(BR$5-$A18&gt;=0,BR$5-$A18&lt;=19),INDEX(HU_ord,BR$5-$A18+1)*$B18,0)</f>
        <v>0.0</v>
      </c>
      <c r="BS18" s="14">
        <f>IF(AND(BS$5-$A18&gt;=0,BS$5-$A18&lt;=19),INDEX(HU_ord,BS$5-$A18+1)*$B18,0)</f>
        <v>0.0</v>
      </c>
      <c r="BT18" s="14">
        <f>IF(AND(BT$5-$A18&gt;=0,BT$5-$A18&lt;=19),INDEX(HU_ord,BT$5-$A18+1)*$B18,0)</f>
        <v>0.0</v>
      </c>
      <c r="BU18" s="14">
        <f>IF(AND(BU$5-$A18&gt;=0,BU$5-$A18&lt;=19),INDEX(HU_ord,BU$5-$A18+1)*$B18,0)</f>
        <v>0.0</v>
      </c>
      <c r="BV18" s="14">
        <f>IF(AND(BV$5-$A18&gt;=0,BV$5-$A18&lt;=19),INDEX(HU_ord,BV$5-$A18+1)*$B18,0)</f>
        <v>0.0</v>
      </c>
      <c r="BW18" s="14">
        <f>IF(AND(BW$5-$A18&gt;=0,BW$5-$A18&lt;=19),INDEX(HU_ord,BW$5-$A18+1)*$B18,0)</f>
        <v>0.0</v>
      </c>
      <c r="BX18" s="14">
        <f>IF(AND(BX$5-$A18&gt;=0,BX$5-$A18&lt;=19),INDEX(HU_ord,BX$5-$A18+1)*$B18,0)</f>
        <v>0.0</v>
      </c>
      <c r="BY18" s="14">
        <f>IF(AND(BY$5-$A18&gt;=0,BY$5-$A18&lt;=19),INDEX(HU_ord,BY$5-$A18+1)*$B18,0)</f>
        <v>0.0</v>
      </c>
      <c r="BZ18" s="14">
        <f>IF(AND(BZ$5-$A18&gt;=0,BZ$5-$A18&lt;=19),INDEX(HU_ord,BZ$5-$A18+1)*$B18,0)</f>
        <v>0.0</v>
      </c>
      <c r="CA18" s="14">
        <f>IF(AND(CA$5-$A18&gt;=0,CA$5-$A18&lt;=19),INDEX(HU_ord,CA$5-$A18+1)*$B18,0)</f>
        <v>0.0</v>
      </c>
      <c r="CB18" s="14">
        <f>IF(AND(CB$5-$A18&gt;=0,CB$5-$A18&lt;=19),INDEX(HU_ord,CB$5-$A18+1)*$B18,0)</f>
        <v>0.0</v>
      </c>
      <c r="CC18" s="14">
        <f>IF(AND(CC$5-$A18&gt;=0,CC$5-$A18&lt;=19),INDEX(HU_ord,CC$5-$A18+1)*$B18,0)</f>
        <v>0.0</v>
      </c>
      <c r="CD18" s="14">
        <f>IF(AND(CD$5-$A18&gt;=0,CD$5-$A18&lt;=19),INDEX(HU_ord,CD$5-$A18+1)*$B18,0)</f>
        <v>0.0</v>
      </c>
      <c r="CE18" s="14">
        <f>IF(AND(CE$5-$A18&gt;=0,CE$5-$A18&lt;=19),INDEX(HU_ord,CE$5-$A18+1)*$B18,0)</f>
        <v>0.0</v>
      </c>
      <c r="CF18" s="14">
        <f>IF(AND(CF$5-$A18&gt;=0,CF$5-$A18&lt;=19),INDEX(HU_ord,CF$5-$A18+1)*$B18,0)</f>
        <v>0.0</v>
      </c>
      <c r="CG18" s="14">
        <f>IF(AND(CG$5-$A18&gt;=0,CG$5-$A18&lt;=19),INDEX(HU_ord,CG$5-$A18+1)*$B18,0)</f>
        <v>0.0</v>
      </c>
      <c r="CH18" s="14">
        <f>IF(AND(CH$5-$A18&gt;=0,CH$5-$A18&lt;=19),INDEX(HU_ord,CH$5-$A18+1)*$B18,0)</f>
        <v>0.0</v>
      </c>
      <c r="CI18" s="14">
        <f>IF(AND(CI$5-$A18&gt;=0,CI$5-$A18&lt;=19),INDEX(HU_ord,CI$5-$A18+1)*$B18,0)</f>
        <v>0.0</v>
      </c>
      <c r="CJ18" s="14">
        <f>IF(AND(CJ$5-$A18&gt;=0,CJ$5-$A18&lt;=19),INDEX(HU_ord,CJ$5-$A18+1)*$B18,0)</f>
        <v>0.0</v>
      </c>
      <c r="CK18" s="14">
        <f>IF(AND(CK$5-$A18&gt;=0,CK$5-$A18&lt;=19),INDEX(HU_ord,CK$5-$A18+1)*$B18,0)</f>
        <v>0.0</v>
      </c>
      <c r="CL18" s="14">
        <f>IF(AND(CL$5-$A18&gt;=0,CL$5-$A18&lt;=19),INDEX(HU_ord,CL$5-$A18+1)*$B18,0)</f>
        <v>0.0</v>
      </c>
      <c r="CM18" s="14">
        <f>IF(AND(CM$5-$A18&gt;=0,CM$5-$A18&lt;=19),INDEX(HU_ord,CM$5-$A18+1)*$B18,0)</f>
        <v>0.0</v>
      </c>
      <c r="CN18" s="14">
        <f>IF(AND(CN$5-$A18&gt;=0,CN$5-$A18&lt;=19),INDEX(HU_ord,CN$5-$A18+1)*$B18,0)</f>
        <v>0.0</v>
      </c>
      <c r="CO18" s="14">
        <f>IF(AND(CO$5-$A18&gt;=0,CO$5-$A18&lt;=19),INDEX(HU_ord,CO$5-$A18+1)*$B18,0)</f>
        <v>0.0</v>
      </c>
      <c r="CP18" s="14">
        <f>IF(AND(CP$5-$A18&gt;=0,CP$5-$A18&lt;=19),INDEX(HU_ord,CP$5-$A18+1)*$B18,0)</f>
        <v>0.0</v>
      </c>
      <c r="CQ18" s="14">
        <f>IF(AND(CQ$5-$A18&gt;=0,CQ$5-$A18&lt;=19),INDEX(HU_ord,CQ$5-$A18+1)*$B18,0)</f>
        <v>0.0</v>
      </c>
      <c r="CR18" s="14">
        <f>IF(AND(CR$5-$A18&gt;=0,CR$5-$A18&lt;=19),INDEX(HU_ord,CR$5-$A18+1)*$B18,0)</f>
        <v>0.0</v>
      </c>
      <c r="CS18" s="14">
        <f>IF(AND(CS$5-$A18&gt;=0,CS$5-$A18&lt;=19),INDEX(HU_ord,CS$5-$A18+1)*$B18,0)</f>
        <v>0.0</v>
      </c>
      <c r="CT18" s="14">
        <f>IF(AND(CT$5-$A18&gt;=0,CT$5-$A18&lt;=19),INDEX(HU_ord,CT$5-$A18+1)*$B18,0)</f>
        <v>0.0</v>
      </c>
      <c r="CU18" s="14">
        <f>IF(AND(CU$5-$A18&gt;=0,CU$5-$A18&lt;=19),INDEX(HU_ord,CU$5-$A18+1)*$B18,0)</f>
        <v>0.0</v>
      </c>
      <c r="CV18" s="14">
        <f>IF(AND(CV$5-$A18&gt;=0,CV$5-$A18&lt;=19),INDEX(HU_ord,CV$5-$A18+1)*$B18,0)</f>
        <v>0.0</v>
      </c>
      <c r="CW18" s="14">
        <f>IF(AND(CW$5-$A18&gt;=0,CW$5-$A18&lt;=19),INDEX(HU_ord,CW$5-$A18+1)*$B18,0)</f>
        <v>0.0</v>
      </c>
      <c r="CX18" s="14">
        <f>IF(AND(CX$5-$A18&gt;=0,CX$5-$A18&lt;=19),INDEX(HU_ord,CX$5-$A18+1)*$B18,0)</f>
        <v>0.0</v>
      </c>
      <c r="CY18" s="14">
        <f>IF(AND(CY$5-$A18&gt;=0,CY$5-$A18&lt;=19),INDEX(HU_ord,CY$5-$A18+1)*$B18,0)</f>
        <v>0.0</v>
      </c>
      <c r="CZ18" s="14">
        <f>IF(AND(CZ$5-$A18&gt;=0,CZ$5-$A18&lt;=19),INDEX(HU_ord,CZ$5-$A18+1)*$B18,0)</f>
        <v>0.0</v>
      </c>
      <c r="DA18" s="14">
        <f>IF(AND(DA$5-$A18&gt;=0,DA$5-$A18&lt;=19),INDEX(HU_ord,DA$5-$A18+1)*$B18,0)</f>
        <v>0.0</v>
      </c>
      <c r="DB18" s="14">
        <f>IF(AND(DB$5-$A18&gt;=0,DB$5-$A18&lt;=19),INDEX(HU_ord,DB$5-$A18+1)*$B18,0)</f>
        <v>0.0</v>
      </c>
      <c r="DC18" s="14">
        <f>IF(AND(DC$5-$A18&gt;=0,DC$5-$A18&lt;=19),INDEX(HU_ord,DC$5-$A18+1)*$B18,0)</f>
        <v>0.0</v>
      </c>
      <c r="DD18" s="14">
        <f>IF(AND(DD$5-$A18&gt;=0,DD$5-$A18&lt;=19),INDEX(HU_ord,DD$5-$A18+1)*$B18,0)</f>
        <v>0.0</v>
      </c>
      <c r="DE18" s="14">
        <f>IF(AND(DE$5-$A18&gt;=0,DE$5-$A18&lt;=19),INDEX(HU_ord,DE$5-$A18+1)*$B18,0)</f>
        <v>0.0</v>
      </c>
      <c r="DF18" s="14">
        <f>IF(AND(DF$5-$A18&gt;=0,DF$5-$A18&lt;=19),INDEX(HU_ord,DF$5-$A18+1)*$B18,0)</f>
        <v>0.0</v>
      </c>
      <c r="DG18" s="14">
        <f>IF(AND(DG$5-$A18&gt;=0,DG$5-$A18&lt;=19),INDEX(HU_ord,DG$5-$A18+1)*$B18,0)</f>
        <v>0.0</v>
      </c>
      <c r="DH18" s="14">
        <f>IF(AND(DH$5-$A18&gt;=0,DH$5-$A18&lt;=19),INDEX(HU_ord,DH$5-$A18+1)*$B18,0)</f>
        <v>0.0</v>
      </c>
      <c r="DI18" s="14">
        <f>IF(AND(DI$5-$A18&gt;=0,DI$5-$A18&lt;=19),INDEX(HU_ord,DI$5-$A18+1)*$B18,0)</f>
        <v>0.0</v>
      </c>
    </row>
    <row r="19" spans="1:113">
      <c r="A19">
        <v>13</v>
      </c>
      <c r="B19" s="10">
        <f>Serie_horaria!N15</f>
        <v>0.06111936881794753</v>
      </c>
      <c r="C19" s="14">
        <f>IF(AND(C$5-$A19&gt;=0,C$5-$A19&lt;=19),INDEX(HU_ord,C$5-$A19+1)*$B19,0)</f>
        <v>0.0</v>
      </c>
      <c r="D19" s="14">
        <f>IF(AND(D$5-$A19&gt;=0,D$5-$A19&lt;=19),INDEX(HU_ord,D$5-$A19+1)*$B19,0)</f>
        <v>0.0</v>
      </c>
      <c r="E19" s="14">
        <f>IF(AND(E$5-$A19&gt;=0,E$5-$A19&lt;=19),INDEX(HU_ord,E$5-$A19+1)*$B19,0)</f>
        <v>0.0</v>
      </c>
      <c r="F19" s="14">
        <f>IF(AND(F$5-$A19&gt;=0,F$5-$A19&lt;=19),INDEX(HU_ord,F$5-$A19+1)*$B19,0)</f>
        <v>0.0</v>
      </c>
      <c r="G19" s="14">
        <f>IF(AND(G$5-$A19&gt;=0,G$5-$A19&lt;=19),INDEX(HU_ord,G$5-$A19+1)*$B19,0)</f>
        <v>0.0</v>
      </c>
      <c r="H19" s="14">
        <f>IF(AND(H$5-$A19&gt;=0,H$5-$A19&lt;=19),INDEX(HU_ord,H$5-$A19+1)*$B19,0)</f>
        <v>0.0</v>
      </c>
      <c r="I19" s="14">
        <f>IF(AND(I$5-$A19&gt;=0,I$5-$A19&lt;=19),INDEX(HU_ord,I$5-$A19+1)*$B19,0)</f>
        <v>0.0</v>
      </c>
      <c r="J19" s="14">
        <f>IF(AND(J$5-$A19&gt;=0,J$5-$A19&lt;=19),INDEX(HU_ord,J$5-$A19+1)*$B19,0)</f>
        <v>0.0</v>
      </c>
      <c r="K19" s="14">
        <f>IF(AND(K$5-$A19&gt;=0,K$5-$A19&lt;=19),INDEX(HU_ord,K$5-$A19+1)*$B19,0)</f>
        <v>0.0</v>
      </c>
      <c r="L19" s="14">
        <f>IF(AND(L$5-$A19&gt;=0,L$5-$A19&lt;=19),INDEX(HU_ord,L$5-$A19+1)*$B19,0)</f>
        <v>0.0</v>
      </c>
      <c r="M19" s="14">
        <f>IF(AND(M$5-$A19&gt;=0,M$5-$A19&lt;=19),INDEX(HU_ord,M$5-$A19+1)*$B19,0)</f>
        <v>0.0</v>
      </c>
      <c r="N19" s="14">
        <f>IF(AND(N$5-$A19&gt;=0,N$5-$A19&lt;=19),INDEX(HU_ord,N$5-$A19+1)*$B19,0)</f>
        <v>0.0</v>
      </c>
      <c r="O19" s="14">
        <f>IF(AND(O$5-$A19&gt;=0,O$5-$A19&lt;=19),INDEX(HU_ord,O$5-$A19+1)*$B19,0)</f>
        <v>0.0</v>
      </c>
      <c r="P19" s="14">
        <f>IF(AND(P$5-$A19&gt;=0,P$5-$A19&lt;=19),INDEX(HU_ord,P$5-$A19+1)*$B19,0)</f>
        <v>0.0</v>
      </c>
      <c r="Q19" s="14">
        <f>IF(AND(Q$5-$A19&gt;=0,Q$5-$A19&lt;=19),INDEX(HU_ord,Q$5-$A19+1)*$B19,0)</f>
        <v>0.19864224260702049</v>
      </c>
      <c r="R19" s="14">
        <f>IF(AND(R$5-$A19&gt;=0,R$5-$A19&lt;=19),INDEX(HU_ord,R$5-$A19+1)*$B19,0)</f>
        <v>0.39728448521404097</v>
      </c>
      <c r="S19" s="14">
        <f>IF(AND(S$5-$A19&gt;=0,S$5-$A19&lt;=19),INDEX(HU_ord,S$5-$A19+1)*$B19,0)</f>
        <v>0.5959267278210615</v>
      </c>
      <c r="T19" s="14">
        <f>IF(AND(T$5-$A19&gt;=0,T$5-$A19&lt;=19),INDEX(HU_ord,T$5-$A19+1)*$B19,0)</f>
        <v>0.7945689704280819</v>
      </c>
      <c r="U19" s="14">
        <f>IF(AND(U$5-$A19&gt;=0,U$5-$A19&lt;=19),INDEX(HU_ord,U$5-$A19+1)*$B19,0)</f>
        <v>0.9932112130351025</v>
      </c>
      <c r="V19" s="14">
        <f>IF(AND(V$5-$A19&gt;=0,V$5-$A19&lt;=19),INDEX(HU_ord,V$5-$A19+1)*$B19,0)</f>
        <v>1.191853455642123</v>
      </c>
      <c r="W19" s="14">
        <f>IF(AND(W$5-$A19&gt;=0,W$5-$A19&lt;=19),INDEX(HU_ord,W$5-$A19+1)*$B19,0)</f>
        <v>1.3559419396213774</v>
      </c>
      <c r="X19" s="14">
        <f>IF(AND(X$5-$A19&gt;=0,X$5-$A19&lt;=19),INDEX(HU_ord,X$5-$A19+1)*$B19,0)</f>
        <v>1.236994488958491</v>
      </c>
      <c r="Y19" s="14">
        <f>IF(AND(Y$5-$A19&gt;=0,Y$5-$A19&lt;=19),INDEX(HU_ord,Y$5-$A19+1)*$B19,0)</f>
        <v>1.1180470382956043</v>
      </c>
      <c r="Z19" s="14">
        <f>IF(AND(Z$5-$A19&gt;=0,Z$5-$A19&lt;=19),INDEX(HU_ord,Z$5-$A19+1)*$B19,0)</f>
        <v>0.9990995876327178</v>
      </c>
      <c r="AA19" s="14">
        <f>IF(AND(AA$5-$A19&gt;=0,AA$5-$A19&lt;=19),INDEX(HU_ord,AA$5-$A19+1)*$B19,0)</f>
        <v>0.8801521369698312</v>
      </c>
      <c r="AB19" s="14">
        <f>IF(AND(AB$5-$A19&gt;=0,AB$5-$A19&lt;=19),INDEX(HU_ord,AB$5-$A19+1)*$B19,0)</f>
        <v>0.7612046863069447</v>
      </c>
      <c r="AC19" s="14">
        <f>IF(AND(AC$5-$A19&gt;=0,AC$5-$A19&lt;=19),INDEX(HU_ord,AC$5-$A19+1)*$B19,0)</f>
        <v>0.6422572356440582</v>
      </c>
      <c r="AD19" s="14">
        <f>IF(AND(AD$5-$A19&gt;=0,AD$5-$A19&lt;=19),INDEX(HU_ord,AD$5-$A19+1)*$B19,0)</f>
        <v>0.5233097849811716</v>
      </c>
      <c r="AE19" s="14">
        <f>IF(AND(AE$5-$A19&gt;=0,AE$5-$A19&lt;=19),INDEX(HU_ord,AE$5-$A19+1)*$B19,0)</f>
        <v>0.4043623343182851</v>
      </c>
      <c r="AF19" s="14">
        <f>IF(AND(AF$5-$A19&gt;=0,AF$5-$A19&lt;=19),INDEX(HU_ord,AF$5-$A19+1)*$B19,0)</f>
        <v>0.2854148836553985</v>
      </c>
      <c r="AG19" s="14">
        <f>IF(AND(AG$5-$A19&gt;=0,AG$5-$A19&lt;=19),INDEX(HU_ord,AG$5-$A19+1)*$B19,0)</f>
        <v>0.16646743299251196</v>
      </c>
      <c r="AH19" s="14">
        <f>IF(AND(AH$5-$A19&gt;=0,AH$5-$A19&lt;=19),INDEX(HU_ord,AH$5-$A19+1)*$B19,0)</f>
        <v>0.04751998232962543</v>
      </c>
      <c r="AI19" s="14">
        <f>IF(AND(AI$5-$A19&gt;=0,AI$5-$A19&lt;=19),INDEX(HU_ord,AI$5-$A19+1)*$B19,0)</f>
        <v>0.0</v>
      </c>
      <c r="AJ19" s="14">
        <f>IF(AND(AJ$5-$A19&gt;=0,AJ$5-$A19&lt;=19),INDEX(HU_ord,AJ$5-$A19+1)*$B19,0)</f>
        <v>0.0</v>
      </c>
      <c r="AK19" s="14">
        <f>IF(AND(AK$5-$A19&gt;=0,AK$5-$A19&lt;=19),INDEX(HU_ord,AK$5-$A19+1)*$B19,0)</f>
        <v>0.0</v>
      </c>
      <c r="AL19" s="14">
        <f>IF(AND(AL$5-$A19&gt;=0,AL$5-$A19&lt;=19),INDEX(HU_ord,AL$5-$A19+1)*$B19,0)</f>
        <v>0.0</v>
      </c>
      <c r="AM19" s="14">
        <f>IF(AND(AM$5-$A19&gt;=0,AM$5-$A19&lt;=19),INDEX(HU_ord,AM$5-$A19+1)*$B19,0)</f>
        <v>0.0</v>
      </c>
      <c r="AN19" s="14">
        <f>IF(AND(AN$5-$A19&gt;=0,AN$5-$A19&lt;=19),INDEX(HU_ord,AN$5-$A19+1)*$B19,0)</f>
        <v>0.0</v>
      </c>
      <c r="AO19" s="14">
        <f>IF(AND(AO$5-$A19&gt;=0,AO$5-$A19&lt;=19),INDEX(HU_ord,AO$5-$A19+1)*$B19,0)</f>
        <v>0.0</v>
      </c>
      <c r="AP19" s="14">
        <f>IF(AND(AP$5-$A19&gt;=0,AP$5-$A19&lt;=19),INDEX(HU_ord,AP$5-$A19+1)*$B19,0)</f>
        <v>0.0</v>
      </c>
      <c r="AQ19" s="14">
        <f>IF(AND(AQ$5-$A19&gt;=0,AQ$5-$A19&lt;=19),INDEX(HU_ord,AQ$5-$A19+1)*$B19,0)</f>
        <v>0.0</v>
      </c>
      <c r="AR19" s="14">
        <f>IF(AND(AR$5-$A19&gt;=0,AR$5-$A19&lt;=19),INDEX(HU_ord,AR$5-$A19+1)*$B19,0)</f>
        <v>0.0</v>
      </c>
      <c r="AS19" s="14">
        <f>IF(AND(AS$5-$A19&gt;=0,AS$5-$A19&lt;=19),INDEX(HU_ord,AS$5-$A19+1)*$B19,0)</f>
        <v>0.0</v>
      </c>
      <c r="AT19" s="14">
        <f>IF(AND(AT$5-$A19&gt;=0,AT$5-$A19&lt;=19),INDEX(HU_ord,AT$5-$A19+1)*$B19,0)</f>
        <v>0.0</v>
      </c>
      <c r="AU19" s="14">
        <f>IF(AND(AU$5-$A19&gt;=0,AU$5-$A19&lt;=19),INDEX(HU_ord,AU$5-$A19+1)*$B19,0)</f>
        <v>0.0</v>
      </c>
      <c r="AV19" s="14">
        <f>IF(AND(AV$5-$A19&gt;=0,AV$5-$A19&lt;=19),INDEX(HU_ord,AV$5-$A19+1)*$B19,0)</f>
        <v>0.0</v>
      </c>
      <c r="AW19" s="14">
        <f>IF(AND(AW$5-$A19&gt;=0,AW$5-$A19&lt;=19),INDEX(HU_ord,AW$5-$A19+1)*$B19,0)</f>
        <v>0.0</v>
      </c>
      <c r="AX19" s="14">
        <f>IF(AND(AX$5-$A19&gt;=0,AX$5-$A19&lt;=19),INDEX(HU_ord,AX$5-$A19+1)*$B19,0)</f>
        <v>0.0</v>
      </c>
      <c r="AY19" s="14">
        <f>IF(AND(AY$5-$A19&gt;=0,AY$5-$A19&lt;=19),INDEX(HU_ord,AY$5-$A19+1)*$B19,0)</f>
        <v>0.0</v>
      </c>
      <c r="AZ19" s="14">
        <f>IF(AND(AZ$5-$A19&gt;=0,AZ$5-$A19&lt;=19),INDEX(HU_ord,AZ$5-$A19+1)*$B19,0)</f>
        <v>0.0</v>
      </c>
      <c r="BA19" s="14">
        <f>IF(AND(BA$5-$A19&gt;=0,BA$5-$A19&lt;=19),INDEX(HU_ord,BA$5-$A19+1)*$B19,0)</f>
        <v>0.0</v>
      </c>
      <c r="BB19" s="14">
        <f>IF(AND(BB$5-$A19&gt;=0,BB$5-$A19&lt;=19),INDEX(HU_ord,BB$5-$A19+1)*$B19,0)</f>
        <v>0.0</v>
      </c>
      <c r="BC19" s="14">
        <f>IF(AND(BC$5-$A19&gt;=0,BC$5-$A19&lt;=19),INDEX(HU_ord,BC$5-$A19+1)*$B19,0)</f>
        <v>0.0</v>
      </c>
      <c r="BD19" s="14">
        <f>IF(AND(BD$5-$A19&gt;=0,BD$5-$A19&lt;=19),INDEX(HU_ord,BD$5-$A19+1)*$B19,0)</f>
        <v>0.0</v>
      </c>
      <c r="BE19" s="14">
        <f>IF(AND(BE$5-$A19&gt;=0,BE$5-$A19&lt;=19),INDEX(HU_ord,BE$5-$A19+1)*$B19,0)</f>
        <v>0.0</v>
      </c>
      <c r="BF19" s="14">
        <f>IF(AND(BF$5-$A19&gt;=0,BF$5-$A19&lt;=19),INDEX(HU_ord,BF$5-$A19+1)*$B19,0)</f>
        <v>0.0</v>
      </c>
      <c r="BG19" s="14">
        <f>IF(AND(BG$5-$A19&gt;=0,BG$5-$A19&lt;=19),INDEX(HU_ord,BG$5-$A19+1)*$B19,0)</f>
        <v>0.0</v>
      </c>
      <c r="BH19" s="14">
        <f>IF(AND(BH$5-$A19&gt;=0,BH$5-$A19&lt;=19),INDEX(HU_ord,BH$5-$A19+1)*$B19,0)</f>
        <v>0.0</v>
      </c>
      <c r="BI19" s="14">
        <f>IF(AND(BI$5-$A19&gt;=0,BI$5-$A19&lt;=19),INDEX(HU_ord,BI$5-$A19+1)*$B19,0)</f>
        <v>0.0</v>
      </c>
      <c r="BJ19" s="14">
        <f>IF(AND(BJ$5-$A19&gt;=0,BJ$5-$A19&lt;=19),INDEX(HU_ord,BJ$5-$A19+1)*$B19,0)</f>
        <v>0.0</v>
      </c>
      <c r="BK19" s="14">
        <f>IF(AND(BK$5-$A19&gt;=0,BK$5-$A19&lt;=19),INDEX(HU_ord,BK$5-$A19+1)*$B19,0)</f>
        <v>0.0</v>
      </c>
      <c r="BL19" s="14">
        <f>IF(AND(BL$5-$A19&gt;=0,BL$5-$A19&lt;=19),INDEX(HU_ord,BL$5-$A19+1)*$B19,0)</f>
        <v>0.0</v>
      </c>
      <c r="BM19" s="14">
        <f>IF(AND(BM$5-$A19&gt;=0,BM$5-$A19&lt;=19),INDEX(HU_ord,BM$5-$A19+1)*$B19,0)</f>
        <v>0.0</v>
      </c>
      <c r="BN19" s="14">
        <f>IF(AND(BN$5-$A19&gt;=0,BN$5-$A19&lt;=19),INDEX(HU_ord,BN$5-$A19+1)*$B19,0)</f>
        <v>0.0</v>
      </c>
      <c r="BO19" s="14">
        <f>IF(AND(BO$5-$A19&gt;=0,BO$5-$A19&lt;=19),INDEX(HU_ord,BO$5-$A19+1)*$B19,0)</f>
        <v>0.0</v>
      </c>
      <c r="BP19" s="14">
        <f>IF(AND(BP$5-$A19&gt;=0,BP$5-$A19&lt;=19),INDEX(HU_ord,BP$5-$A19+1)*$B19,0)</f>
        <v>0.0</v>
      </c>
      <c r="BQ19" s="14">
        <f>IF(AND(BQ$5-$A19&gt;=0,BQ$5-$A19&lt;=19),INDEX(HU_ord,BQ$5-$A19+1)*$B19,0)</f>
        <v>0.0</v>
      </c>
      <c r="BR19" s="14">
        <f>IF(AND(BR$5-$A19&gt;=0,BR$5-$A19&lt;=19),INDEX(HU_ord,BR$5-$A19+1)*$B19,0)</f>
        <v>0.0</v>
      </c>
      <c r="BS19" s="14">
        <f>IF(AND(BS$5-$A19&gt;=0,BS$5-$A19&lt;=19),INDEX(HU_ord,BS$5-$A19+1)*$B19,0)</f>
        <v>0.0</v>
      </c>
      <c r="BT19" s="14">
        <f>IF(AND(BT$5-$A19&gt;=0,BT$5-$A19&lt;=19),INDEX(HU_ord,BT$5-$A19+1)*$B19,0)</f>
        <v>0.0</v>
      </c>
      <c r="BU19" s="14">
        <f>IF(AND(BU$5-$A19&gt;=0,BU$5-$A19&lt;=19),INDEX(HU_ord,BU$5-$A19+1)*$B19,0)</f>
        <v>0.0</v>
      </c>
      <c r="BV19" s="14">
        <f>IF(AND(BV$5-$A19&gt;=0,BV$5-$A19&lt;=19),INDEX(HU_ord,BV$5-$A19+1)*$B19,0)</f>
        <v>0.0</v>
      </c>
      <c r="BW19" s="14">
        <f>IF(AND(BW$5-$A19&gt;=0,BW$5-$A19&lt;=19),INDEX(HU_ord,BW$5-$A19+1)*$B19,0)</f>
        <v>0.0</v>
      </c>
      <c r="BX19" s="14">
        <f>IF(AND(BX$5-$A19&gt;=0,BX$5-$A19&lt;=19),INDEX(HU_ord,BX$5-$A19+1)*$B19,0)</f>
        <v>0.0</v>
      </c>
      <c r="BY19" s="14">
        <f>IF(AND(BY$5-$A19&gt;=0,BY$5-$A19&lt;=19),INDEX(HU_ord,BY$5-$A19+1)*$B19,0)</f>
        <v>0.0</v>
      </c>
      <c r="BZ19" s="14">
        <f>IF(AND(BZ$5-$A19&gt;=0,BZ$5-$A19&lt;=19),INDEX(HU_ord,BZ$5-$A19+1)*$B19,0)</f>
        <v>0.0</v>
      </c>
      <c r="CA19" s="14">
        <f>IF(AND(CA$5-$A19&gt;=0,CA$5-$A19&lt;=19),INDEX(HU_ord,CA$5-$A19+1)*$B19,0)</f>
        <v>0.0</v>
      </c>
      <c r="CB19" s="14">
        <f>IF(AND(CB$5-$A19&gt;=0,CB$5-$A19&lt;=19),INDEX(HU_ord,CB$5-$A19+1)*$B19,0)</f>
        <v>0.0</v>
      </c>
      <c r="CC19" s="14">
        <f>IF(AND(CC$5-$A19&gt;=0,CC$5-$A19&lt;=19),INDEX(HU_ord,CC$5-$A19+1)*$B19,0)</f>
        <v>0.0</v>
      </c>
      <c r="CD19" s="14">
        <f>IF(AND(CD$5-$A19&gt;=0,CD$5-$A19&lt;=19),INDEX(HU_ord,CD$5-$A19+1)*$B19,0)</f>
        <v>0.0</v>
      </c>
      <c r="CE19" s="14">
        <f>IF(AND(CE$5-$A19&gt;=0,CE$5-$A19&lt;=19),INDEX(HU_ord,CE$5-$A19+1)*$B19,0)</f>
        <v>0.0</v>
      </c>
      <c r="CF19" s="14">
        <f>IF(AND(CF$5-$A19&gt;=0,CF$5-$A19&lt;=19),INDEX(HU_ord,CF$5-$A19+1)*$B19,0)</f>
        <v>0.0</v>
      </c>
      <c r="CG19" s="14">
        <f>IF(AND(CG$5-$A19&gt;=0,CG$5-$A19&lt;=19),INDEX(HU_ord,CG$5-$A19+1)*$B19,0)</f>
        <v>0.0</v>
      </c>
      <c r="CH19" s="14">
        <f>IF(AND(CH$5-$A19&gt;=0,CH$5-$A19&lt;=19),INDEX(HU_ord,CH$5-$A19+1)*$B19,0)</f>
        <v>0.0</v>
      </c>
      <c r="CI19" s="14">
        <f>IF(AND(CI$5-$A19&gt;=0,CI$5-$A19&lt;=19),INDEX(HU_ord,CI$5-$A19+1)*$B19,0)</f>
        <v>0.0</v>
      </c>
      <c r="CJ19" s="14">
        <f>IF(AND(CJ$5-$A19&gt;=0,CJ$5-$A19&lt;=19),INDEX(HU_ord,CJ$5-$A19+1)*$B19,0)</f>
        <v>0.0</v>
      </c>
      <c r="CK19" s="14">
        <f>IF(AND(CK$5-$A19&gt;=0,CK$5-$A19&lt;=19),INDEX(HU_ord,CK$5-$A19+1)*$B19,0)</f>
        <v>0.0</v>
      </c>
      <c r="CL19" s="14">
        <f>IF(AND(CL$5-$A19&gt;=0,CL$5-$A19&lt;=19),INDEX(HU_ord,CL$5-$A19+1)*$B19,0)</f>
        <v>0.0</v>
      </c>
      <c r="CM19" s="14">
        <f>IF(AND(CM$5-$A19&gt;=0,CM$5-$A19&lt;=19),INDEX(HU_ord,CM$5-$A19+1)*$B19,0)</f>
        <v>0.0</v>
      </c>
      <c r="CN19" s="14">
        <f>IF(AND(CN$5-$A19&gt;=0,CN$5-$A19&lt;=19),INDEX(HU_ord,CN$5-$A19+1)*$B19,0)</f>
        <v>0.0</v>
      </c>
      <c r="CO19" s="14">
        <f>IF(AND(CO$5-$A19&gt;=0,CO$5-$A19&lt;=19),INDEX(HU_ord,CO$5-$A19+1)*$B19,0)</f>
        <v>0.0</v>
      </c>
      <c r="CP19" s="14">
        <f>IF(AND(CP$5-$A19&gt;=0,CP$5-$A19&lt;=19),INDEX(HU_ord,CP$5-$A19+1)*$B19,0)</f>
        <v>0.0</v>
      </c>
      <c r="CQ19" s="14">
        <f>IF(AND(CQ$5-$A19&gt;=0,CQ$5-$A19&lt;=19),INDEX(HU_ord,CQ$5-$A19+1)*$B19,0)</f>
        <v>0.0</v>
      </c>
      <c r="CR19" s="14">
        <f>IF(AND(CR$5-$A19&gt;=0,CR$5-$A19&lt;=19),INDEX(HU_ord,CR$5-$A19+1)*$B19,0)</f>
        <v>0.0</v>
      </c>
      <c r="CS19" s="14">
        <f>IF(AND(CS$5-$A19&gt;=0,CS$5-$A19&lt;=19),INDEX(HU_ord,CS$5-$A19+1)*$B19,0)</f>
        <v>0.0</v>
      </c>
      <c r="CT19" s="14">
        <f>IF(AND(CT$5-$A19&gt;=0,CT$5-$A19&lt;=19),INDEX(HU_ord,CT$5-$A19+1)*$B19,0)</f>
        <v>0.0</v>
      </c>
      <c r="CU19" s="14">
        <f>IF(AND(CU$5-$A19&gt;=0,CU$5-$A19&lt;=19),INDEX(HU_ord,CU$5-$A19+1)*$B19,0)</f>
        <v>0.0</v>
      </c>
      <c r="CV19" s="14">
        <f>IF(AND(CV$5-$A19&gt;=0,CV$5-$A19&lt;=19),INDEX(HU_ord,CV$5-$A19+1)*$B19,0)</f>
        <v>0.0</v>
      </c>
      <c r="CW19" s="14">
        <f>IF(AND(CW$5-$A19&gt;=0,CW$5-$A19&lt;=19),INDEX(HU_ord,CW$5-$A19+1)*$B19,0)</f>
        <v>0.0</v>
      </c>
      <c r="CX19" s="14">
        <f>IF(AND(CX$5-$A19&gt;=0,CX$5-$A19&lt;=19),INDEX(HU_ord,CX$5-$A19+1)*$B19,0)</f>
        <v>0.0</v>
      </c>
      <c r="CY19" s="14">
        <f>IF(AND(CY$5-$A19&gt;=0,CY$5-$A19&lt;=19),INDEX(HU_ord,CY$5-$A19+1)*$B19,0)</f>
        <v>0.0</v>
      </c>
      <c r="CZ19" s="14">
        <f>IF(AND(CZ$5-$A19&gt;=0,CZ$5-$A19&lt;=19),INDEX(HU_ord,CZ$5-$A19+1)*$B19,0)</f>
        <v>0.0</v>
      </c>
      <c r="DA19" s="14">
        <f>IF(AND(DA$5-$A19&gt;=0,DA$5-$A19&lt;=19),INDEX(HU_ord,DA$5-$A19+1)*$B19,0)</f>
        <v>0.0</v>
      </c>
      <c r="DB19" s="14">
        <f>IF(AND(DB$5-$A19&gt;=0,DB$5-$A19&lt;=19),INDEX(HU_ord,DB$5-$A19+1)*$B19,0)</f>
        <v>0.0</v>
      </c>
      <c r="DC19" s="14">
        <f>IF(AND(DC$5-$A19&gt;=0,DC$5-$A19&lt;=19),INDEX(HU_ord,DC$5-$A19+1)*$B19,0)</f>
        <v>0.0</v>
      </c>
      <c r="DD19" s="14">
        <f>IF(AND(DD$5-$A19&gt;=0,DD$5-$A19&lt;=19),INDEX(HU_ord,DD$5-$A19+1)*$B19,0)</f>
        <v>0.0</v>
      </c>
      <c r="DE19" s="14">
        <f>IF(AND(DE$5-$A19&gt;=0,DE$5-$A19&lt;=19),INDEX(HU_ord,DE$5-$A19+1)*$B19,0)</f>
        <v>0.0</v>
      </c>
      <c r="DF19" s="14">
        <f>IF(AND(DF$5-$A19&gt;=0,DF$5-$A19&lt;=19),INDEX(HU_ord,DF$5-$A19+1)*$B19,0)</f>
        <v>0.0</v>
      </c>
      <c r="DG19" s="14">
        <f>IF(AND(DG$5-$A19&gt;=0,DG$5-$A19&lt;=19),INDEX(HU_ord,DG$5-$A19+1)*$B19,0)</f>
        <v>0.0</v>
      </c>
      <c r="DH19" s="14">
        <f>IF(AND(DH$5-$A19&gt;=0,DH$5-$A19&lt;=19),INDEX(HU_ord,DH$5-$A19+1)*$B19,0)</f>
        <v>0.0</v>
      </c>
      <c r="DI19" s="14">
        <f>IF(AND(DI$5-$A19&gt;=0,DI$5-$A19&lt;=19),INDEX(HU_ord,DI$5-$A19+1)*$B19,0)</f>
        <v>0.0</v>
      </c>
    </row>
    <row r="20" spans="1:113">
      <c r="A20">
        <v>14</v>
      </c>
      <c r="B20" s="10">
        <f>Serie_horaria!N16</f>
        <v>0.1676434493401259</v>
      </c>
      <c r="C20" s="14">
        <f>IF(AND(C$5-$A20&gt;=0,C$5-$A20&lt;=19),INDEX(HU_ord,C$5-$A20+1)*$B20,0)</f>
        <v>0.0</v>
      </c>
      <c r="D20" s="14">
        <f>IF(AND(D$5-$A20&gt;=0,D$5-$A20&lt;=19),INDEX(HU_ord,D$5-$A20+1)*$B20,0)</f>
        <v>0.0</v>
      </c>
      <c r="E20" s="14">
        <f>IF(AND(E$5-$A20&gt;=0,E$5-$A20&lt;=19),INDEX(HU_ord,E$5-$A20+1)*$B20,0)</f>
        <v>0.0</v>
      </c>
      <c r="F20" s="14">
        <f>IF(AND(F$5-$A20&gt;=0,F$5-$A20&lt;=19),INDEX(HU_ord,F$5-$A20+1)*$B20,0)</f>
        <v>0.0</v>
      </c>
      <c r="G20" s="14">
        <f>IF(AND(G$5-$A20&gt;=0,G$5-$A20&lt;=19),INDEX(HU_ord,G$5-$A20+1)*$B20,0)</f>
        <v>0.0</v>
      </c>
      <c r="H20" s="14">
        <f>IF(AND(H$5-$A20&gt;=0,H$5-$A20&lt;=19),INDEX(HU_ord,H$5-$A20+1)*$B20,0)</f>
        <v>0.0</v>
      </c>
      <c r="I20" s="14">
        <f>IF(AND(I$5-$A20&gt;=0,I$5-$A20&lt;=19),INDEX(HU_ord,I$5-$A20+1)*$B20,0)</f>
        <v>0.0</v>
      </c>
      <c r="J20" s="14">
        <f>IF(AND(J$5-$A20&gt;=0,J$5-$A20&lt;=19),INDEX(HU_ord,J$5-$A20+1)*$B20,0)</f>
        <v>0.0</v>
      </c>
      <c r="K20" s="14">
        <f>IF(AND(K$5-$A20&gt;=0,K$5-$A20&lt;=19),INDEX(HU_ord,K$5-$A20+1)*$B20,0)</f>
        <v>0.0</v>
      </c>
      <c r="L20" s="14">
        <f>IF(AND(L$5-$A20&gt;=0,L$5-$A20&lt;=19),INDEX(HU_ord,L$5-$A20+1)*$B20,0)</f>
        <v>0.0</v>
      </c>
      <c r="M20" s="14">
        <f>IF(AND(M$5-$A20&gt;=0,M$5-$A20&lt;=19),INDEX(HU_ord,M$5-$A20+1)*$B20,0)</f>
        <v>0.0</v>
      </c>
      <c r="N20" s="14">
        <f>IF(AND(N$5-$A20&gt;=0,N$5-$A20&lt;=19),INDEX(HU_ord,N$5-$A20+1)*$B20,0)</f>
        <v>0.0</v>
      </c>
      <c r="O20" s="14">
        <f>IF(AND(O$5-$A20&gt;=0,O$5-$A20&lt;=19),INDEX(HU_ord,O$5-$A20+1)*$B20,0)</f>
        <v>0.0</v>
      </c>
      <c r="P20" s="14">
        <f>IF(AND(P$5-$A20&gt;=0,P$5-$A20&lt;=19),INDEX(HU_ord,P$5-$A20+1)*$B20,0)</f>
        <v>0.0</v>
      </c>
      <c r="Q20" s="14">
        <f>IF(AND(Q$5-$A20&gt;=0,Q$5-$A20&lt;=19),INDEX(HU_ord,Q$5-$A20+1)*$B20,0)</f>
        <v>0.0</v>
      </c>
      <c r="R20" s="14">
        <f>IF(AND(R$5-$A20&gt;=0,R$5-$A20&lt;=19),INDEX(HU_ord,R$5-$A20+1)*$B20,0)</f>
        <v>0.5448529881663351</v>
      </c>
      <c r="S20" s="14">
        <f>IF(AND(S$5-$A20&gt;=0,S$5-$A20&lt;=19),INDEX(HU_ord,S$5-$A20+1)*$B20,0)</f>
        <v>1.0897059763326702</v>
      </c>
      <c r="T20" s="14">
        <f>IF(AND(T$5-$A20&gt;=0,T$5-$A20&lt;=19),INDEX(HU_ord,T$5-$A20+1)*$B20,0)</f>
        <v>1.6345589644990055</v>
      </c>
      <c r="U20" s="14">
        <f>IF(AND(U$5-$A20&gt;=0,U$5-$A20&lt;=19),INDEX(HU_ord,U$5-$A20+1)*$B20,0)</f>
        <v>2.1794119526653404</v>
      </c>
      <c r="V20" s="14">
        <f>IF(AND(V$5-$A20&gt;=0,V$5-$A20&lt;=19),INDEX(HU_ord,V$5-$A20+1)*$B20,0)</f>
        <v>2.724264940831676</v>
      </c>
      <c r="W20" s="14">
        <f>IF(AND(W$5-$A20&gt;=0,W$5-$A20&lt;=19),INDEX(HU_ord,W$5-$A20+1)*$B20,0)</f>
        <v>3.269117928998011</v>
      </c>
      <c r="X20" s="14">
        <f>IF(AND(X$5-$A20&gt;=0,X$5-$A20&lt;=19),INDEX(HU_ord,X$5-$A20+1)*$B20,0)</f>
        <v>3.7191939030024486</v>
      </c>
      <c r="Y20" s="14">
        <f>IF(AND(Y$5-$A20&gt;=0,Y$5-$A20&lt;=19),INDEX(HU_ord,Y$5-$A20+1)*$B20,0)</f>
        <v>3.39293462865135</v>
      </c>
      <c r="Z20" s="14">
        <f>IF(AND(Z$5-$A20&gt;=0,Z$5-$A20&lt;=19),INDEX(HU_ord,Z$5-$A20+1)*$B20,0)</f>
        <v>3.066675354300251</v>
      </c>
      <c r="AA20" s="14">
        <f>IF(AND(AA$5-$A20&gt;=0,AA$5-$A20&lt;=19),INDEX(HU_ord,AA$5-$A20+1)*$B20,0)</f>
        <v>2.740416079949152</v>
      </c>
      <c r="AB20" s="14">
        <f>IF(AND(AB$5-$A20&gt;=0,AB$5-$A20&lt;=19),INDEX(HU_ord,AB$5-$A20+1)*$B20,0)</f>
        <v>2.414156805598053</v>
      </c>
      <c r="AC20" s="14">
        <f>IF(AND(AC$5-$A20&gt;=0,AC$5-$A20&lt;=19),INDEX(HU_ord,AC$5-$A20+1)*$B20,0)</f>
        <v>2.087897531246954</v>
      </c>
      <c r="AD20" s="14">
        <f>IF(AND(AD$5-$A20&gt;=0,AD$5-$A20&lt;=19),INDEX(HU_ord,AD$5-$A20+1)*$B20,0)</f>
        <v>1.7616382568958553</v>
      </c>
      <c r="AE20" s="14">
        <f>IF(AND(AE$5-$A20&gt;=0,AE$5-$A20&lt;=19),INDEX(HU_ord,AE$5-$A20+1)*$B20,0)</f>
        <v>1.4353789825447565</v>
      </c>
      <c r="AF20" s="14">
        <f>IF(AND(AF$5-$A20&gt;=0,AF$5-$A20&lt;=19),INDEX(HU_ord,AF$5-$A20+1)*$B20,0)</f>
        <v>1.1091197081936572</v>
      </c>
      <c r="AG20" s="14">
        <f>IF(AND(AG$5-$A20&gt;=0,AG$5-$A20&lt;=19),INDEX(HU_ord,AG$5-$A20+1)*$B20,0)</f>
        <v>0.7828604338425582</v>
      </c>
      <c r="AH20" s="14">
        <f>IF(AND(AH$5-$A20&gt;=0,AH$5-$A20&lt;=19),INDEX(HU_ord,AH$5-$A20+1)*$B20,0)</f>
        <v>0.4566011594914593</v>
      </c>
      <c r="AI20" s="14">
        <f>IF(AND(AI$5-$A20&gt;=0,AI$5-$A20&lt;=19),INDEX(HU_ord,AI$5-$A20+1)*$B20,0)</f>
        <v>0.13034188514036035</v>
      </c>
      <c r="AJ20" s="14">
        <f>IF(AND(AJ$5-$A20&gt;=0,AJ$5-$A20&lt;=19),INDEX(HU_ord,AJ$5-$A20+1)*$B20,0)</f>
        <v>0.0</v>
      </c>
      <c r="AK20" s="14">
        <f>IF(AND(AK$5-$A20&gt;=0,AK$5-$A20&lt;=19),INDEX(HU_ord,AK$5-$A20+1)*$B20,0)</f>
        <v>0.0</v>
      </c>
      <c r="AL20" s="14">
        <f>IF(AND(AL$5-$A20&gt;=0,AL$5-$A20&lt;=19),INDEX(HU_ord,AL$5-$A20+1)*$B20,0)</f>
        <v>0.0</v>
      </c>
      <c r="AM20" s="14">
        <f>IF(AND(AM$5-$A20&gt;=0,AM$5-$A20&lt;=19),INDEX(HU_ord,AM$5-$A20+1)*$B20,0)</f>
        <v>0.0</v>
      </c>
      <c r="AN20" s="14">
        <f>IF(AND(AN$5-$A20&gt;=0,AN$5-$A20&lt;=19),INDEX(HU_ord,AN$5-$A20+1)*$B20,0)</f>
        <v>0.0</v>
      </c>
      <c r="AO20" s="14">
        <f>IF(AND(AO$5-$A20&gt;=0,AO$5-$A20&lt;=19),INDEX(HU_ord,AO$5-$A20+1)*$B20,0)</f>
        <v>0.0</v>
      </c>
      <c r="AP20" s="14">
        <f>IF(AND(AP$5-$A20&gt;=0,AP$5-$A20&lt;=19),INDEX(HU_ord,AP$5-$A20+1)*$B20,0)</f>
        <v>0.0</v>
      </c>
      <c r="AQ20" s="14">
        <f>IF(AND(AQ$5-$A20&gt;=0,AQ$5-$A20&lt;=19),INDEX(HU_ord,AQ$5-$A20+1)*$B20,0)</f>
        <v>0.0</v>
      </c>
      <c r="AR20" s="14">
        <f>IF(AND(AR$5-$A20&gt;=0,AR$5-$A20&lt;=19),INDEX(HU_ord,AR$5-$A20+1)*$B20,0)</f>
        <v>0.0</v>
      </c>
      <c r="AS20" s="14">
        <f>IF(AND(AS$5-$A20&gt;=0,AS$5-$A20&lt;=19),INDEX(HU_ord,AS$5-$A20+1)*$B20,0)</f>
        <v>0.0</v>
      </c>
      <c r="AT20" s="14">
        <f>IF(AND(AT$5-$A20&gt;=0,AT$5-$A20&lt;=19),INDEX(HU_ord,AT$5-$A20+1)*$B20,0)</f>
        <v>0.0</v>
      </c>
      <c r="AU20" s="14">
        <f>IF(AND(AU$5-$A20&gt;=0,AU$5-$A20&lt;=19),INDEX(HU_ord,AU$5-$A20+1)*$B20,0)</f>
        <v>0.0</v>
      </c>
      <c r="AV20" s="14">
        <f>IF(AND(AV$5-$A20&gt;=0,AV$5-$A20&lt;=19),INDEX(HU_ord,AV$5-$A20+1)*$B20,0)</f>
        <v>0.0</v>
      </c>
      <c r="AW20" s="14">
        <f>IF(AND(AW$5-$A20&gt;=0,AW$5-$A20&lt;=19),INDEX(HU_ord,AW$5-$A20+1)*$B20,0)</f>
        <v>0.0</v>
      </c>
      <c r="AX20" s="14">
        <f>IF(AND(AX$5-$A20&gt;=0,AX$5-$A20&lt;=19),INDEX(HU_ord,AX$5-$A20+1)*$B20,0)</f>
        <v>0.0</v>
      </c>
      <c r="AY20" s="14">
        <f>IF(AND(AY$5-$A20&gt;=0,AY$5-$A20&lt;=19),INDEX(HU_ord,AY$5-$A20+1)*$B20,0)</f>
        <v>0.0</v>
      </c>
      <c r="AZ20" s="14">
        <f>IF(AND(AZ$5-$A20&gt;=0,AZ$5-$A20&lt;=19),INDEX(HU_ord,AZ$5-$A20+1)*$B20,0)</f>
        <v>0.0</v>
      </c>
      <c r="BA20" s="14">
        <f>IF(AND(BA$5-$A20&gt;=0,BA$5-$A20&lt;=19),INDEX(HU_ord,BA$5-$A20+1)*$B20,0)</f>
        <v>0.0</v>
      </c>
      <c r="BB20" s="14">
        <f>IF(AND(BB$5-$A20&gt;=0,BB$5-$A20&lt;=19),INDEX(HU_ord,BB$5-$A20+1)*$B20,0)</f>
        <v>0.0</v>
      </c>
      <c r="BC20" s="14">
        <f>IF(AND(BC$5-$A20&gt;=0,BC$5-$A20&lt;=19),INDEX(HU_ord,BC$5-$A20+1)*$B20,0)</f>
        <v>0.0</v>
      </c>
      <c r="BD20" s="14">
        <f>IF(AND(BD$5-$A20&gt;=0,BD$5-$A20&lt;=19),INDEX(HU_ord,BD$5-$A20+1)*$B20,0)</f>
        <v>0.0</v>
      </c>
      <c r="BE20" s="14">
        <f>IF(AND(BE$5-$A20&gt;=0,BE$5-$A20&lt;=19),INDEX(HU_ord,BE$5-$A20+1)*$B20,0)</f>
        <v>0.0</v>
      </c>
      <c r="BF20" s="14">
        <f>IF(AND(BF$5-$A20&gt;=0,BF$5-$A20&lt;=19),INDEX(HU_ord,BF$5-$A20+1)*$B20,0)</f>
        <v>0.0</v>
      </c>
      <c r="BG20" s="14">
        <f>IF(AND(BG$5-$A20&gt;=0,BG$5-$A20&lt;=19),INDEX(HU_ord,BG$5-$A20+1)*$B20,0)</f>
        <v>0.0</v>
      </c>
      <c r="BH20" s="14">
        <f>IF(AND(BH$5-$A20&gt;=0,BH$5-$A20&lt;=19),INDEX(HU_ord,BH$5-$A20+1)*$B20,0)</f>
        <v>0.0</v>
      </c>
      <c r="BI20" s="14">
        <f>IF(AND(BI$5-$A20&gt;=0,BI$5-$A20&lt;=19),INDEX(HU_ord,BI$5-$A20+1)*$B20,0)</f>
        <v>0.0</v>
      </c>
      <c r="BJ20" s="14">
        <f>IF(AND(BJ$5-$A20&gt;=0,BJ$5-$A20&lt;=19),INDEX(HU_ord,BJ$5-$A20+1)*$B20,0)</f>
        <v>0.0</v>
      </c>
      <c r="BK20" s="14">
        <f>IF(AND(BK$5-$A20&gt;=0,BK$5-$A20&lt;=19),INDEX(HU_ord,BK$5-$A20+1)*$B20,0)</f>
        <v>0.0</v>
      </c>
      <c r="BL20" s="14">
        <f>IF(AND(BL$5-$A20&gt;=0,BL$5-$A20&lt;=19),INDEX(HU_ord,BL$5-$A20+1)*$B20,0)</f>
        <v>0.0</v>
      </c>
      <c r="BM20" s="14">
        <f>IF(AND(BM$5-$A20&gt;=0,BM$5-$A20&lt;=19),INDEX(HU_ord,BM$5-$A20+1)*$B20,0)</f>
        <v>0.0</v>
      </c>
      <c r="BN20" s="14">
        <f>IF(AND(BN$5-$A20&gt;=0,BN$5-$A20&lt;=19),INDEX(HU_ord,BN$5-$A20+1)*$B20,0)</f>
        <v>0.0</v>
      </c>
      <c r="BO20" s="14">
        <f>IF(AND(BO$5-$A20&gt;=0,BO$5-$A20&lt;=19),INDEX(HU_ord,BO$5-$A20+1)*$B20,0)</f>
        <v>0.0</v>
      </c>
      <c r="BP20" s="14">
        <f>IF(AND(BP$5-$A20&gt;=0,BP$5-$A20&lt;=19),INDEX(HU_ord,BP$5-$A20+1)*$B20,0)</f>
        <v>0.0</v>
      </c>
      <c r="BQ20" s="14">
        <f>IF(AND(BQ$5-$A20&gt;=0,BQ$5-$A20&lt;=19),INDEX(HU_ord,BQ$5-$A20+1)*$B20,0)</f>
        <v>0.0</v>
      </c>
      <c r="BR20" s="14">
        <f>IF(AND(BR$5-$A20&gt;=0,BR$5-$A20&lt;=19),INDEX(HU_ord,BR$5-$A20+1)*$B20,0)</f>
        <v>0.0</v>
      </c>
      <c r="BS20" s="14">
        <f>IF(AND(BS$5-$A20&gt;=0,BS$5-$A20&lt;=19),INDEX(HU_ord,BS$5-$A20+1)*$B20,0)</f>
        <v>0.0</v>
      </c>
      <c r="BT20" s="14">
        <f>IF(AND(BT$5-$A20&gt;=0,BT$5-$A20&lt;=19),INDEX(HU_ord,BT$5-$A20+1)*$B20,0)</f>
        <v>0.0</v>
      </c>
      <c r="BU20" s="14">
        <f>IF(AND(BU$5-$A20&gt;=0,BU$5-$A20&lt;=19),INDEX(HU_ord,BU$5-$A20+1)*$B20,0)</f>
        <v>0.0</v>
      </c>
      <c r="BV20" s="14">
        <f>IF(AND(BV$5-$A20&gt;=0,BV$5-$A20&lt;=19),INDEX(HU_ord,BV$5-$A20+1)*$B20,0)</f>
        <v>0.0</v>
      </c>
      <c r="BW20" s="14">
        <f>IF(AND(BW$5-$A20&gt;=0,BW$5-$A20&lt;=19),INDEX(HU_ord,BW$5-$A20+1)*$B20,0)</f>
        <v>0.0</v>
      </c>
      <c r="BX20" s="14">
        <f>IF(AND(BX$5-$A20&gt;=0,BX$5-$A20&lt;=19),INDEX(HU_ord,BX$5-$A20+1)*$B20,0)</f>
        <v>0.0</v>
      </c>
      <c r="BY20" s="14">
        <f>IF(AND(BY$5-$A20&gt;=0,BY$5-$A20&lt;=19),INDEX(HU_ord,BY$5-$A20+1)*$B20,0)</f>
        <v>0.0</v>
      </c>
      <c r="BZ20" s="14">
        <f>IF(AND(BZ$5-$A20&gt;=0,BZ$5-$A20&lt;=19),INDEX(HU_ord,BZ$5-$A20+1)*$B20,0)</f>
        <v>0.0</v>
      </c>
      <c r="CA20" s="14">
        <f>IF(AND(CA$5-$A20&gt;=0,CA$5-$A20&lt;=19),INDEX(HU_ord,CA$5-$A20+1)*$B20,0)</f>
        <v>0.0</v>
      </c>
      <c r="CB20" s="14">
        <f>IF(AND(CB$5-$A20&gt;=0,CB$5-$A20&lt;=19),INDEX(HU_ord,CB$5-$A20+1)*$B20,0)</f>
        <v>0.0</v>
      </c>
      <c r="CC20" s="14">
        <f>IF(AND(CC$5-$A20&gt;=0,CC$5-$A20&lt;=19),INDEX(HU_ord,CC$5-$A20+1)*$B20,0)</f>
        <v>0.0</v>
      </c>
      <c r="CD20" s="14">
        <f>IF(AND(CD$5-$A20&gt;=0,CD$5-$A20&lt;=19),INDEX(HU_ord,CD$5-$A20+1)*$B20,0)</f>
        <v>0.0</v>
      </c>
      <c r="CE20" s="14">
        <f>IF(AND(CE$5-$A20&gt;=0,CE$5-$A20&lt;=19),INDEX(HU_ord,CE$5-$A20+1)*$B20,0)</f>
        <v>0.0</v>
      </c>
      <c r="CF20" s="14">
        <f>IF(AND(CF$5-$A20&gt;=0,CF$5-$A20&lt;=19),INDEX(HU_ord,CF$5-$A20+1)*$B20,0)</f>
        <v>0.0</v>
      </c>
      <c r="CG20" s="14">
        <f>IF(AND(CG$5-$A20&gt;=0,CG$5-$A20&lt;=19),INDEX(HU_ord,CG$5-$A20+1)*$B20,0)</f>
        <v>0.0</v>
      </c>
      <c r="CH20" s="14">
        <f>IF(AND(CH$5-$A20&gt;=0,CH$5-$A20&lt;=19),INDEX(HU_ord,CH$5-$A20+1)*$B20,0)</f>
        <v>0.0</v>
      </c>
      <c r="CI20" s="14">
        <f>IF(AND(CI$5-$A20&gt;=0,CI$5-$A20&lt;=19),INDEX(HU_ord,CI$5-$A20+1)*$B20,0)</f>
        <v>0.0</v>
      </c>
      <c r="CJ20" s="14">
        <f>IF(AND(CJ$5-$A20&gt;=0,CJ$5-$A20&lt;=19),INDEX(HU_ord,CJ$5-$A20+1)*$B20,0)</f>
        <v>0.0</v>
      </c>
      <c r="CK20" s="14">
        <f>IF(AND(CK$5-$A20&gt;=0,CK$5-$A20&lt;=19),INDEX(HU_ord,CK$5-$A20+1)*$B20,0)</f>
        <v>0.0</v>
      </c>
      <c r="CL20" s="14">
        <f>IF(AND(CL$5-$A20&gt;=0,CL$5-$A20&lt;=19),INDEX(HU_ord,CL$5-$A20+1)*$B20,0)</f>
        <v>0.0</v>
      </c>
      <c r="CM20" s="14">
        <f>IF(AND(CM$5-$A20&gt;=0,CM$5-$A20&lt;=19),INDEX(HU_ord,CM$5-$A20+1)*$B20,0)</f>
        <v>0.0</v>
      </c>
      <c r="CN20" s="14">
        <f>IF(AND(CN$5-$A20&gt;=0,CN$5-$A20&lt;=19),INDEX(HU_ord,CN$5-$A20+1)*$B20,0)</f>
        <v>0.0</v>
      </c>
      <c r="CO20" s="14">
        <f>IF(AND(CO$5-$A20&gt;=0,CO$5-$A20&lt;=19),INDEX(HU_ord,CO$5-$A20+1)*$B20,0)</f>
        <v>0.0</v>
      </c>
      <c r="CP20" s="14">
        <f>IF(AND(CP$5-$A20&gt;=0,CP$5-$A20&lt;=19),INDEX(HU_ord,CP$5-$A20+1)*$B20,0)</f>
        <v>0.0</v>
      </c>
      <c r="CQ20" s="14">
        <f>IF(AND(CQ$5-$A20&gt;=0,CQ$5-$A20&lt;=19),INDEX(HU_ord,CQ$5-$A20+1)*$B20,0)</f>
        <v>0.0</v>
      </c>
      <c r="CR20" s="14">
        <f>IF(AND(CR$5-$A20&gt;=0,CR$5-$A20&lt;=19),INDEX(HU_ord,CR$5-$A20+1)*$B20,0)</f>
        <v>0.0</v>
      </c>
      <c r="CS20" s="14">
        <f>IF(AND(CS$5-$A20&gt;=0,CS$5-$A20&lt;=19),INDEX(HU_ord,CS$5-$A20+1)*$B20,0)</f>
        <v>0.0</v>
      </c>
      <c r="CT20" s="14">
        <f>IF(AND(CT$5-$A20&gt;=0,CT$5-$A20&lt;=19),INDEX(HU_ord,CT$5-$A20+1)*$B20,0)</f>
        <v>0.0</v>
      </c>
      <c r="CU20" s="14">
        <f>IF(AND(CU$5-$A20&gt;=0,CU$5-$A20&lt;=19),INDEX(HU_ord,CU$5-$A20+1)*$B20,0)</f>
        <v>0.0</v>
      </c>
      <c r="CV20" s="14">
        <f>IF(AND(CV$5-$A20&gt;=0,CV$5-$A20&lt;=19),INDEX(HU_ord,CV$5-$A20+1)*$B20,0)</f>
        <v>0.0</v>
      </c>
      <c r="CW20" s="14">
        <f>IF(AND(CW$5-$A20&gt;=0,CW$5-$A20&lt;=19),INDEX(HU_ord,CW$5-$A20+1)*$B20,0)</f>
        <v>0.0</v>
      </c>
      <c r="CX20" s="14">
        <f>IF(AND(CX$5-$A20&gt;=0,CX$5-$A20&lt;=19),INDEX(HU_ord,CX$5-$A20+1)*$B20,0)</f>
        <v>0.0</v>
      </c>
      <c r="CY20" s="14">
        <f>IF(AND(CY$5-$A20&gt;=0,CY$5-$A20&lt;=19),INDEX(HU_ord,CY$5-$A20+1)*$B20,0)</f>
        <v>0.0</v>
      </c>
      <c r="CZ20" s="14">
        <f>IF(AND(CZ$5-$A20&gt;=0,CZ$5-$A20&lt;=19),INDEX(HU_ord,CZ$5-$A20+1)*$B20,0)</f>
        <v>0.0</v>
      </c>
      <c r="DA20" s="14">
        <f>IF(AND(DA$5-$A20&gt;=0,DA$5-$A20&lt;=19),INDEX(HU_ord,DA$5-$A20+1)*$B20,0)</f>
        <v>0.0</v>
      </c>
      <c r="DB20" s="14">
        <f>IF(AND(DB$5-$A20&gt;=0,DB$5-$A20&lt;=19),INDEX(HU_ord,DB$5-$A20+1)*$B20,0)</f>
        <v>0.0</v>
      </c>
      <c r="DC20" s="14">
        <f>IF(AND(DC$5-$A20&gt;=0,DC$5-$A20&lt;=19),INDEX(HU_ord,DC$5-$A20+1)*$B20,0)</f>
        <v>0.0</v>
      </c>
      <c r="DD20" s="14">
        <f>IF(AND(DD$5-$A20&gt;=0,DD$5-$A20&lt;=19),INDEX(HU_ord,DD$5-$A20+1)*$B20,0)</f>
        <v>0.0</v>
      </c>
      <c r="DE20" s="14">
        <f>IF(AND(DE$5-$A20&gt;=0,DE$5-$A20&lt;=19),INDEX(HU_ord,DE$5-$A20+1)*$B20,0)</f>
        <v>0.0</v>
      </c>
      <c r="DF20" s="14">
        <f>IF(AND(DF$5-$A20&gt;=0,DF$5-$A20&lt;=19),INDEX(HU_ord,DF$5-$A20+1)*$B20,0)</f>
        <v>0.0</v>
      </c>
      <c r="DG20" s="14">
        <f>IF(AND(DG$5-$A20&gt;=0,DG$5-$A20&lt;=19),INDEX(HU_ord,DG$5-$A20+1)*$B20,0)</f>
        <v>0.0</v>
      </c>
      <c r="DH20" s="14">
        <f>IF(AND(DH$5-$A20&gt;=0,DH$5-$A20&lt;=19),INDEX(HU_ord,DH$5-$A20+1)*$B20,0)</f>
        <v>0.0</v>
      </c>
      <c r="DI20" s="14">
        <f>IF(AND(DI$5-$A20&gt;=0,DI$5-$A20&lt;=19),INDEX(HU_ord,DI$5-$A20+1)*$B20,0)</f>
        <v>0.0</v>
      </c>
    </row>
    <row r="21" spans="1:113">
      <c r="A21">
        <v>15</v>
      </c>
      <c r="B21" s="10">
        <f>Serie_horaria!N17</f>
        <v>0.09258823954018407</v>
      </c>
      <c r="C21" s="14">
        <f>IF(AND(C$5-$A21&gt;=0,C$5-$A21&lt;=19),INDEX(HU_ord,C$5-$A21+1)*$B21,0)</f>
        <v>0.0</v>
      </c>
      <c r="D21" s="14">
        <f>IF(AND(D$5-$A21&gt;=0,D$5-$A21&lt;=19),INDEX(HU_ord,D$5-$A21+1)*$B21,0)</f>
        <v>0.0</v>
      </c>
      <c r="E21" s="14">
        <f>IF(AND(E$5-$A21&gt;=0,E$5-$A21&lt;=19),INDEX(HU_ord,E$5-$A21+1)*$B21,0)</f>
        <v>0.0</v>
      </c>
      <c r="F21" s="14">
        <f>IF(AND(F$5-$A21&gt;=0,F$5-$A21&lt;=19),INDEX(HU_ord,F$5-$A21+1)*$B21,0)</f>
        <v>0.0</v>
      </c>
      <c r="G21" s="14">
        <f>IF(AND(G$5-$A21&gt;=0,G$5-$A21&lt;=19),INDEX(HU_ord,G$5-$A21+1)*$B21,0)</f>
        <v>0.0</v>
      </c>
      <c r="H21" s="14">
        <f>IF(AND(H$5-$A21&gt;=0,H$5-$A21&lt;=19),INDEX(HU_ord,H$5-$A21+1)*$B21,0)</f>
        <v>0.0</v>
      </c>
      <c r="I21" s="14">
        <f>IF(AND(I$5-$A21&gt;=0,I$5-$A21&lt;=19),INDEX(HU_ord,I$5-$A21+1)*$B21,0)</f>
        <v>0.0</v>
      </c>
      <c r="J21" s="14">
        <f>IF(AND(J$5-$A21&gt;=0,J$5-$A21&lt;=19),INDEX(HU_ord,J$5-$A21+1)*$B21,0)</f>
        <v>0.0</v>
      </c>
      <c r="K21" s="14">
        <f>IF(AND(K$5-$A21&gt;=0,K$5-$A21&lt;=19),INDEX(HU_ord,K$5-$A21+1)*$B21,0)</f>
        <v>0.0</v>
      </c>
      <c r="L21" s="14">
        <f>IF(AND(L$5-$A21&gt;=0,L$5-$A21&lt;=19),INDEX(HU_ord,L$5-$A21+1)*$B21,0)</f>
        <v>0.0</v>
      </c>
      <c r="M21" s="14">
        <f>IF(AND(M$5-$A21&gt;=0,M$5-$A21&lt;=19),INDEX(HU_ord,M$5-$A21+1)*$B21,0)</f>
        <v>0.0</v>
      </c>
      <c r="N21" s="14">
        <f>IF(AND(N$5-$A21&gt;=0,N$5-$A21&lt;=19),INDEX(HU_ord,N$5-$A21+1)*$B21,0)</f>
        <v>0.0</v>
      </c>
      <c r="O21" s="14">
        <f>IF(AND(O$5-$A21&gt;=0,O$5-$A21&lt;=19),INDEX(HU_ord,O$5-$A21+1)*$B21,0)</f>
        <v>0.0</v>
      </c>
      <c r="P21" s="14">
        <f>IF(AND(P$5-$A21&gt;=0,P$5-$A21&lt;=19),INDEX(HU_ord,P$5-$A21+1)*$B21,0)</f>
        <v>0.0</v>
      </c>
      <c r="Q21" s="14">
        <f>IF(AND(Q$5-$A21&gt;=0,Q$5-$A21&lt;=19),INDEX(HU_ord,Q$5-$A21+1)*$B21,0)</f>
        <v>0.0</v>
      </c>
      <c r="R21" s="14">
        <f>IF(AND(R$5-$A21&gt;=0,R$5-$A21&lt;=19),INDEX(HU_ord,R$5-$A21+1)*$B21,0)</f>
        <v>0.0</v>
      </c>
      <c r="S21" s="14">
        <f>IF(AND(S$5-$A21&gt;=0,S$5-$A21&lt;=19),INDEX(HU_ord,S$5-$A21+1)*$B21,0)</f>
        <v>0.3009182833036298</v>
      </c>
      <c r="T21" s="14">
        <f>IF(AND(T$5-$A21&gt;=0,T$5-$A21&lt;=19),INDEX(HU_ord,T$5-$A21+1)*$B21,0)</f>
        <v>0.6018365666072596</v>
      </c>
      <c r="U21" s="14">
        <f>IF(AND(U$5-$A21&gt;=0,U$5-$A21&lt;=19),INDEX(HU_ord,U$5-$A21+1)*$B21,0)</f>
        <v>0.9027548499108894</v>
      </c>
      <c r="V21" s="14">
        <f>IF(AND(V$5-$A21&gt;=0,V$5-$A21&lt;=19),INDEX(HU_ord,V$5-$A21+1)*$B21,0)</f>
        <v>1.2036731332145192</v>
      </c>
      <c r="W21" s="14">
        <f>IF(AND(W$5-$A21&gt;=0,W$5-$A21&lt;=19),INDEX(HU_ord,W$5-$A21+1)*$B21,0)</f>
        <v>1.504591416518149</v>
      </c>
      <c r="X21" s="14">
        <f>IF(AND(X$5-$A21&gt;=0,X$5-$A21&lt;=19),INDEX(HU_ord,X$5-$A21+1)*$B21,0)</f>
        <v>1.8055096998217788</v>
      </c>
      <c r="Y21" s="14">
        <f>IF(AND(Y$5-$A21&gt;=0,Y$5-$A21&lt;=19),INDEX(HU_ord,Y$5-$A21+1)*$B21,0)</f>
        <v>2.0540833378400363</v>
      </c>
      <c r="Z21" s="14">
        <f>IF(AND(Z$5-$A21&gt;=0,Z$5-$A21&lt;=19),INDEX(HU_ord,Z$5-$A21+1)*$B21,0)</f>
        <v>1.8738927490354675</v>
      </c>
      <c r="AA21" s="14">
        <f>IF(AND(AA$5-$A21&gt;=0,AA$5-$A21&lt;=19),INDEX(HU_ord,AA$5-$A21+1)*$B21,0)</f>
        <v>1.6937021602308988</v>
      </c>
      <c r="AB21" s="14">
        <f>IF(AND(AB$5-$A21&gt;=0,AB$5-$A21&lt;=19),INDEX(HU_ord,AB$5-$A21+1)*$B21,0)</f>
        <v>1.5135115714263299</v>
      </c>
      <c r="AC21" s="14">
        <f>IF(AND(AC$5-$A21&gt;=0,AC$5-$A21&lt;=19),INDEX(HU_ord,AC$5-$A21+1)*$B21,0)</f>
        <v>1.3333209826217611</v>
      </c>
      <c r="AD21" s="14">
        <f>IF(AND(AD$5-$A21&gt;=0,AD$5-$A21&lt;=19),INDEX(HU_ord,AD$5-$A21+1)*$B21,0)</f>
        <v>1.1531303938171924</v>
      </c>
      <c r="AE21" s="14">
        <f>IF(AND(AE$5-$A21&gt;=0,AE$5-$A21&lt;=19),INDEX(HU_ord,AE$5-$A21+1)*$B21,0)</f>
        <v>0.9729398050126237</v>
      </c>
      <c r="AF21" s="14">
        <f>IF(AND(AF$5-$A21&gt;=0,AF$5-$A21&lt;=19),INDEX(HU_ord,AF$5-$A21+1)*$B21,0)</f>
        <v>0.792749216208055</v>
      </c>
      <c r="AG21" s="14">
        <f>IF(AND(AG$5-$A21&gt;=0,AG$5-$A21&lt;=19),INDEX(HU_ord,AG$5-$A21+1)*$B21,0)</f>
        <v>0.6125586274034862</v>
      </c>
      <c r="AH21" s="14">
        <f>IF(AND(AH$5-$A21&gt;=0,AH$5-$A21&lt;=19),INDEX(HU_ord,AH$5-$A21+1)*$B21,0)</f>
        <v>0.43236803859891737</v>
      </c>
      <c r="AI21" s="14">
        <f>IF(AND(AI$5-$A21&gt;=0,AI$5-$A21&lt;=19),INDEX(HU_ord,AI$5-$A21+1)*$B21,0)</f>
        <v>0.2521774497943486</v>
      </c>
      <c r="AJ21" s="14">
        <f>IF(AND(AJ$5-$A21&gt;=0,AJ$5-$A21&lt;=19),INDEX(HU_ord,AJ$5-$A21+1)*$B21,0)</f>
        <v>0.07198686098977986</v>
      </c>
      <c r="AK21" s="14">
        <f>IF(AND(AK$5-$A21&gt;=0,AK$5-$A21&lt;=19),INDEX(HU_ord,AK$5-$A21+1)*$B21,0)</f>
        <v>0.0</v>
      </c>
      <c r="AL21" s="14">
        <f>IF(AND(AL$5-$A21&gt;=0,AL$5-$A21&lt;=19),INDEX(HU_ord,AL$5-$A21+1)*$B21,0)</f>
        <v>0.0</v>
      </c>
      <c r="AM21" s="14">
        <f>IF(AND(AM$5-$A21&gt;=0,AM$5-$A21&lt;=19),INDEX(HU_ord,AM$5-$A21+1)*$B21,0)</f>
        <v>0.0</v>
      </c>
      <c r="AN21" s="14">
        <f>IF(AND(AN$5-$A21&gt;=0,AN$5-$A21&lt;=19),INDEX(HU_ord,AN$5-$A21+1)*$B21,0)</f>
        <v>0.0</v>
      </c>
      <c r="AO21" s="14">
        <f>IF(AND(AO$5-$A21&gt;=0,AO$5-$A21&lt;=19),INDEX(HU_ord,AO$5-$A21+1)*$B21,0)</f>
        <v>0.0</v>
      </c>
      <c r="AP21" s="14">
        <f>IF(AND(AP$5-$A21&gt;=0,AP$5-$A21&lt;=19),INDEX(HU_ord,AP$5-$A21+1)*$B21,0)</f>
        <v>0.0</v>
      </c>
      <c r="AQ21" s="14">
        <f>IF(AND(AQ$5-$A21&gt;=0,AQ$5-$A21&lt;=19),INDEX(HU_ord,AQ$5-$A21+1)*$B21,0)</f>
        <v>0.0</v>
      </c>
      <c r="AR21" s="14">
        <f>IF(AND(AR$5-$A21&gt;=0,AR$5-$A21&lt;=19),INDEX(HU_ord,AR$5-$A21+1)*$B21,0)</f>
        <v>0.0</v>
      </c>
      <c r="AS21" s="14">
        <f>IF(AND(AS$5-$A21&gt;=0,AS$5-$A21&lt;=19),INDEX(HU_ord,AS$5-$A21+1)*$B21,0)</f>
        <v>0.0</v>
      </c>
      <c r="AT21" s="14">
        <f>IF(AND(AT$5-$A21&gt;=0,AT$5-$A21&lt;=19),INDEX(HU_ord,AT$5-$A21+1)*$B21,0)</f>
        <v>0.0</v>
      </c>
      <c r="AU21" s="14">
        <f>IF(AND(AU$5-$A21&gt;=0,AU$5-$A21&lt;=19),INDEX(HU_ord,AU$5-$A21+1)*$B21,0)</f>
        <v>0.0</v>
      </c>
      <c r="AV21" s="14">
        <f>IF(AND(AV$5-$A21&gt;=0,AV$5-$A21&lt;=19),INDEX(HU_ord,AV$5-$A21+1)*$B21,0)</f>
        <v>0.0</v>
      </c>
      <c r="AW21" s="14">
        <f>IF(AND(AW$5-$A21&gt;=0,AW$5-$A21&lt;=19),INDEX(HU_ord,AW$5-$A21+1)*$B21,0)</f>
        <v>0.0</v>
      </c>
      <c r="AX21" s="14">
        <f>IF(AND(AX$5-$A21&gt;=0,AX$5-$A21&lt;=19),INDEX(HU_ord,AX$5-$A21+1)*$B21,0)</f>
        <v>0.0</v>
      </c>
      <c r="AY21" s="14">
        <f>IF(AND(AY$5-$A21&gt;=0,AY$5-$A21&lt;=19),INDEX(HU_ord,AY$5-$A21+1)*$B21,0)</f>
        <v>0.0</v>
      </c>
      <c r="AZ21" s="14">
        <f>IF(AND(AZ$5-$A21&gt;=0,AZ$5-$A21&lt;=19),INDEX(HU_ord,AZ$5-$A21+1)*$B21,0)</f>
        <v>0.0</v>
      </c>
      <c r="BA21" s="14">
        <f>IF(AND(BA$5-$A21&gt;=0,BA$5-$A21&lt;=19),INDEX(HU_ord,BA$5-$A21+1)*$B21,0)</f>
        <v>0.0</v>
      </c>
      <c r="BB21" s="14">
        <f>IF(AND(BB$5-$A21&gt;=0,BB$5-$A21&lt;=19),INDEX(HU_ord,BB$5-$A21+1)*$B21,0)</f>
        <v>0.0</v>
      </c>
      <c r="BC21" s="14">
        <f>IF(AND(BC$5-$A21&gt;=0,BC$5-$A21&lt;=19),INDEX(HU_ord,BC$5-$A21+1)*$B21,0)</f>
        <v>0.0</v>
      </c>
      <c r="BD21" s="14">
        <f>IF(AND(BD$5-$A21&gt;=0,BD$5-$A21&lt;=19),INDEX(HU_ord,BD$5-$A21+1)*$B21,0)</f>
        <v>0.0</v>
      </c>
      <c r="BE21" s="14">
        <f>IF(AND(BE$5-$A21&gt;=0,BE$5-$A21&lt;=19),INDEX(HU_ord,BE$5-$A21+1)*$B21,0)</f>
        <v>0.0</v>
      </c>
      <c r="BF21" s="14">
        <f>IF(AND(BF$5-$A21&gt;=0,BF$5-$A21&lt;=19),INDEX(HU_ord,BF$5-$A21+1)*$B21,0)</f>
        <v>0.0</v>
      </c>
      <c r="BG21" s="14">
        <f>IF(AND(BG$5-$A21&gt;=0,BG$5-$A21&lt;=19),INDEX(HU_ord,BG$5-$A21+1)*$B21,0)</f>
        <v>0.0</v>
      </c>
      <c r="BH21" s="14">
        <f>IF(AND(BH$5-$A21&gt;=0,BH$5-$A21&lt;=19),INDEX(HU_ord,BH$5-$A21+1)*$B21,0)</f>
        <v>0.0</v>
      </c>
      <c r="BI21" s="14">
        <f>IF(AND(BI$5-$A21&gt;=0,BI$5-$A21&lt;=19),INDEX(HU_ord,BI$5-$A21+1)*$B21,0)</f>
        <v>0.0</v>
      </c>
      <c r="BJ21" s="14">
        <f>IF(AND(BJ$5-$A21&gt;=0,BJ$5-$A21&lt;=19),INDEX(HU_ord,BJ$5-$A21+1)*$B21,0)</f>
        <v>0.0</v>
      </c>
      <c r="BK21" s="14">
        <f>IF(AND(BK$5-$A21&gt;=0,BK$5-$A21&lt;=19),INDEX(HU_ord,BK$5-$A21+1)*$B21,0)</f>
        <v>0.0</v>
      </c>
      <c r="BL21" s="14">
        <f>IF(AND(BL$5-$A21&gt;=0,BL$5-$A21&lt;=19),INDEX(HU_ord,BL$5-$A21+1)*$B21,0)</f>
        <v>0.0</v>
      </c>
      <c r="BM21" s="14">
        <f>IF(AND(BM$5-$A21&gt;=0,BM$5-$A21&lt;=19),INDEX(HU_ord,BM$5-$A21+1)*$B21,0)</f>
        <v>0.0</v>
      </c>
      <c r="BN21" s="14">
        <f>IF(AND(BN$5-$A21&gt;=0,BN$5-$A21&lt;=19),INDEX(HU_ord,BN$5-$A21+1)*$B21,0)</f>
        <v>0.0</v>
      </c>
      <c r="BO21" s="14">
        <f>IF(AND(BO$5-$A21&gt;=0,BO$5-$A21&lt;=19),INDEX(HU_ord,BO$5-$A21+1)*$B21,0)</f>
        <v>0.0</v>
      </c>
      <c r="BP21" s="14">
        <f>IF(AND(BP$5-$A21&gt;=0,BP$5-$A21&lt;=19),INDEX(HU_ord,BP$5-$A21+1)*$B21,0)</f>
        <v>0.0</v>
      </c>
      <c r="BQ21" s="14">
        <f>IF(AND(BQ$5-$A21&gt;=0,BQ$5-$A21&lt;=19),INDEX(HU_ord,BQ$5-$A21+1)*$B21,0)</f>
        <v>0.0</v>
      </c>
      <c r="BR21" s="14">
        <f>IF(AND(BR$5-$A21&gt;=0,BR$5-$A21&lt;=19),INDEX(HU_ord,BR$5-$A21+1)*$B21,0)</f>
        <v>0.0</v>
      </c>
      <c r="BS21" s="14">
        <f>IF(AND(BS$5-$A21&gt;=0,BS$5-$A21&lt;=19),INDEX(HU_ord,BS$5-$A21+1)*$B21,0)</f>
        <v>0.0</v>
      </c>
      <c r="BT21" s="14">
        <f>IF(AND(BT$5-$A21&gt;=0,BT$5-$A21&lt;=19),INDEX(HU_ord,BT$5-$A21+1)*$B21,0)</f>
        <v>0.0</v>
      </c>
      <c r="BU21" s="14">
        <f>IF(AND(BU$5-$A21&gt;=0,BU$5-$A21&lt;=19),INDEX(HU_ord,BU$5-$A21+1)*$B21,0)</f>
        <v>0.0</v>
      </c>
      <c r="BV21" s="14">
        <f>IF(AND(BV$5-$A21&gt;=0,BV$5-$A21&lt;=19),INDEX(HU_ord,BV$5-$A21+1)*$B21,0)</f>
        <v>0.0</v>
      </c>
      <c r="BW21" s="14">
        <f>IF(AND(BW$5-$A21&gt;=0,BW$5-$A21&lt;=19),INDEX(HU_ord,BW$5-$A21+1)*$B21,0)</f>
        <v>0.0</v>
      </c>
      <c r="BX21" s="14">
        <f>IF(AND(BX$5-$A21&gt;=0,BX$5-$A21&lt;=19),INDEX(HU_ord,BX$5-$A21+1)*$B21,0)</f>
        <v>0.0</v>
      </c>
      <c r="BY21" s="14">
        <f>IF(AND(BY$5-$A21&gt;=0,BY$5-$A21&lt;=19),INDEX(HU_ord,BY$5-$A21+1)*$B21,0)</f>
        <v>0.0</v>
      </c>
      <c r="BZ21" s="14">
        <f>IF(AND(BZ$5-$A21&gt;=0,BZ$5-$A21&lt;=19),INDEX(HU_ord,BZ$5-$A21+1)*$B21,0)</f>
        <v>0.0</v>
      </c>
      <c r="CA21" s="14">
        <f>IF(AND(CA$5-$A21&gt;=0,CA$5-$A21&lt;=19),INDEX(HU_ord,CA$5-$A21+1)*$B21,0)</f>
        <v>0.0</v>
      </c>
      <c r="CB21" s="14">
        <f>IF(AND(CB$5-$A21&gt;=0,CB$5-$A21&lt;=19),INDEX(HU_ord,CB$5-$A21+1)*$B21,0)</f>
        <v>0.0</v>
      </c>
      <c r="CC21" s="14">
        <f>IF(AND(CC$5-$A21&gt;=0,CC$5-$A21&lt;=19),INDEX(HU_ord,CC$5-$A21+1)*$B21,0)</f>
        <v>0.0</v>
      </c>
      <c r="CD21" s="14">
        <f>IF(AND(CD$5-$A21&gt;=0,CD$5-$A21&lt;=19),INDEX(HU_ord,CD$5-$A21+1)*$B21,0)</f>
        <v>0.0</v>
      </c>
      <c r="CE21" s="14">
        <f>IF(AND(CE$5-$A21&gt;=0,CE$5-$A21&lt;=19),INDEX(HU_ord,CE$5-$A21+1)*$B21,0)</f>
        <v>0.0</v>
      </c>
      <c r="CF21" s="14">
        <f>IF(AND(CF$5-$A21&gt;=0,CF$5-$A21&lt;=19),INDEX(HU_ord,CF$5-$A21+1)*$B21,0)</f>
        <v>0.0</v>
      </c>
      <c r="CG21" s="14">
        <f>IF(AND(CG$5-$A21&gt;=0,CG$5-$A21&lt;=19),INDEX(HU_ord,CG$5-$A21+1)*$B21,0)</f>
        <v>0.0</v>
      </c>
      <c r="CH21" s="14">
        <f>IF(AND(CH$5-$A21&gt;=0,CH$5-$A21&lt;=19),INDEX(HU_ord,CH$5-$A21+1)*$B21,0)</f>
        <v>0.0</v>
      </c>
      <c r="CI21" s="14">
        <f>IF(AND(CI$5-$A21&gt;=0,CI$5-$A21&lt;=19),INDEX(HU_ord,CI$5-$A21+1)*$B21,0)</f>
        <v>0.0</v>
      </c>
      <c r="CJ21" s="14">
        <f>IF(AND(CJ$5-$A21&gt;=0,CJ$5-$A21&lt;=19),INDEX(HU_ord,CJ$5-$A21+1)*$B21,0)</f>
        <v>0.0</v>
      </c>
      <c r="CK21" s="14">
        <f>IF(AND(CK$5-$A21&gt;=0,CK$5-$A21&lt;=19),INDEX(HU_ord,CK$5-$A21+1)*$B21,0)</f>
        <v>0.0</v>
      </c>
      <c r="CL21" s="14">
        <f>IF(AND(CL$5-$A21&gt;=0,CL$5-$A21&lt;=19),INDEX(HU_ord,CL$5-$A21+1)*$B21,0)</f>
        <v>0.0</v>
      </c>
      <c r="CM21" s="14">
        <f>IF(AND(CM$5-$A21&gt;=0,CM$5-$A21&lt;=19),INDEX(HU_ord,CM$5-$A21+1)*$B21,0)</f>
        <v>0.0</v>
      </c>
      <c r="CN21" s="14">
        <f>IF(AND(CN$5-$A21&gt;=0,CN$5-$A21&lt;=19),INDEX(HU_ord,CN$5-$A21+1)*$B21,0)</f>
        <v>0.0</v>
      </c>
      <c r="CO21" s="14">
        <f>IF(AND(CO$5-$A21&gt;=0,CO$5-$A21&lt;=19),INDEX(HU_ord,CO$5-$A21+1)*$B21,0)</f>
        <v>0.0</v>
      </c>
      <c r="CP21" s="14">
        <f>IF(AND(CP$5-$A21&gt;=0,CP$5-$A21&lt;=19),INDEX(HU_ord,CP$5-$A21+1)*$B21,0)</f>
        <v>0.0</v>
      </c>
      <c r="CQ21" s="14">
        <f>IF(AND(CQ$5-$A21&gt;=0,CQ$5-$A21&lt;=19),INDEX(HU_ord,CQ$5-$A21+1)*$B21,0)</f>
        <v>0.0</v>
      </c>
      <c r="CR21" s="14">
        <f>IF(AND(CR$5-$A21&gt;=0,CR$5-$A21&lt;=19),INDEX(HU_ord,CR$5-$A21+1)*$B21,0)</f>
        <v>0.0</v>
      </c>
      <c r="CS21" s="14">
        <f>IF(AND(CS$5-$A21&gt;=0,CS$5-$A21&lt;=19),INDEX(HU_ord,CS$5-$A21+1)*$B21,0)</f>
        <v>0.0</v>
      </c>
      <c r="CT21" s="14">
        <f>IF(AND(CT$5-$A21&gt;=0,CT$5-$A21&lt;=19),INDEX(HU_ord,CT$5-$A21+1)*$B21,0)</f>
        <v>0.0</v>
      </c>
      <c r="CU21" s="14">
        <f>IF(AND(CU$5-$A21&gt;=0,CU$5-$A21&lt;=19),INDEX(HU_ord,CU$5-$A21+1)*$B21,0)</f>
        <v>0.0</v>
      </c>
      <c r="CV21" s="14">
        <f>IF(AND(CV$5-$A21&gt;=0,CV$5-$A21&lt;=19),INDEX(HU_ord,CV$5-$A21+1)*$B21,0)</f>
        <v>0.0</v>
      </c>
      <c r="CW21" s="14">
        <f>IF(AND(CW$5-$A21&gt;=0,CW$5-$A21&lt;=19),INDEX(HU_ord,CW$5-$A21+1)*$B21,0)</f>
        <v>0.0</v>
      </c>
      <c r="CX21" s="14">
        <f>IF(AND(CX$5-$A21&gt;=0,CX$5-$A21&lt;=19),INDEX(HU_ord,CX$5-$A21+1)*$B21,0)</f>
        <v>0.0</v>
      </c>
      <c r="CY21" s="14">
        <f>IF(AND(CY$5-$A21&gt;=0,CY$5-$A21&lt;=19),INDEX(HU_ord,CY$5-$A21+1)*$B21,0)</f>
        <v>0.0</v>
      </c>
      <c r="CZ21" s="14">
        <f>IF(AND(CZ$5-$A21&gt;=0,CZ$5-$A21&lt;=19),INDEX(HU_ord,CZ$5-$A21+1)*$B21,0)</f>
        <v>0.0</v>
      </c>
      <c r="DA21" s="14">
        <f>IF(AND(DA$5-$A21&gt;=0,DA$5-$A21&lt;=19),INDEX(HU_ord,DA$5-$A21+1)*$B21,0)</f>
        <v>0.0</v>
      </c>
      <c r="DB21" s="14">
        <f>IF(AND(DB$5-$A21&gt;=0,DB$5-$A21&lt;=19),INDEX(HU_ord,DB$5-$A21+1)*$B21,0)</f>
        <v>0.0</v>
      </c>
      <c r="DC21" s="14">
        <f>IF(AND(DC$5-$A21&gt;=0,DC$5-$A21&lt;=19),INDEX(HU_ord,DC$5-$A21+1)*$B21,0)</f>
        <v>0.0</v>
      </c>
      <c r="DD21" s="14">
        <f>IF(AND(DD$5-$A21&gt;=0,DD$5-$A21&lt;=19),INDEX(HU_ord,DD$5-$A21+1)*$B21,0)</f>
        <v>0.0</v>
      </c>
      <c r="DE21" s="14">
        <f>IF(AND(DE$5-$A21&gt;=0,DE$5-$A21&lt;=19),INDEX(HU_ord,DE$5-$A21+1)*$B21,0)</f>
        <v>0.0</v>
      </c>
      <c r="DF21" s="14">
        <f>IF(AND(DF$5-$A21&gt;=0,DF$5-$A21&lt;=19),INDEX(HU_ord,DF$5-$A21+1)*$B21,0)</f>
        <v>0.0</v>
      </c>
      <c r="DG21" s="14">
        <f>IF(AND(DG$5-$A21&gt;=0,DG$5-$A21&lt;=19),INDEX(HU_ord,DG$5-$A21+1)*$B21,0)</f>
        <v>0.0</v>
      </c>
      <c r="DH21" s="14">
        <f>IF(AND(DH$5-$A21&gt;=0,DH$5-$A21&lt;=19),INDEX(HU_ord,DH$5-$A21+1)*$B21,0)</f>
        <v>0.0</v>
      </c>
      <c r="DI21" s="14">
        <f>IF(AND(DI$5-$A21&gt;=0,DI$5-$A21&lt;=19),INDEX(HU_ord,DI$5-$A21+1)*$B21,0)</f>
        <v>0.0</v>
      </c>
    </row>
    <row r="22" spans="1:113">
      <c r="A22">
        <v>16</v>
      </c>
      <c r="B22" s="10">
        <f>Serie_horaria!N18</f>
        <v>0.11631213126104481</v>
      </c>
      <c r="C22" s="14">
        <f>IF(AND(C$5-$A22&gt;=0,C$5-$A22&lt;=19),INDEX(HU_ord,C$5-$A22+1)*$B22,0)</f>
        <v>0.0</v>
      </c>
      <c r="D22" s="14">
        <f>IF(AND(D$5-$A22&gt;=0,D$5-$A22&lt;=19),INDEX(HU_ord,D$5-$A22+1)*$B22,0)</f>
        <v>0.0</v>
      </c>
      <c r="E22" s="14">
        <f>IF(AND(E$5-$A22&gt;=0,E$5-$A22&lt;=19),INDEX(HU_ord,E$5-$A22+1)*$B22,0)</f>
        <v>0.0</v>
      </c>
      <c r="F22" s="14">
        <f>IF(AND(F$5-$A22&gt;=0,F$5-$A22&lt;=19),INDEX(HU_ord,F$5-$A22+1)*$B22,0)</f>
        <v>0.0</v>
      </c>
      <c r="G22" s="14">
        <f>IF(AND(G$5-$A22&gt;=0,G$5-$A22&lt;=19),INDEX(HU_ord,G$5-$A22+1)*$B22,0)</f>
        <v>0.0</v>
      </c>
      <c r="H22" s="14">
        <f>IF(AND(H$5-$A22&gt;=0,H$5-$A22&lt;=19),INDEX(HU_ord,H$5-$A22+1)*$B22,0)</f>
        <v>0.0</v>
      </c>
      <c r="I22" s="14">
        <f>IF(AND(I$5-$A22&gt;=0,I$5-$A22&lt;=19),INDEX(HU_ord,I$5-$A22+1)*$B22,0)</f>
        <v>0.0</v>
      </c>
      <c r="J22" s="14">
        <f>IF(AND(J$5-$A22&gt;=0,J$5-$A22&lt;=19),INDEX(HU_ord,J$5-$A22+1)*$B22,0)</f>
        <v>0.0</v>
      </c>
      <c r="K22" s="14">
        <f>IF(AND(K$5-$A22&gt;=0,K$5-$A22&lt;=19),INDEX(HU_ord,K$5-$A22+1)*$B22,0)</f>
        <v>0.0</v>
      </c>
      <c r="L22" s="14">
        <f>IF(AND(L$5-$A22&gt;=0,L$5-$A22&lt;=19),INDEX(HU_ord,L$5-$A22+1)*$B22,0)</f>
        <v>0.0</v>
      </c>
      <c r="M22" s="14">
        <f>IF(AND(M$5-$A22&gt;=0,M$5-$A22&lt;=19),INDEX(HU_ord,M$5-$A22+1)*$B22,0)</f>
        <v>0.0</v>
      </c>
      <c r="N22" s="14">
        <f>IF(AND(N$5-$A22&gt;=0,N$5-$A22&lt;=19),INDEX(HU_ord,N$5-$A22+1)*$B22,0)</f>
        <v>0.0</v>
      </c>
      <c r="O22" s="14">
        <f>IF(AND(O$5-$A22&gt;=0,O$5-$A22&lt;=19),INDEX(HU_ord,O$5-$A22+1)*$B22,0)</f>
        <v>0.0</v>
      </c>
      <c r="P22" s="14">
        <f>IF(AND(P$5-$A22&gt;=0,P$5-$A22&lt;=19),INDEX(HU_ord,P$5-$A22+1)*$B22,0)</f>
        <v>0.0</v>
      </c>
      <c r="Q22" s="14">
        <f>IF(AND(Q$5-$A22&gt;=0,Q$5-$A22&lt;=19),INDEX(HU_ord,Q$5-$A22+1)*$B22,0)</f>
        <v>0.0</v>
      </c>
      <c r="R22" s="14">
        <f>IF(AND(R$5-$A22&gt;=0,R$5-$A22&lt;=19),INDEX(HU_ord,R$5-$A22+1)*$B22,0)</f>
        <v>0.0</v>
      </c>
      <c r="S22" s="14">
        <f>IF(AND(S$5-$A22&gt;=0,S$5-$A22&lt;=19),INDEX(HU_ord,S$5-$A22+1)*$B22,0)</f>
        <v>0.0</v>
      </c>
      <c r="T22" s="14">
        <f>IF(AND(T$5-$A22&gt;=0,T$5-$A22&lt;=19),INDEX(HU_ord,T$5-$A22+1)*$B22,0)</f>
        <v>0.3780225981213259</v>
      </c>
      <c r="U22" s="14">
        <f>IF(AND(U$5-$A22&gt;=0,U$5-$A22&lt;=19),INDEX(HU_ord,U$5-$A22+1)*$B22,0)</f>
        <v>0.7560451962426518</v>
      </c>
      <c r="V22" s="14">
        <f>IF(AND(V$5-$A22&gt;=0,V$5-$A22&lt;=19),INDEX(HU_ord,V$5-$A22+1)*$B22,0)</f>
        <v>1.1340677943639776</v>
      </c>
      <c r="W22" s="14">
        <f>IF(AND(W$5-$A22&gt;=0,W$5-$A22&lt;=19),INDEX(HU_ord,W$5-$A22+1)*$B22,0)</f>
        <v>1.5120903924853035</v>
      </c>
      <c r="X22" s="14">
        <f>IF(AND(X$5-$A22&gt;=0,X$5-$A22&lt;=19),INDEX(HU_ord,X$5-$A22+1)*$B22,0)</f>
        <v>1.8901129906066296</v>
      </c>
      <c r="Y22" s="14">
        <f>IF(AND(Y$5-$A22&gt;=0,Y$5-$A22&lt;=19),INDEX(HU_ord,Y$5-$A22+1)*$B22,0)</f>
        <v>2.2681355887279553</v>
      </c>
      <c r="Z22" s="14">
        <f>IF(AND(Z$5-$A22&gt;=0,Z$5-$A22&lt;=19),INDEX(HU_ord,Z$5-$A22+1)*$B22,0)</f>
        <v>2.5804012690864946</v>
      </c>
      <c r="AA22" s="14">
        <f>IF(AND(AA$5-$A22&gt;=0,AA$5-$A22&lt;=19),INDEX(HU_ord,AA$5-$A22+1)*$B22,0)</f>
        <v>2.3540404318880963</v>
      </c>
      <c r="AB22" s="14">
        <f>IF(AND(AB$5-$A22&gt;=0,AB$5-$A22&lt;=19),INDEX(HU_ord,AB$5-$A22+1)*$B22,0)</f>
        <v>2.127679594689697</v>
      </c>
      <c r="AC22" s="14">
        <f>IF(AND(AC$5-$A22&gt;=0,AC$5-$A22&lt;=19),INDEX(HU_ord,AC$5-$A22+1)*$B22,0)</f>
        <v>1.9013187574912984</v>
      </c>
      <c r="AD22" s="14">
        <f>IF(AND(AD$5-$A22&gt;=0,AD$5-$A22&lt;=19),INDEX(HU_ord,AD$5-$A22+1)*$B22,0)</f>
        <v>1.6749579202928997</v>
      </c>
      <c r="AE22" s="14">
        <f>IF(AND(AE$5-$A22&gt;=0,AE$5-$A22&lt;=19),INDEX(HU_ord,AE$5-$A22+1)*$B22,0)</f>
        <v>1.448597083094501</v>
      </c>
      <c r="AF22" s="14">
        <f>IF(AND(AF$5-$A22&gt;=0,AF$5-$A22&lt;=19),INDEX(HU_ord,AF$5-$A22+1)*$B22,0)</f>
        <v>1.2222362458961022</v>
      </c>
      <c r="AG22" s="14">
        <f>IF(AND(AG$5-$A22&gt;=0,AG$5-$A22&lt;=19),INDEX(HU_ord,AG$5-$A22+1)*$B22,0)</f>
        <v>0.9958754086977036</v>
      </c>
      <c r="AH22" s="14">
        <f>IF(AND(AH$5-$A22&gt;=0,AH$5-$A22&lt;=19),INDEX(HU_ord,AH$5-$A22+1)*$B22,0)</f>
        <v>0.7695145714993048</v>
      </c>
      <c r="AI22" s="14">
        <f>IF(AND(AI$5-$A22&gt;=0,AI$5-$A22&lt;=19),INDEX(HU_ord,AI$5-$A22+1)*$B22,0)</f>
        <v>0.5431537343009059</v>
      </c>
      <c r="AJ22" s="14">
        <f>IF(AND(AJ$5-$A22&gt;=0,AJ$5-$A22&lt;=19),INDEX(HU_ord,AJ$5-$A22+1)*$B22,0)</f>
        <v>0.31679289710250713</v>
      </c>
      <c r="AK22" s="14">
        <f>IF(AND(AK$5-$A22&gt;=0,AK$5-$A22&lt;=19),INDEX(HU_ord,AK$5-$A22+1)*$B22,0)</f>
        <v>0.09043205990410837</v>
      </c>
      <c r="AL22" s="14">
        <f>IF(AND(AL$5-$A22&gt;=0,AL$5-$A22&lt;=19),INDEX(HU_ord,AL$5-$A22+1)*$B22,0)</f>
        <v>0.0</v>
      </c>
      <c r="AM22" s="14">
        <f>IF(AND(AM$5-$A22&gt;=0,AM$5-$A22&lt;=19),INDEX(HU_ord,AM$5-$A22+1)*$B22,0)</f>
        <v>0.0</v>
      </c>
      <c r="AN22" s="14">
        <f>IF(AND(AN$5-$A22&gt;=0,AN$5-$A22&lt;=19),INDEX(HU_ord,AN$5-$A22+1)*$B22,0)</f>
        <v>0.0</v>
      </c>
      <c r="AO22" s="14">
        <f>IF(AND(AO$5-$A22&gt;=0,AO$5-$A22&lt;=19),INDEX(HU_ord,AO$5-$A22+1)*$B22,0)</f>
        <v>0.0</v>
      </c>
      <c r="AP22" s="14">
        <f>IF(AND(AP$5-$A22&gt;=0,AP$5-$A22&lt;=19),INDEX(HU_ord,AP$5-$A22+1)*$B22,0)</f>
        <v>0.0</v>
      </c>
      <c r="AQ22" s="14">
        <f>IF(AND(AQ$5-$A22&gt;=0,AQ$5-$A22&lt;=19),INDEX(HU_ord,AQ$5-$A22+1)*$B22,0)</f>
        <v>0.0</v>
      </c>
      <c r="AR22" s="14">
        <f>IF(AND(AR$5-$A22&gt;=0,AR$5-$A22&lt;=19),INDEX(HU_ord,AR$5-$A22+1)*$B22,0)</f>
        <v>0.0</v>
      </c>
      <c r="AS22" s="14">
        <f>IF(AND(AS$5-$A22&gt;=0,AS$5-$A22&lt;=19),INDEX(HU_ord,AS$5-$A22+1)*$B22,0)</f>
        <v>0.0</v>
      </c>
      <c r="AT22" s="14">
        <f>IF(AND(AT$5-$A22&gt;=0,AT$5-$A22&lt;=19),INDEX(HU_ord,AT$5-$A22+1)*$B22,0)</f>
        <v>0.0</v>
      </c>
      <c r="AU22" s="14">
        <f>IF(AND(AU$5-$A22&gt;=0,AU$5-$A22&lt;=19),INDEX(HU_ord,AU$5-$A22+1)*$B22,0)</f>
        <v>0.0</v>
      </c>
      <c r="AV22" s="14">
        <f>IF(AND(AV$5-$A22&gt;=0,AV$5-$A22&lt;=19),INDEX(HU_ord,AV$5-$A22+1)*$B22,0)</f>
        <v>0.0</v>
      </c>
      <c r="AW22" s="14">
        <f>IF(AND(AW$5-$A22&gt;=0,AW$5-$A22&lt;=19),INDEX(HU_ord,AW$5-$A22+1)*$B22,0)</f>
        <v>0.0</v>
      </c>
      <c r="AX22" s="14">
        <f>IF(AND(AX$5-$A22&gt;=0,AX$5-$A22&lt;=19),INDEX(HU_ord,AX$5-$A22+1)*$B22,0)</f>
        <v>0.0</v>
      </c>
      <c r="AY22" s="14">
        <f>IF(AND(AY$5-$A22&gt;=0,AY$5-$A22&lt;=19),INDEX(HU_ord,AY$5-$A22+1)*$B22,0)</f>
        <v>0.0</v>
      </c>
      <c r="AZ22" s="14">
        <f>IF(AND(AZ$5-$A22&gt;=0,AZ$5-$A22&lt;=19),INDEX(HU_ord,AZ$5-$A22+1)*$B22,0)</f>
        <v>0.0</v>
      </c>
      <c r="BA22" s="14">
        <f>IF(AND(BA$5-$A22&gt;=0,BA$5-$A22&lt;=19),INDEX(HU_ord,BA$5-$A22+1)*$B22,0)</f>
        <v>0.0</v>
      </c>
      <c r="BB22" s="14">
        <f>IF(AND(BB$5-$A22&gt;=0,BB$5-$A22&lt;=19),INDEX(HU_ord,BB$5-$A22+1)*$B22,0)</f>
        <v>0.0</v>
      </c>
      <c r="BC22" s="14">
        <f>IF(AND(BC$5-$A22&gt;=0,BC$5-$A22&lt;=19),INDEX(HU_ord,BC$5-$A22+1)*$B22,0)</f>
        <v>0.0</v>
      </c>
      <c r="BD22" s="14">
        <f>IF(AND(BD$5-$A22&gt;=0,BD$5-$A22&lt;=19),INDEX(HU_ord,BD$5-$A22+1)*$B22,0)</f>
        <v>0.0</v>
      </c>
      <c r="BE22" s="14">
        <f>IF(AND(BE$5-$A22&gt;=0,BE$5-$A22&lt;=19),INDEX(HU_ord,BE$5-$A22+1)*$B22,0)</f>
        <v>0.0</v>
      </c>
      <c r="BF22" s="14">
        <f>IF(AND(BF$5-$A22&gt;=0,BF$5-$A22&lt;=19),INDEX(HU_ord,BF$5-$A22+1)*$B22,0)</f>
        <v>0.0</v>
      </c>
      <c r="BG22" s="14">
        <f>IF(AND(BG$5-$A22&gt;=0,BG$5-$A22&lt;=19),INDEX(HU_ord,BG$5-$A22+1)*$B22,0)</f>
        <v>0.0</v>
      </c>
      <c r="BH22" s="14">
        <f>IF(AND(BH$5-$A22&gt;=0,BH$5-$A22&lt;=19),INDEX(HU_ord,BH$5-$A22+1)*$B22,0)</f>
        <v>0.0</v>
      </c>
      <c r="BI22" s="14">
        <f>IF(AND(BI$5-$A22&gt;=0,BI$5-$A22&lt;=19),INDEX(HU_ord,BI$5-$A22+1)*$B22,0)</f>
        <v>0.0</v>
      </c>
      <c r="BJ22" s="14">
        <f>IF(AND(BJ$5-$A22&gt;=0,BJ$5-$A22&lt;=19),INDEX(HU_ord,BJ$5-$A22+1)*$B22,0)</f>
        <v>0.0</v>
      </c>
      <c r="BK22" s="14">
        <f>IF(AND(BK$5-$A22&gt;=0,BK$5-$A22&lt;=19),INDEX(HU_ord,BK$5-$A22+1)*$B22,0)</f>
        <v>0.0</v>
      </c>
      <c r="BL22" s="14">
        <f>IF(AND(BL$5-$A22&gt;=0,BL$5-$A22&lt;=19),INDEX(HU_ord,BL$5-$A22+1)*$B22,0)</f>
        <v>0.0</v>
      </c>
      <c r="BM22" s="14">
        <f>IF(AND(BM$5-$A22&gt;=0,BM$5-$A22&lt;=19),INDEX(HU_ord,BM$5-$A22+1)*$B22,0)</f>
        <v>0.0</v>
      </c>
      <c r="BN22" s="14">
        <f>IF(AND(BN$5-$A22&gt;=0,BN$5-$A22&lt;=19),INDEX(HU_ord,BN$5-$A22+1)*$B22,0)</f>
        <v>0.0</v>
      </c>
      <c r="BO22" s="14">
        <f>IF(AND(BO$5-$A22&gt;=0,BO$5-$A22&lt;=19),INDEX(HU_ord,BO$5-$A22+1)*$B22,0)</f>
        <v>0.0</v>
      </c>
      <c r="BP22" s="14">
        <f>IF(AND(BP$5-$A22&gt;=0,BP$5-$A22&lt;=19),INDEX(HU_ord,BP$5-$A22+1)*$B22,0)</f>
        <v>0.0</v>
      </c>
      <c r="BQ22" s="14">
        <f>IF(AND(BQ$5-$A22&gt;=0,BQ$5-$A22&lt;=19),INDEX(HU_ord,BQ$5-$A22+1)*$B22,0)</f>
        <v>0.0</v>
      </c>
      <c r="BR22" s="14">
        <f>IF(AND(BR$5-$A22&gt;=0,BR$5-$A22&lt;=19),INDEX(HU_ord,BR$5-$A22+1)*$B22,0)</f>
        <v>0.0</v>
      </c>
      <c r="BS22" s="14">
        <f>IF(AND(BS$5-$A22&gt;=0,BS$5-$A22&lt;=19),INDEX(HU_ord,BS$5-$A22+1)*$B22,0)</f>
        <v>0.0</v>
      </c>
      <c r="BT22" s="14">
        <f>IF(AND(BT$5-$A22&gt;=0,BT$5-$A22&lt;=19),INDEX(HU_ord,BT$5-$A22+1)*$B22,0)</f>
        <v>0.0</v>
      </c>
      <c r="BU22" s="14">
        <f>IF(AND(BU$5-$A22&gt;=0,BU$5-$A22&lt;=19),INDEX(HU_ord,BU$5-$A22+1)*$B22,0)</f>
        <v>0.0</v>
      </c>
      <c r="BV22" s="14">
        <f>IF(AND(BV$5-$A22&gt;=0,BV$5-$A22&lt;=19),INDEX(HU_ord,BV$5-$A22+1)*$B22,0)</f>
        <v>0.0</v>
      </c>
      <c r="BW22" s="14">
        <f>IF(AND(BW$5-$A22&gt;=0,BW$5-$A22&lt;=19),INDEX(HU_ord,BW$5-$A22+1)*$B22,0)</f>
        <v>0.0</v>
      </c>
      <c r="BX22" s="14">
        <f>IF(AND(BX$5-$A22&gt;=0,BX$5-$A22&lt;=19),INDEX(HU_ord,BX$5-$A22+1)*$B22,0)</f>
        <v>0.0</v>
      </c>
      <c r="BY22" s="14">
        <f>IF(AND(BY$5-$A22&gt;=0,BY$5-$A22&lt;=19),INDEX(HU_ord,BY$5-$A22+1)*$B22,0)</f>
        <v>0.0</v>
      </c>
      <c r="BZ22" s="14">
        <f>IF(AND(BZ$5-$A22&gt;=0,BZ$5-$A22&lt;=19),INDEX(HU_ord,BZ$5-$A22+1)*$B22,0)</f>
        <v>0.0</v>
      </c>
      <c r="CA22" s="14">
        <f>IF(AND(CA$5-$A22&gt;=0,CA$5-$A22&lt;=19),INDEX(HU_ord,CA$5-$A22+1)*$B22,0)</f>
        <v>0.0</v>
      </c>
      <c r="CB22" s="14">
        <f>IF(AND(CB$5-$A22&gt;=0,CB$5-$A22&lt;=19),INDEX(HU_ord,CB$5-$A22+1)*$B22,0)</f>
        <v>0.0</v>
      </c>
      <c r="CC22" s="14">
        <f>IF(AND(CC$5-$A22&gt;=0,CC$5-$A22&lt;=19),INDEX(HU_ord,CC$5-$A22+1)*$B22,0)</f>
        <v>0.0</v>
      </c>
      <c r="CD22" s="14">
        <f>IF(AND(CD$5-$A22&gt;=0,CD$5-$A22&lt;=19),INDEX(HU_ord,CD$5-$A22+1)*$B22,0)</f>
        <v>0.0</v>
      </c>
      <c r="CE22" s="14">
        <f>IF(AND(CE$5-$A22&gt;=0,CE$5-$A22&lt;=19),INDEX(HU_ord,CE$5-$A22+1)*$B22,0)</f>
        <v>0.0</v>
      </c>
      <c r="CF22" s="14">
        <f>IF(AND(CF$5-$A22&gt;=0,CF$5-$A22&lt;=19),INDEX(HU_ord,CF$5-$A22+1)*$B22,0)</f>
        <v>0.0</v>
      </c>
      <c r="CG22" s="14">
        <f>IF(AND(CG$5-$A22&gt;=0,CG$5-$A22&lt;=19),INDEX(HU_ord,CG$5-$A22+1)*$B22,0)</f>
        <v>0.0</v>
      </c>
      <c r="CH22" s="14">
        <f>IF(AND(CH$5-$A22&gt;=0,CH$5-$A22&lt;=19),INDEX(HU_ord,CH$5-$A22+1)*$B22,0)</f>
        <v>0.0</v>
      </c>
      <c r="CI22" s="14">
        <f>IF(AND(CI$5-$A22&gt;=0,CI$5-$A22&lt;=19),INDEX(HU_ord,CI$5-$A22+1)*$B22,0)</f>
        <v>0.0</v>
      </c>
      <c r="CJ22" s="14">
        <f>IF(AND(CJ$5-$A22&gt;=0,CJ$5-$A22&lt;=19),INDEX(HU_ord,CJ$5-$A22+1)*$B22,0)</f>
        <v>0.0</v>
      </c>
      <c r="CK22" s="14">
        <f>IF(AND(CK$5-$A22&gt;=0,CK$5-$A22&lt;=19),INDEX(HU_ord,CK$5-$A22+1)*$B22,0)</f>
        <v>0.0</v>
      </c>
      <c r="CL22" s="14">
        <f>IF(AND(CL$5-$A22&gt;=0,CL$5-$A22&lt;=19),INDEX(HU_ord,CL$5-$A22+1)*$B22,0)</f>
        <v>0.0</v>
      </c>
      <c r="CM22" s="14">
        <f>IF(AND(CM$5-$A22&gt;=0,CM$5-$A22&lt;=19),INDEX(HU_ord,CM$5-$A22+1)*$B22,0)</f>
        <v>0.0</v>
      </c>
      <c r="CN22" s="14">
        <f>IF(AND(CN$5-$A22&gt;=0,CN$5-$A22&lt;=19),INDEX(HU_ord,CN$5-$A22+1)*$B22,0)</f>
        <v>0.0</v>
      </c>
      <c r="CO22" s="14">
        <f>IF(AND(CO$5-$A22&gt;=0,CO$5-$A22&lt;=19),INDEX(HU_ord,CO$5-$A22+1)*$B22,0)</f>
        <v>0.0</v>
      </c>
      <c r="CP22" s="14">
        <f>IF(AND(CP$5-$A22&gt;=0,CP$5-$A22&lt;=19),INDEX(HU_ord,CP$5-$A22+1)*$B22,0)</f>
        <v>0.0</v>
      </c>
      <c r="CQ22" s="14">
        <f>IF(AND(CQ$5-$A22&gt;=0,CQ$5-$A22&lt;=19),INDEX(HU_ord,CQ$5-$A22+1)*$B22,0)</f>
        <v>0.0</v>
      </c>
      <c r="CR22" s="14">
        <f>IF(AND(CR$5-$A22&gt;=0,CR$5-$A22&lt;=19),INDEX(HU_ord,CR$5-$A22+1)*$B22,0)</f>
        <v>0.0</v>
      </c>
      <c r="CS22" s="14">
        <f>IF(AND(CS$5-$A22&gt;=0,CS$5-$A22&lt;=19),INDEX(HU_ord,CS$5-$A22+1)*$B22,0)</f>
        <v>0.0</v>
      </c>
      <c r="CT22" s="14">
        <f>IF(AND(CT$5-$A22&gt;=0,CT$5-$A22&lt;=19),INDEX(HU_ord,CT$5-$A22+1)*$B22,0)</f>
        <v>0.0</v>
      </c>
      <c r="CU22" s="14">
        <f>IF(AND(CU$5-$A22&gt;=0,CU$5-$A22&lt;=19),INDEX(HU_ord,CU$5-$A22+1)*$B22,0)</f>
        <v>0.0</v>
      </c>
      <c r="CV22" s="14">
        <f>IF(AND(CV$5-$A22&gt;=0,CV$5-$A22&lt;=19),INDEX(HU_ord,CV$5-$A22+1)*$B22,0)</f>
        <v>0.0</v>
      </c>
      <c r="CW22" s="14">
        <f>IF(AND(CW$5-$A22&gt;=0,CW$5-$A22&lt;=19),INDEX(HU_ord,CW$5-$A22+1)*$B22,0)</f>
        <v>0.0</v>
      </c>
      <c r="CX22" s="14">
        <f>IF(AND(CX$5-$A22&gt;=0,CX$5-$A22&lt;=19),INDEX(HU_ord,CX$5-$A22+1)*$B22,0)</f>
        <v>0.0</v>
      </c>
      <c r="CY22" s="14">
        <f>IF(AND(CY$5-$A22&gt;=0,CY$5-$A22&lt;=19),INDEX(HU_ord,CY$5-$A22+1)*$B22,0)</f>
        <v>0.0</v>
      </c>
      <c r="CZ22" s="14">
        <f>IF(AND(CZ$5-$A22&gt;=0,CZ$5-$A22&lt;=19),INDEX(HU_ord,CZ$5-$A22+1)*$B22,0)</f>
        <v>0.0</v>
      </c>
      <c r="DA22" s="14">
        <f>IF(AND(DA$5-$A22&gt;=0,DA$5-$A22&lt;=19),INDEX(HU_ord,DA$5-$A22+1)*$B22,0)</f>
        <v>0.0</v>
      </c>
      <c r="DB22" s="14">
        <f>IF(AND(DB$5-$A22&gt;=0,DB$5-$A22&lt;=19),INDEX(HU_ord,DB$5-$A22+1)*$B22,0)</f>
        <v>0.0</v>
      </c>
      <c r="DC22" s="14">
        <f>IF(AND(DC$5-$A22&gt;=0,DC$5-$A22&lt;=19),INDEX(HU_ord,DC$5-$A22+1)*$B22,0)</f>
        <v>0.0</v>
      </c>
      <c r="DD22" s="14">
        <f>IF(AND(DD$5-$A22&gt;=0,DD$5-$A22&lt;=19),INDEX(HU_ord,DD$5-$A22+1)*$B22,0)</f>
        <v>0.0</v>
      </c>
      <c r="DE22" s="14">
        <f>IF(AND(DE$5-$A22&gt;=0,DE$5-$A22&lt;=19),INDEX(HU_ord,DE$5-$A22+1)*$B22,0)</f>
        <v>0.0</v>
      </c>
      <c r="DF22" s="14">
        <f>IF(AND(DF$5-$A22&gt;=0,DF$5-$A22&lt;=19),INDEX(HU_ord,DF$5-$A22+1)*$B22,0)</f>
        <v>0.0</v>
      </c>
      <c r="DG22" s="14">
        <f>IF(AND(DG$5-$A22&gt;=0,DG$5-$A22&lt;=19),INDEX(HU_ord,DG$5-$A22+1)*$B22,0)</f>
        <v>0.0</v>
      </c>
      <c r="DH22" s="14">
        <f>IF(AND(DH$5-$A22&gt;=0,DH$5-$A22&lt;=19),INDEX(HU_ord,DH$5-$A22+1)*$B22,0)</f>
        <v>0.0</v>
      </c>
      <c r="DI22" s="14">
        <f>IF(AND(DI$5-$A22&gt;=0,DI$5-$A22&lt;=19),INDEX(HU_ord,DI$5-$A22+1)*$B22,0)</f>
        <v>0.0</v>
      </c>
    </row>
    <row r="23" spans="1:113">
      <c r="A23">
        <v>17</v>
      </c>
      <c r="B23" s="10">
        <f>Serie_horaria!N19</f>
        <v>0.02313957972069076</v>
      </c>
      <c r="C23" s="14">
        <f>IF(AND(C$5-$A23&gt;=0,C$5-$A23&lt;=19),INDEX(HU_ord,C$5-$A23+1)*$B23,0)</f>
        <v>0.0</v>
      </c>
      <c r="D23" s="14">
        <f>IF(AND(D$5-$A23&gt;=0,D$5-$A23&lt;=19),INDEX(HU_ord,D$5-$A23+1)*$B23,0)</f>
        <v>0.0</v>
      </c>
      <c r="E23" s="14">
        <f>IF(AND(E$5-$A23&gt;=0,E$5-$A23&lt;=19),INDEX(HU_ord,E$5-$A23+1)*$B23,0)</f>
        <v>0.0</v>
      </c>
      <c r="F23" s="14">
        <f>IF(AND(F$5-$A23&gt;=0,F$5-$A23&lt;=19),INDEX(HU_ord,F$5-$A23+1)*$B23,0)</f>
        <v>0.0</v>
      </c>
      <c r="G23" s="14">
        <f>IF(AND(G$5-$A23&gt;=0,G$5-$A23&lt;=19),INDEX(HU_ord,G$5-$A23+1)*$B23,0)</f>
        <v>0.0</v>
      </c>
      <c r="H23" s="14">
        <f>IF(AND(H$5-$A23&gt;=0,H$5-$A23&lt;=19),INDEX(HU_ord,H$5-$A23+1)*$B23,0)</f>
        <v>0.0</v>
      </c>
      <c r="I23" s="14">
        <f>IF(AND(I$5-$A23&gt;=0,I$5-$A23&lt;=19),INDEX(HU_ord,I$5-$A23+1)*$B23,0)</f>
        <v>0.0</v>
      </c>
      <c r="J23" s="14">
        <f>IF(AND(J$5-$A23&gt;=0,J$5-$A23&lt;=19),INDEX(HU_ord,J$5-$A23+1)*$B23,0)</f>
        <v>0.0</v>
      </c>
      <c r="K23" s="14">
        <f>IF(AND(K$5-$A23&gt;=0,K$5-$A23&lt;=19),INDEX(HU_ord,K$5-$A23+1)*$B23,0)</f>
        <v>0.0</v>
      </c>
      <c r="L23" s="14">
        <f>IF(AND(L$5-$A23&gt;=0,L$5-$A23&lt;=19),INDEX(HU_ord,L$5-$A23+1)*$B23,0)</f>
        <v>0.0</v>
      </c>
      <c r="M23" s="14">
        <f>IF(AND(M$5-$A23&gt;=0,M$5-$A23&lt;=19),INDEX(HU_ord,M$5-$A23+1)*$B23,0)</f>
        <v>0.0</v>
      </c>
      <c r="N23" s="14">
        <f>IF(AND(N$5-$A23&gt;=0,N$5-$A23&lt;=19),INDEX(HU_ord,N$5-$A23+1)*$B23,0)</f>
        <v>0.0</v>
      </c>
      <c r="O23" s="14">
        <f>IF(AND(O$5-$A23&gt;=0,O$5-$A23&lt;=19),INDEX(HU_ord,O$5-$A23+1)*$B23,0)</f>
        <v>0.0</v>
      </c>
      <c r="P23" s="14">
        <f>IF(AND(P$5-$A23&gt;=0,P$5-$A23&lt;=19),INDEX(HU_ord,P$5-$A23+1)*$B23,0)</f>
        <v>0.0</v>
      </c>
      <c r="Q23" s="14">
        <f>IF(AND(Q$5-$A23&gt;=0,Q$5-$A23&lt;=19),INDEX(HU_ord,Q$5-$A23+1)*$B23,0)</f>
        <v>0.0</v>
      </c>
      <c r="R23" s="14">
        <f>IF(AND(R$5-$A23&gt;=0,R$5-$A23&lt;=19),INDEX(HU_ord,R$5-$A23+1)*$B23,0)</f>
        <v>0.0</v>
      </c>
      <c r="S23" s="14">
        <f>IF(AND(S$5-$A23&gt;=0,S$5-$A23&lt;=19),INDEX(HU_ord,S$5-$A23+1)*$B23,0)</f>
        <v>0.0</v>
      </c>
      <c r="T23" s="14">
        <f>IF(AND(T$5-$A23&gt;=0,T$5-$A23&lt;=19),INDEX(HU_ord,T$5-$A23+1)*$B23,0)</f>
        <v>0.0</v>
      </c>
      <c r="U23" s="14">
        <f>IF(AND(U$5-$A23&gt;=0,U$5-$A23&lt;=19),INDEX(HU_ord,U$5-$A23+1)*$B23,0)</f>
        <v>0.075205259766233</v>
      </c>
      <c r="V23" s="14">
        <f>IF(AND(V$5-$A23&gt;=0,V$5-$A23&lt;=19),INDEX(HU_ord,V$5-$A23+1)*$B23,0)</f>
        <v>0.150410519532466</v>
      </c>
      <c r="W23" s="14">
        <f>IF(AND(W$5-$A23&gt;=0,W$5-$A23&lt;=19),INDEX(HU_ord,W$5-$A23+1)*$B23,0)</f>
        <v>0.22561577929869903</v>
      </c>
      <c r="X23" s="14">
        <f>IF(AND(X$5-$A23&gt;=0,X$5-$A23&lt;=19),INDEX(HU_ord,X$5-$A23+1)*$B23,0)</f>
        <v>0.300821039064932</v>
      </c>
      <c r="Y23" s="14">
        <f>IF(AND(Y$5-$A23&gt;=0,Y$5-$A23&lt;=19),INDEX(HU_ord,Y$5-$A23+1)*$B23,0)</f>
        <v>0.37602629883116506</v>
      </c>
      <c r="Z23" s="14">
        <f>IF(AND(Z$5-$A23&gt;=0,Z$5-$A23&lt;=19),INDEX(HU_ord,Z$5-$A23+1)*$B23,0)</f>
        <v>0.45123155859739805</v>
      </c>
      <c r="AA23" s="14">
        <f>IF(AND(AA$5-$A23&gt;=0,AA$5-$A23&lt;=19),INDEX(HU_ord,AA$5-$A23+1)*$B23,0)</f>
        <v>0.5133548859438396</v>
      </c>
      <c r="AB23" s="14">
        <f>IF(AND(AB$5-$A23&gt;=0,AB$5-$A23&lt;=19),INDEX(HU_ord,AB$5-$A23+1)*$B23,0)</f>
        <v>0.4683217962634606</v>
      </c>
      <c r="AC23" s="14">
        <f>IF(AND(AC$5-$A23&gt;=0,AC$5-$A23&lt;=19),INDEX(HU_ord,AC$5-$A23+1)*$B23,0)</f>
        <v>0.4232887065830815</v>
      </c>
      <c r="AD23" s="14">
        <f>IF(AND(AD$5-$A23&gt;=0,AD$5-$A23&lt;=19),INDEX(HU_ord,AD$5-$A23+1)*$B23,0)</f>
        <v>0.37825561690270243</v>
      </c>
      <c r="AE23" s="14">
        <f>IF(AND(AE$5-$A23&gt;=0,AE$5-$A23&lt;=19),INDEX(HU_ord,AE$5-$A23+1)*$B23,0)</f>
        <v>0.3332225272223234</v>
      </c>
      <c r="AF23" s="14">
        <f>IF(AND(AF$5-$A23&gt;=0,AF$5-$A23&lt;=19),INDEX(HU_ord,AF$5-$A23+1)*$B23,0)</f>
        <v>0.2881894375419443</v>
      </c>
      <c r="AG23" s="14">
        <f>IF(AND(AG$5-$A23&gt;=0,AG$5-$A23&lt;=19),INDEX(HU_ord,AG$5-$A23+1)*$B23,0)</f>
        <v>0.2431563478615653</v>
      </c>
      <c r="AH23" s="14">
        <f>IF(AND(AH$5-$A23&gt;=0,AH$5-$A23&lt;=19),INDEX(HU_ord,AH$5-$A23+1)*$B23,0)</f>
        <v>0.19812325818118626</v>
      </c>
      <c r="AI23" s="14">
        <f>IF(AND(AI$5-$A23&gt;=0,AI$5-$A23&lt;=19),INDEX(HU_ord,AI$5-$A23+1)*$B23,0)</f>
        <v>0.15309016850080717</v>
      </c>
      <c r="AJ23" s="14">
        <f>IF(AND(AJ$5-$A23&gt;=0,AJ$5-$A23&lt;=19),INDEX(HU_ord,AJ$5-$A23+1)*$B23,0)</f>
        <v>0.10805707882042812</v>
      </c>
      <c r="AK23" s="14">
        <f>IF(AND(AK$5-$A23&gt;=0,AK$5-$A23&lt;=19),INDEX(HU_ord,AK$5-$A23+1)*$B23,0)</f>
        <v>0.06302398914004906</v>
      </c>
      <c r="AL23" s="14">
        <f>IF(AND(AL$5-$A23&gt;=0,AL$5-$A23&lt;=19),INDEX(HU_ord,AL$5-$A23+1)*$B23,0)</f>
        <v>0.017990899459670008</v>
      </c>
      <c r="AM23" s="14">
        <f>IF(AND(AM$5-$A23&gt;=0,AM$5-$A23&lt;=19),INDEX(HU_ord,AM$5-$A23+1)*$B23,0)</f>
        <v>0.0</v>
      </c>
      <c r="AN23" s="14">
        <f>IF(AND(AN$5-$A23&gt;=0,AN$5-$A23&lt;=19),INDEX(HU_ord,AN$5-$A23+1)*$B23,0)</f>
        <v>0.0</v>
      </c>
      <c r="AO23" s="14">
        <f>IF(AND(AO$5-$A23&gt;=0,AO$5-$A23&lt;=19),INDEX(HU_ord,AO$5-$A23+1)*$B23,0)</f>
        <v>0.0</v>
      </c>
      <c r="AP23" s="14">
        <f>IF(AND(AP$5-$A23&gt;=0,AP$5-$A23&lt;=19),INDEX(HU_ord,AP$5-$A23+1)*$B23,0)</f>
        <v>0.0</v>
      </c>
      <c r="AQ23" s="14">
        <f>IF(AND(AQ$5-$A23&gt;=0,AQ$5-$A23&lt;=19),INDEX(HU_ord,AQ$5-$A23+1)*$B23,0)</f>
        <v>0.0</v>
      </c>
      <c r="AR23" s="14">
        <f>IF(AND(AR$5-$A23&gt;=0,AR$5-$A23&lt;=19),INDEX(HU_ord,AR$5-$A23+1)*$B23,0)</f>
        <v>0.0</v>
      </c>
      <c r="AS23" s="14">
        <f>IF(AND(AS$5-$A23&gt;=0,AS$5-$A23&lt;=19),INDEX(HU_ord,AS$5-$A23+1)*$B23,0)</f>
        <v>0.0</v>
      </c>
      <c r="AT23" s="14">
        <f>IF(AND(AT$5-$A23&gt;=0,AT$5-$A23&lt;=19),INDEX(HU_ord,AT$5-$A23+1)*$B23,0)</f>
        <v>0.0</v>
      </c>
      <c r="AU23" s="14">
        <f>IF(AND(AU$5-$A23&gt;=0,AU$5-$A23&lt;=19),INDEX(HU_ord,AU$5-$A23+1)*$B23,0)</f>
        <v>0.0</v>
      </c>
      <c r="AV23" s="14">
        <f>IF(AND(AV$5-$A23&gt;=0,AV$5-$A23&lt;=19),INDEX(HU_ord,AV$5-$A23+1)*$B23,0)</f>
        <v>0.0</v>
      </c>
      <c r="AW23" s="14">
        <f>IF(AND(AW$5-$A23&gt;=0,AW$5-$A23&lt;=19),INDEX(HU_ord,AW$5-$A23+1)*$B23,0)</f>
        <v>0.0</v>
      </c>
      <c r="AX23" s="14">
        <f>IF(AND(AX$5-$A23&gt;=0,AX$5-$A23&lt;=19),INDEX(HU_ord,AX$5-$A23+1)*$B23,0)</f>
        <v>0.0</v>
      </c>
      <c r="AY23" s="14">
        <f>IF(AND(AY$5-$A23&gt;=0,AY$5-$A23&lt;=19),INDEX(HU_ord,AY$5-$A23+1)*$B23,0)</f>
        <v>0.0</v>
      </c>
      <c r="AZ23" s="14">
        <f>IF(AND(AZ$5-$A23&gt;=0,AZ$5-$A23&lt;=19),INDEX(HU_ord,AZ$5-$A23+1)*$B23,0)</f>
        <v>0.0</v>
      </c>
      <c r="BA23" s="14">
        <f>IF(AND(BA$5-$A23&gt;=0,BA$5-$A23&lt;=19),INDEX(HU_ord,BA$5-$A23+1)*$B23,0)</f>
        <v>0.0</v>
      </c>
      <c r="BB23" s="14">
        <f>IF(AND(BB$5-$A23&gt;=0,BB$5-$A23&lt;=19),INDEX(HU_ord,BB$5-$A23+1)*$B23,0)</f>
        <v>0.0</v>
      </c>
      <c r="BC23" s="14">
        <f>IF(AND(BC$5-$A23&gt;=0,BC$5-$A23&lt;=19),INDEX(HU_ord,BC$5-$A23+1)*$B23,0)</f>
        <v>0.0</v>
      </c>
      <c r="BD23" s="14">
        <f>IF(AND(BD$5-$A23&gt;=0,BD$5-$A23&lt;=19),INDEX(HU_ord,BD$5-$A23+1)*$B23,0)</f>
        <v>0.0</v>
      </c>
      <c r="BE23" s="14">
        <f>IF(AND(BE$5-$A23&gt;=0,BE$5-$A23&lt;=19),INDEX(HU_ord,BE$5-$A23+1)*$B23,0)</f>
        <v>0.0</v>
      </c>
      <c r="BF23" s="14">
        <f>IF(AND(BF$5-$A23&gt;=0,BF$5-$A23&lt;=19),INDEX(HU_ord,BF$5-$A23+1)*$B23,0)</f>
        <v>0.0</v>
      </c>
      <c r="BG23" s="14">
        <f>IF(AND(BG$5-$A23&gt;=0,BG$5-$A23&lt;=19),INDEX(HU_ord,BG$5-$A23+1)*$B23,0)</f>
        <v>0.0</v>
      </c>
      <c r="BH23" s="14">
        <f>IF(AND(BH$5-$A23&gt;=0,BH$5-$A23&lt;=19),INDEX(HU_ord,BH$5-$A23+1)*$B23,0)</f>
        <v>0.0</v>
      </c>
      <c r="BI23" s="14">
        <f>IF(AND(BI$5-$A23&gt;=0,BI$5-$A23&lt;=19),INDEX(HU_ord,BI$5-$A23+1)*$B23,0)</f>
        <v>0.0</v>
      </c>
      <c r="BJ23" s="14">
        <f>IF(AND(BJ$5-$A23&gt;=0,BJ$5-$A23&lt;=19),INDEX(HU_ord,BJ$5-$A23+1)*$B23,0)</f>
        <v>0.0</v>
      </c>
      <c r="BK23" s="14">
        <f>IF(AND(BK$5-$A23&gt;=0,BK$5-$A23&lt;=19),INDEX(HU_ord,BK$5-$A23+1)*$B23,0)</f>
        <v>0.0</v>
      </c>
      <c r="BL23" s="14">
        <f>IF(AND(BL$5-$A23&gt;=0,BL$5-$A23&lt;=19),INDEX(HU_ord,BL$5-$A23+1)*$B23,0)</f>
        <v>0.0</v>
      </c>
      <c r="BM23" s="14">
        <f>IF(AND(BM$5-$A23&gt;=0,BM$5-$A23&lt;=19),INDEX(HU_ord,BM$5-$A23+1)*$B23,0)</f>
        <v>0.0</v>
      </c>
      <c r="BN23" s="14">
        <f>IF(AND(BN$5-$A23&gt;=0,BN$5-$A23&lt;=19),INDEX(HU_ord,BN$5-$A23+1)*$B23,0)</f>
        <v>0.0</v>
      </c>
      <c r="BO23" s="14">
        <f>IF(AND(BO$5-$A23&gt;=0,BO$5-$A23&lt;=19),INDEX(HU_ord,BO$5-$A23+1)*$B23,0)</f>
        <v>0.0</v>
      </c>
      <c r="BP23" s="14">
        <f>IF(AND(BP$5-$A23&gt;=0,BP$5-$A23&lt;=19),INDEX(HU_ord,BP$5-$A23+1)*$B23,0)</f>
        <v>0.0</v>
      </c>
      <c r="BQ23" s="14">
        <f>IF(AND(BQ$5-$A23&gt;=0,BQ$5-$A23&lt;=19),INDEX(HU_ord,BQ$5-$A23+1)*$B23,0)</f>
        <v>0.0</v>
      </c>
      <c r="BR23" s="14">
        <f>IF(AND(BR$5-$A23&gt;=0,BR$5-$A23&lt;=19),INDEX(HU_ord,BR$5-$A23+1)*$B23,0)</f>
        <v>0.0</v>
      </c>
      <c r="BS23" s="14">
        <f>IF(AND(BS$5-$A23&gt;=0,BS$5-$A23&lt;=19),INDEX(HU_ord,BS$5-$A23+1)*$B23,0)</f>
        <v>0.0</v>
      </c>
      <c r="BT23" s="14">
        <f>IF(AND(BT$5-$A23&gt;=0,BT$5-$A23&lt;=19),INDEX(HU_ord,BT$5-$A23+1)*$B23,0)</f>
        <v>0.0</v>
      </c>
      <c r="BU23" s="14">
        <f>IF(AND(BU$5-$A23&gt;=0,BU$5-$A23&lt;=19),INDEX(HU_ord,BU$5-$A23+1)*$B23,0)</f>
        <v>0.0</v>
      </c>
      <c r="BV23" s="14">
        <f>IF(AND(BV$5-$A23&gt;=0,BV$5-$A23&lt;=19),INDEX(HU_ord,BV$5-$A23+1)*$B23,0)</f>
        <v>0.0</v>
      </c>
      <c r="BW23" s="14">
        <f>IF(AND(BW$5-$A23&gt;=0,BW$5-$A23&lt;=19),INDEX(HU_ord,BW$5-$A23+1)*$B23,0)</f>
        <v>0.0</v>
      </c>
      <c r="BX23" s="14">
        <f>IF(AND(BX$5-$A23&gt;=0,BX$5-$A23&lt;=19),INDEX(HU_ord,BX$5-$A23+1)*$B23,0)</f>
        <v>0.0</v>
      </c>
      <c r="BY23" s="14">
        <f>IF(AND(BY$5-$A23&gt;=0,BY$5-$A23&lt;=19),INDEX(HU_ord,BY$5-$A23+1)*$B23,0)</f>
        <v>0.0</v>
      </c>
      <c r="BZ23" s="14">
        <f>IF(AND(BZ$5-$A23&gt;=0,BZ$5-$A23&lt;=19),INDEX(HU_ord,BZ$5-$A23+1)*$B23,0)</f>
        <v>0.0</v>
      </c>
      <c r="CA23" s="14">
        <f>IF(AND(CA$5-$A23&gt;=0,CA$5-$A23&lt;=19),INDEX(HU_ord,CA$5-$A23+1)*$B23,0)</f>
        <v>0.0</v>
      </c>
      <c r="CB23" s="14">
        <f>IF(AND(CB$5-$A23&gt;=0,CB$5-$A23&lt;=19),INDEX(HU_ord,CB$5-$A23+1)*$B23,0)</f>
        <v>0.0</v>
      </c>
      <c r="CC23" s="14">
        <f>IF(AND(CC$5-$A23&gt;=0,CC$5-$A23&lt;=19),INDEX(HU_ord,CC$5-$A23+1)*$B23,0)</f>
        <v>0.0</v>
      </c>
      <c r="CD23" s="14">
        <f>IF(AND(CD$5-$A23&gt;=0,CD$5-$A23&lt;=19),INDEX(HU_ord,CD$5-$A23+1)*$B23,0)</f>
        <v>0.0</v>
      </c>
      <c r="CE23" s="14">
        <f>IF(AND(CE$5-$A23&gt;=0,CE$5-$A23&lt;=19),INDEX(HU_ord,CE$5-$A23+1)*$B23,0)</f>
        <v>0.0</v>
      </c>
      <c r="CF23" s="14">
        <f>IF(AND(CF$5-$A23&gt;=0,CF$5-$A23&lt;=19),INDEX(HU_ord,CF$5-$A23+1)*$B23,0)</f>
        <v>0.0</v>
      </c>
      <c r="CG23" s="14">
        <f>IF(AND(CG$5-$A23&gt;=0,CG$5-$A23&lt;=19),INDEX(HU_ord,CG$5-$A23+1)*$B23,0)</f>
        <v>0.0</v>
      </c>
      <c r="CH23" s="14">
        <f>IF(AND(CH$5-$A23&gt;=0,CH$5-$A23&lt;=19),INDEX(HU_ord,CH$5-$A23+1)*$B23,0)</f>
        <v>0.0</v>
      </c>
      <c r="CI23" s="14">
        <f>IF(AND(CI$5-$A23&gt;=0,CI$5-$A23&lt;=19),INDEX(HU_ord,CI$5-$A23+1)*$B23,0)</f>
        <v>0.0</v>
      </c>
      <c r="CJ23" s="14">
        <f>IF(AND(CJ$5-$A23&gt;=0,CJ$5-$A23&lt;=19),INDEX(HU_ord,CJ$5-$A23+1)*$B23,0)</f>
        <v>0.0</v>
      </c>
      <c r="CK23" s="14">
        <f>IF(AND(CK$5-$A23&gt;=0,CK$5-$A23&lt;=19),INDEX(HU_ord,CK$5-$A23+1)*$B23,0)</f>
        <v>0.0</v>
      </c>
      <c r="CL23" s="14">
        <f>IF(AND(CL$5-$A23&gt;=0,CL$5-$A23&lt;=19),INDEX(HU_ord,CL$5-$A23+1)*$B23,0)</f>
        <v>0.0</v>
      </c>
      <c r="CM23" s="14">
        <f>IF(AND(CM$5-$A23&gt;=0,CM$5-$A23&lt;=19),INDEX(HU_ord,CM$5-$A23+1)*$B23,0)</f>
        <v>0.0</v>
      </c>
      <c r="CN23" s="14">
        <f>IF(AND(CN$5-$A23&gt;=0,CN$5-$A23&lt;=19),INDEX(HU_ord,CN$5-$A23+1)*$B23,0)</f>
        <v>0.0</v>
      </c>
      <c r="CO23" s="14">
        <f>IF(AND(CO$5-$A23&gt;=0,CO$5-$A23&lt;=19),INDEX(HU_ord,CO$5-$A23+1)*$B23,0)</f>
        <v>0.0</v>
      </c>
      <c r="CP23" s="14">
        <f>IF(AND(CP$5-$A23&gt;=0,CP$5-$A23&lt;=19),INDEX(HU_ord,CP$5-$A23+1)*$B23,0)</f>
        <v>0.0</v>
      </c>
      <c r="CQ23" s="14">
        <f>IF(AND(CQ$5-$A23&gt;=0,CQ$5-$A23&lt;=19),INDEX(HU_ord,CQ$5-$A23+1)*$B23,0)</f>
        <v>0.0</v>
      </c>
      <c r="CR23" s="14">
        <f>IF(AND(CR$5-$A23&gt;=0,CR$5-$A23&lt;=19),INDEX(HU_ord,CR$5-$A23+1)*$B23,0)</f>
        <v>0.0</v>
      </c>
      <c r="CS23" s="14">
        <f>IF(AND(CS$5-$A23&gt;=0,CS$5-$A23&lt;=19),INDEX(HU_ord,CS$5-$A23+1)*$B23,0)</f>
        <v>0.0</v>
      </c>
      <c r="CT23" s="14">
        <f>IF(AND(CT$5-$A23&gt;=0,CT$5-$A23&lt;=19),INDEX(HU_ord,CT$5-$A23+1)*$B23,0)</f>
        <v>0.0</v>
      </c>
      <c r="CU23" s="14">
        <f>IF(AND(CU$5-$A23&gt;=0,CU$5-$A23&lt;=19),INDEX(HU_ord,CU$5-$A23+1)*$B23,0)</f>
        <v>0.0</v>
      </c>
      <c r="CV23" s="14">
        <f>IF(AND(CV$5-$A23&gt;=0,CV$5-$A23&lt;=19),INDEX(HU_ord,CV$5-$A23+1)*$B23,0)</f>
        <v>0.0</v>
      </c>
      <c r="CW23" s="14">
        <f>IF(AND(CW$5-$A23&gt;=0,CW$5-$A23&lt;=19),INDEX(HU_ord,CW$5-$A23+1)*$B23,0)</f>
        <v>0.0</v>
      </c>
      <c r="CX23" s="14">
        <f>IF(AND(CX$5-$A23&gt;=0,CX$5-$A23&lt;=19),INDEX(HU_ord,CX$5-$A23+1)*$B23,0)</f>
        <v>0.0</v>
      </c>
      <c r="CY23" s="14">
        <f>IF(AND(CY$5-$A23&gt;=0,CY$5-$A23&lt;=19),INDEX(HU_ord,CY$5-$A23+1)*$B23,0)</f>
        <v>0.0</v>
      </c>
      <c r="CZ23" s="14">
        <f>IF(AND(CZ$5-$A23&gt;=0,CZ$5-$A23&lt;=19),INDEX(HU_ord,CZ$5-$A23+1)*$B23,0)</f>
        <v>0.0</v>
      </c>
      <c r="DA23" s="14">
        <f>IF(AND(DA$5-$A23&gt;=0,DA$5-$A23&lt;=19),INDEX(HU_ord,DA$5-$A23+1)*$B23,0)</f>
        <v>0.0</v>
      </c>
      <c r="DB23" s="14">
        <f>IF(AND(DB$5-$A23&gt;=0,DB$5-$A23&lt;=19),INDEX(HU_ord,DB$5-$A23+1)*$B23,0)</f>
        <v>0.0</v>
      </c>
      <c r="DC23" s="14">
        <f>IF(AND(DC$5-$A23&gt;=0,DC$5-$A23&lt;=19),INDEX(HU_ord,DC$5-$A23+1)*$B23,0)</f>
        <v>0.0</v>
      </c>
      <c r="DD23" s="14">
        <f>IF(AND(DD$5-$A23&gt;=0,DD$5-$A23&lt;=19),INDEX(HU_ord,DD$5-$A23+1)*$B23,0)</f>
        <v>0.0</v>
      </c>
      <c r="DE23" s="14">
        <f>IF(AND(DE$5-$A23&gt;=0,DE$5-$A23&lt;=19),INDEX(HU_ord,DE$5-$A23+1)*$B23,0)</f>
        <v>0.0</v>
      </c>
      <c r="DF23" s="14">
        <f>IF(AND(DF$5-$A23&gt;=0,DF$5-$A23&lt;=19),INDEX(HU_ord,DF$5-$A23+1)*$B23,0)</f>
        <v>0.0</v>
      </c>
      <c r="DG23" s="14">
        <f>IF(AND(DG$5-$A23&gt;=0,DG$5-$A23&lt;=19),INDEX(HU_ord,DG$5-$A23+1)*$B23,0)</f>
        <v>0.0</v>
      </c>
      <c r="DH23" s="14">
        <f>IF(AND(DH$5-$A23&gt;=0,DH$5-$A23&lt;=19),INDEX(HU_ord,DH$5-$A23+1)*$B23,0)</f>
        <v>0.0</v>
      </c>
      <c r="DI23" s="14">
        <f>IF(AND(DI$5-$A23&gt;=0,DI$5-$A23&lt;=19),INDEX(HU_ord,DI$5-$A23+1)*$B23,0)</f>
        <v>0.0</v>
      </c>
    </row>
    <row r="24" spans="1:113">
      <c r="A24">
        <v>18</v>
      </c>
      <c r="B24" s="10">
        <f>Serie_horaria!N20</f>
        <v>0.059359695830071856</v>
      </c>
      <c r="C24" s="14">
        <f>IF(AND(C$5-$A24&gt;=0,C$5-$A24&lt;=19),INDEX(HU_ord,C$5-$A24+1)*$B24,0)</f>
        <v>0.0</v>
      </c>
      <c r="D24" s="14">
        <f>IF(AND(D$5-$A24&gt;=0,D$5-$A24&lt;=19),INDEX(HU_ord,D$5-$A24+1)*$B24,0)</f>
        <v>0.0</v>
      </c>
      <c r="E24" s="14">
        <f>IF(AND(E$5-$A24&gt;=0,E$5-$A24&lt;=19),INDEX(HU_ord,E$5-$A24+1)*$B24,0)</f>
        <v>0.0</v>
      </c>
      <c r="F24" s="14">
        <f>IF(AND(F$5-$A24&gt;=0,F$5-$A24&lt;=19),INDEX(HU_ord,F$5-$A24+1)*$B24,0)</f>
        <v>0.0</v>
      </c>
      <c r="G24" s="14">
        <f>IF(AND(G$5-$A24&gt;=0,G$5-$A24&lt;=19),INDEX(HU_ord,G$5-$A24+1)*$B24,0)</f>
        <v>0.0</v>
      </c>
      <c r="H24" s="14">
        <f>IF(AND(H$5-$A24&gt;=0,H$5-$A24&lt;=19),INDEX(HU_ord,H$5-$A24+1)*$B24,0)</f>
        <v>0.0</v>
      </c>
      <c r="I24" s="14">
        <f>IF(AND(I$5-$A24&gt;=0,I$5-$A24&lt;=19),INDEX(HU_ord,I$5-$A24+1)*$B24,0)</f>
        <v>0.0</v>
      </c>
      <c r="J24" s="14">
        <f>IF(AND(J$5-$A24&gt;=0,J$5-$A24&lt;=19),INDEX(HU_ord,J$5-$A24+1)*$B24,0)</f>
        <v>0.0</v>
      </c>
      <c r="K24" s="14">
        <f>IF(AND(K$5-$A24&gt;=0,K$5-$A24&lt;=19),INDEX(HU_ord,K$5-$A24+1)*$B24,0)</f>
        <v>0.0</v>
      </c>
      <c r="L24" s="14">
        <f>IF(AND(L$5-$A24&gt;=0,L$5-$A24&lt;=19),INDEX(HU_ord,L$5-$A24+1)*$B24,0)</f>
        <v>0.0</v>
      </c>
      <c r="M24" s="14">
        <f>IF(AND(M$5-$A24&gt;=0,M$5-$A24&lt;=19),INDEX(HU_ord,M$5-$A24+1)*$B24,0)</f>
        <v>0.0</v>
      </c>
      <c r="N24" s="14">
        <f>IF(AND(N$5-$A24&gt;=0,N$5-$A24&lt;=19),INDEX(HU_ord,N$5-$A24+1)*$B24,0)</f>
        <v>0.0</v>
      </c>
      <c r="O24" s="14">
        <f>IF(AND(O$5-$A24&gt;=0,O$5-$A24&lt;=19),INDEX(HU_ord,O$5-$A24+1)*$B24,0)</f>
        <v>0.0</v>
      </c>
      <c r="P24" s="14">
        <f>IF(AND(P$5-$A24&gt;=0,P$5-$A24&lt;=19),INDEX(HU_ord,P$5-$A24+1)*$B24,0)</f>
        <v>0.0</v>
      </c>
      <c r="Q24" s="14">
        <f>IF(AND(Q$5-$A24&gt;=0,Q$5-$A24&lt;=19),INDEX(HU_ord,Q$5-$A24+1)*$B24,0)</f>
        <v>0.0</v>
      </c>
      <c r="R24" s="14">
        <f>IF(AND(R$5-$A24&gt;=0,R$5-$A24&lt;=19),INDEX(HU_ord,R$5-$A24+1)*$B24,0)</f>
        <v>0.0</v>
      </c>
      <c r="S24" s="14">
        <f>IF(AND(S$5-$A24&gt;=0,S$5-$A24&lt;=19),INDEX(HU_ord,S$5-$A24+1)*$B24,0)</f>
        <v>0.0</v>
      </c>
      <c r="T24" s="14">
        <f>IF(AND(T$5-$A24&gt;=0,T$5-$A24&lt;=19),INDEX(HU_ord,T$5-$A24+1)*$B24,0)</f>
        <v>0.0</v>
      </c>
      <c r="U24" s="14">
        <f>IF(AND(U$5-$A24&gt;=0,U$5-$A24&lt;=19),INDEX(HU_ord,U$5-$A24+1)*$B24,0)</f>
        <v>0.0</v>
      </c>
      <c r="V24" s="14">
        <f>IF(AND(V$5-$A24&gt;=0,V$5-$A24&lt;=19),INDEX(HU_ord,V$5-$A24+1)*$B24,0)</f>
        <v>0.19292318177038473</v>
      </c>
      <c r="W24" s="14">
        <f>IF(AND(W$5-$A24&gt;=0,W$5-$A24&lt;=19),INDEX(HU_ord,W$5-$A24+1)*$B24,0)</f>
        <v>0.38584636354076945</v>
      </c>
      <c r="X24" s="14">
        <f>IF(AND(X$5-$A24&gt;=0,X$5-$A24&lt;=19),INDEX(HU_ord,X$5-$A24+1)*$B24,0)</f>
        <v>0.5787695453111542</v>
      </c>
      <c r="Y24" s="14">
        <f>IF(AND(Y$5-$A24&gt;=0,Y$5-$A24&lt;=19),INDEX(HU_ord,Y$5-$A24+1)*$B24,0)</f>
        <v>0.7716927270815389</v>
      </c>
      <c r="Z24" s="14">
        <f>IF(AND(Z$5-$A24&gt;=0,Z$5-$A24&lt;=19),INDEX(HU_ord,Z$5-$A24+1)*$B24,0)</f>
        <v>0.9646159088519237</v>
      </c>
      <c r="AA24" s="14">
        <f>IF(AND(AA$5-$A24&gt;=0,AA$5-$A24&lt;=19),INDEX(HU_ord,AA$5-$A24+1)*$B24,0)</f>
        <v>1.1575390906223084</v>
      </c>
      <c r="AB24" s="14">
        <f>IF(AND(AB$5-$A24&gt;=0,AB$5-$A24&lt;=19),INDEX(HU_ord,AB$5-$A24+1)*$B24,0)</f>
        <v>1.3169033426851662</v>
      </c>
      <c r="AC24" s="14">
        <f>IF(AND(AC$5-$A24&gt;=0,AC$5-$A24&lt;=19),INDEX(HU_ord,AC$5-$A24+1)*$B24,0)</f>
        <v>1.2013804793496066</v>
      </c>
      <c r="AD24" s="14">
        <f>IF(AND(AD$5-$A24&gt;=0,AD$5-$A24&lt;=19),INDEX(HU_ord,AD$5-$A24+1)*$B24,0)</f>
        <v>1.0858576160140467</v>
      </c>
      <c r="AE24" s="14">
        <f>IF(AND(AE$5-$A24&gt;=0,AE$5-$A24&lt;=19),INDEX(HU_ord,AE$5-$A24+1)*$B24,0)</f>
        <v>0.970334752678487</v>
      </c>
      <c r="AF24" s="14">
        <f>IF(AND(AF$5-$A24&gt;=0,AF$5-$A24&lt;=19),INDEX(HU_ord,AF$5-$A24+1)*$B24,0)</f>
        <v>0.8548118893429272</v>
      </c>
      <c r="AG24" s="14">
        <f>IF(AND(AG$5-$A24&gt;=0,AG$5-$A24&lt;=19),INDEX(HU_ord,AG$5-$A24+1)*$B24,0)</f>
        <v>0.7392890260073676</v>
      </c>
      <c r="AH24" s="14">
        <f>IF(AND(AH$5-$A24&gt;=0,AH$5-$A24&lt;=19),INDEX(HU_ord,AH$5-$A24+1)*$B24,0)</f>
        <v>0.6237661626718078</v>
      </c>
      <c r="AI24" s="14">
        <f>IF(AND(AI$5-$A24&gt;=0,AI$5-$A24&lt;=19),INDEX(HU_ord,AI$5-$A24+1)*$B24,0)</f>
        <v>0.5082432993362481</v>
      </c>
      <c r="AJ24" s="14">
        <f>IF(AND(AJ$5-$A24&gt;=0,AJ$5-$A24&lt;=19),INDEX(HU_ord,AJ$5-$A24+1)*$B24,0)</f>
        <v>0.39272043600068834</v>
      </c>
      <c r="AK24" s="14">
        <f>IF(AND(AK$5-$A24&gt;=0,AK$5-$A24&lt;=19),INDEX(HU_ord,AK$5-$A24+1)*$B24,0)</f>
        <v>0.27719757266512857</v>
      </c>
      <c r="AL24" s="14">
        <f>IF(AND(AL$5-$A24&gt;=0,AL$5-$A24&lt;=19),INDEX(HU_ord,AL$5-$A24+1)*$B24,0)</f>
        <v>0.16167470932956882</v>
      </c>
      <c r="AM24" s="14">
        <f>IF(AND(AM$5-$A24&gt;=0,AM$5-$A24&lt;=19),INDEX(HU_ord,AM$5-$A24+1)*$B24,0)</f>
        <v>0.04615184599400908</v>
      </c>
      <c r="AN24" s="14">
        <f>IF(AND(AN$5-$A24&gt;=0,AN$5-$A24&lt;=19),INDEX(HU_ord,AN$5-$A24+1)*$B24,0)</f>
        <v>0.0</v>
      </c>
      <c r="AO24" s="14">
        <f>IF(AND(AO$5-$A24&gt;=0,AO$5-$A24&lt;=19),INDEX(HU_ord,AO$5-$A24+1)*$B24,0)</f>
        <v>0.0</v>
      </c>
      <c r="AP24" s="14">
        <f>IF(AND(AP$5-$A24&gt;=0,AP$5-$A24&lt;=19),INDEX(HU_ord,AP$5-$A24+1)*$B24,0)</f>
        <v>0.0</v>
      </c>
      <c r="AQ24" s="14">
        <f>IF(AND(AQ$5-$A24&gt;=0,AQ$5-$A24&lt;=19),INDEX(HU_ord,AQ$5-$A24+1)*$B24,0)</f>
        <v>0.0</v>
      </c>
      <c r="AR24" s="14">
        <f>IF(AND(AR$5-$A24&gt;=0,AR$5-$A24&lt;=19),INDEX(HU_ord,AR$5-$A24+1)*$B24,0)</f>
        <v>0.0</v>
      </c>
      <c r="AS24" s="14">
        <f>IF(AND(AS$5-$A24&gt;=0,AS$5-$A24&lt;=19),INDEX(HU_ord,AS$5-$A24+1)*$B24,0)</f>
        <v>0.0</v>
      </c>
      <c r="AT24" s="14">
        <f>IF(AND(AT$5-$A24&gt;=0,AT$5-$A24&lt;=19),INDEX(HU_ord,AT$5-$A24+1)*$B24,0)</f>
        <v>0.0</v>
      </c>
      <c r="AU24" s="14">
        <f>IF(AND(AU$5-$A24&gt;=0,AU$5-$A24&lt;=19),INDEX(HU_ord,AU$5-$A24+1)*$B24,0)</f>
        <v>0.0</v>
      </c>
      <c r="AV24" s="14">
        <f>IF(AND(AV$5-$A24&gt;=0,AV$5-$A24&lt;=19),INDEX(HU_ord,AV$5-$A24+1)*$B24,0)</f>
        <v>0.0</v>
      </c>
      <c r="AW24" s="14">
        <f>IF(AND(AW$5-$A24&gt;=0,AW$5-$A24&lt;=19),INDEX(HU_ord,AW$5-$A24+1)*$B24,0)</f>
        <v>0.0</v>
      </c>
      <c r="AX24" s="14">
        <f>IF(AND(AX$5-$A24&gt;=0,AX$5-$A24&lt;=19),INDEX(HU_ord,AX$5-$A24+1)*$B24,0)</f>
        <v>0.0</v>
      </c>
      <c r="AY24" s="14">
        <f>IF(AND(AY$5-$A24&gt;=0,AY$5-$A24&lt;=19),INDEX(HU_ord,AY$5-$A24+1)*$B24,0)</f>
        <v>0.0</v>
      </c>
      <c r="AZ24" s="14">
        <f>IF(AND(AZ$5-$A24&gt;=0,AZ$5-$A24&lt;=19),INDEX(HU_ord,AZ$5-$A24+1)*$B24,0)</f>
        <v>0.0</v>
      </c>
      <c r="BA24" s="14">
        <f>IF(AND(BA$5-$A24&gt;=0,BA$5-$A24&lt;=19),INDEX(HU_ord,BA$5-$A24+1)*$B24,0)</f>
        <v>0.0</v>
      </c>
      <c r="BB24" s="14">
        <f>IF(AND(BB$5-$A24&gt;=0,BB$5-$A24&lt;=19),INDEX(HU_ord,BB$5-$A24+1)*$B24,0)</f>
        <v>0.0</v>
      </c>
      <c r="BC24" s="14">
        <f>IF(AND(BC$5-$A24&gt;=0,BC$5-$A24&lt;=19),INDEX(HU_ord,BC$5-$A24+1)*$B24,0)</f>
        <v>0.0</v>
      </c>
      <c r="BD24" s="14">
        <f>IF(AND(BD$5-$A24&gt;=0,BD$5-$A24&lt;=19),INDEX(HU_ord,BD$5-$A24+1)*$B24,0)</f>
        <v>0.0</v>
      </c>
      <c r="BE24" s="14">
        <f>IF(AND(BE$5-$A24&gt;=0,BE$5-$A24&lt;=19),INDEX(HU_ord,BE$5-$A24+1)*$B24,0)</f>
        <v>0.0</v>
      </c>
      <c r="BF24" s="14">
        <f>IF(AND(BF$5-$A24&gt;=0,BF$5-$A24&lt;=19),INDEX(HU_ord,BF$5-$A24+1)*$B24,0)</f>
        <v>0.0</v>
      </c>
      <c r="BG24" s="14">
        <f>IF(AND(BG$5-$A24&gt;=0,BG$5-$A24&lt;=19),INDEX(HU_ord,BG$5-$A24+1)*$B24,0)</f>
        <v>0.0</v>
      </c>
      <c r="BH24" s="14">
        <f>IF(AND(BH$5-$A24&gt;=0,BH$5-$A24&lt;=19),INDEX(HU_ord,BH$5-$A24+1)*$B24,0)</f>
        <v>0.0</v>
      </c>
      <c r="BI24" s="14">
        <f>IF(AND(BI$5-$A24&gt;=0,BI$5-$A24&lt;=19),INDEX(HU_ord,BI$5-$A24+1)*$B24,0)</f>
        <v>0.0</v>
      </c>
      <c r="BJ24" s="14">
        <f>IF(AND(BJ$5-$A24&gt;=0,BJ$5-$A24&lt;=19),INDEX(HU_ord,BJ$5-$A24+1)*$B24,0)</f>
        <v>0.0</v>
      </c>
      <c r="BK24" s="14">
        <f>IF(AND(BK$5-$A24&gt;=0,BK$5-$A24&lt;=19),INDEX(HU_ord,BK$5-$A24+1)*$B24,0)</f>
        <v>0.0</v>
      </c>
      <c r="BL24" s="14">
        <f>IF(AND(BL$5-$A24&gt;=0,BL$5-$A24&lt;=19),INDEX(HU_ord,BL$5-$A24+1)*$B24,0)</f>
        <v>0.0</v>
      </c>
      <c r="BM24" s="14">
        <f>IF(AND(BM$5-$A24&gt;=0,BM$5-$A24&lt;=19),INDEX(HU_ord,BM$5-$A24+1)*$B24,0)</f>
        <v>0.0</v>
      </c>
      <c r="BN24" s="14">
        <f>IF(AND(BN$5-$A24&gt;=0,BN$5-$A24&lt;=19),INDEX(HU_ord,BN$5-$A24+1)*$B24,0)</f>
        <v>0.0</v>
      </c>
      <c r="BO24" s="14">
        <f>IF(AND(BO$5-$A24&gt;=0,BO$5-$A24&lt;=19),INDEX(HU_ord,BO$5-$A24+1)*$B24,0)</f>
        <v>0.0</v>
      </c>
      <c r="BP24" s="14">
        <f>IF(AND(BP$5-$A24&gt;=0,BP$5-$A24&lt;=19),INDEX(HU_ord,BP$5-$A24+1)*$B24,0)</f>
        <v>0.0</v>
      </c>
      <c r="BQ24" s="14">
        <f>IF(AND(BQ$5-$A24&gt;=0,BQ$5-$A24&lt;=19),INDEX(HU_ord,BQ$5-$A24+1)*$B24,0)</f>
        <v>0.0</v>
      </c>
      <c r="BR24" s="14">
        <f>IF(AND(BR$5-$A24&gt;=0,BR$5-$A24&lt;=19),INDEX(HU_ord,BR$5-$A24+1)*$B24,0)</f>
        <v>0.0</v>
      </c>
      <c r="BS24" s="14">
        <f>IF(AND(BS$5-$A24&gt;=0,BS$5-$A24&lt;=19),INDEX(HU_ord,BS$5-$A24+1)*$B24,0)</f>
        <v>0.0</v>
      </c>
      <c r="BT24" s="14">
        <f>IF(AND(BT$5-$A24&gt;=0,BT$5-$A24&lt;=19),INDEX(HU_ord,BT$5-$A24+1)*$B24,0)</f>
        <v>0.0</v>
      </c>
      <c r="BU24" s="14">
        <f>IF(AND(BU$5-$A24&gt;=0,BU$5-$A24&lt;=19),INDEX(HU_ord,BU$5-$A24+1)*$B24,0)</f>
        <v>0.0</v>
      </c>
      <c r="BV24" s="14">
        <f>IF(AND(BV$5-$A24&gt;=0,BV$5-$A24&lt;=19),INDEX(HU_ord,BV$5-$A24+1)*$B24,0)</f>
        <v>0.0</v>
      </c>
      <c r="BW24" s="14">
        <f>IF(AND(BW$5-$A24&gt;=0,BW$5-$A24&lt;=19),INDEX(HU_ord,BW$5-$A24+1)*$B24,0)</f>
        <v>0.0</v>
      </c>
      <c r="BX24" s="14">
        <f>IF(AND(BX$5-$A24&gt;=0,BX$5-$A24&lt;=19),INDEX(HU_ord,BX$5-$A24+1)*$B24,0)</f>
        <v>0.0</v>
      </c>
      <c r="BY24" s="14">
        <f>IF(AND(BY$5-$A24&gt;=0,BY$5-$A24&lt;=19),INDEX(HU_ord,BY$5-$A24+1)*$B24,0)</f>
        <v>0.0</v>
      </c>
      <c r="BZ24" s="14">
        <f>IF(AND(BZ$5-$A24&gt;=0,BZ$5-$A24&lt;=19),INDEX(HU_ord,BZ$5-$A24+1)*$B24,0)</f>
        <v>0.0</v>
      </c>
      <c r="CA24" s="14">
        <f>IF(AND(CA$5-$A24&gt;=0,CA$5-$A24&lt;=19),INDEX(HU_ord,CA$5-$A24+1)*$B24,0)</f>
        <v>0.0</v>
      </c>
      <c r="CB24" s="14">
        <f>IF(AND(CB$5-$A24&gt;=0,CB$5-$A24&lt;=19),INDEX(HU_ord,CB$5-$A24+1)*$B24,0)</f>
        <v>0.0</v>
      </c>
      <c r="CC24" s="14">
        <f>IF(AND(CC$5-$A24&gt;=0,CC$5-$A24&lt;=19),INDEX(HU_ord,CC$5-$A24+1)*$B24,0)</f>
        <v>0.0</v>
      </c>
      <c r="CD24" s="14">
        <f>IF(AND(CD$5-$A24&gt;=0,CD$5-$A24&lt;=19),INDEX(HU_ord,CD$5-$A24+1)*$B24,0)</f>
        <v>0.0</v>
      </c>
      <c r="CE24" s="14">
        <f>IF(AND(CE$5-$A24&gt;=0,CE$5-$A24&lt;=19),INDEX(HU_ord,CE$5-$A24+1)*$B24,0)</f>
        <v>0.0</v>
      </c>
      <c r="CF24" s="14">
        <f>IF(AND(CF$5-$A24&gt;=0,CF$5-$A24&lt;=19),INDEX(HU_ord,CF$5-$A24+1)*$B24,0)</f>
        <v>0.0</v>
      </c>
      <c r="CG24" s="14">
        <f>IF(AND(CG$5-$A24&gt;=0,CG$5-$A24&lt;=19),INDEX(HU_ord,CG$5-$A24+1)*$B24,0)</f>
        <v>0.0</v>
      </c>
      <c r="CH24" s="14">
        <f>IF(AND(CH$5-$A24&gt;=0,CH$5-$A24&lt;=19),INDEX(HU_ord,CH$5-$A24+1)*$B24,0)</f>
        <v>0.0</v>
      </c>
      <c r="CI24" s="14">
        <f>IF(AND(CI$5-$A24&gt;=0,CI$5-$A24&lt;=19),INDEX(HU_ord,CI$5-$A24+1)*$B24,0)</f>
        <v>0.0</v>
      </c>
      <c r="CJ24" s="14">
        <f>IF(AND(CJ$5-$A24&gt;=0,CJ$5-$A24&lt;=19),INDEX(HU_ord,CJ$5-$A24+1)*$B24,0)</f>
        <v>0.0</v>
      </c>
      <c r="CK24" s="14">
        <f>IF(AND(CK$5-$A24&gt;=0,CK$5-$A24&lt;=19),INDEX(HU_ord,CK$5-$A24+1)*$B24,0)</f>
        <v>0.0</v>
      </c>
      <c r="CL24" s="14">
        <f>IF(AND(CL$5-$A24&gt;=0,CL$5-$A24&lt;=19),INDEX(HU_ord,CL$5-$A24+1)*$B24,0)</f>
        <v>0.0</v>
      </c>
      <c r="CM24" s="14">
        <f>IF(AND(CM$5-$A24&gt;=0,CM$5-$A24&lt;=19),INDEX(HU_ord,CM$5-$A24+1)*$B24,0)</f>
        <v>0.0</v>
      </c>
      <c r="CN24" s="14">
        <f>IF(AND(CN$5-$A24&gt;=0,CN$5-$A24&lt;=19),INDEX(HU_ord,CN$5-$A24+1)*$B24,0)</f>
        <v>0.0</v>
      </c>
      <c r="CO24" s="14">
        <f>IF(AND(CO$5-$A24&gt;=0,CO$5-$A24&lt;=19),INDEX(HU_ord,CO$5-$A24+1)*$B24,0)</f>
        <v>0.0</v>
      </c>
      <c r="CP24" s="14">
        <f>IF(AND(CP$5-$A24&gt;=0,CP$5-$A24&lt;=19),INDEX(HU_ord,CP$5-$A24+1)*$B24,0)</f>
        <v>0.0</v>
      </c>
      <c r="CQ24" s="14">
        <f>IF(AND(CQ$5-$A24&gt;=0,CQ$5-$A24&lt;=19),INDEX(HU_ord,CQ$5-$A24+1)*$B24,0)</f>
        <v>0.0</v>
      </c>
      <c r="CR24" s="14">
        <f>IF(AND(CR$5-$A24&gt;=0,CR$5-$A24&lt;=19),INDEX(HU_ord,CR$5-$A24+1)*$B24,0)</f>
        <v>0.0</v>
      </c>
      <c r="CS24" s="14">
        <f>IF(AND(CS$5-$A24&gt;=0,CS$5-$A24&lt;=19),INDEX(HU_ord,CS$5-$A24+1)*$B24,0)</f>
        <v>0.0</v>
      </c>
      <c r="CT24" s="14">
        <f>IF(AND(CT$5-$A24&gt;=0,CT$5-$A24&lt;=19),INDEX(HU_ord,CT$5-$A24+1)*$B24,0)</f>
        <v>0.0</v>
      </c>
      <c r="CU24" s="14">
        <f>IF(AND(CU$5-$A24&gt;=0,CU$5-$A24&lt;=19),INDEX(HU_ord,CU$5-$A24+1)*$B24,0)</f>
        <v>0.0</v>
      </c>
      <c r="CV24" s="14">
        <f>IF(AND(CV$5-$A24&gt;=0,CV$5-$A24&lt;=19),INDEX(HU_ord,CV$5-$A24+1)*$B24,0)</f>
        <v>0.0</v>
      </c>
      <c r="CW24" s="14">
        <f>IF(AND(CW$5-$A24&gt;=0,CW$5-$A24&lt;=19),INDEX(HU_ord,CW$5-$A24+1)*$B24,0)</f>
        <v>0.0</v>
      </c>
      <c r="CX24" s="14">
        <f>IF(AND(CX$5-$A24&gt;=0,CX$5-$A24&lt;=19),INDEX(HU_ord,CX$5-$A24+1)*$B24,0)</f>
        <v>0.0</v>
      </c>
      <c r="CY24" s="14">
        <f>IF(AND(CY$5-$A24&gt;=0,CY$5-$A24&lt;=19),INDEX(HU_ord,CY$5-$A24+1)*$B24,0)</f>
        <v>0.0</v>
      </c>
      <c r="CZ24" s="14">
        <f>IF(AND(CZ$5-$A24&gt;=0,CZ$5-$A24&lt;=19),INDEX(HU_ord,CZ$5-$A24+1)*$B24,0)</f>
        <v>0.0</v>
      </c>
      <c r="DA24" s="14">
        <f>IF(AND(DA$5-$A24&gt;=0,DA$5-$A24&lt;=19),INDEX(HU_ord,DA$5-$A24+1)*$B24,0)</f>
        <v>0.0</v>
      </c>
      <c r="DB24" s="14">
        <f>IF(AND(DB$5-$A24&gt;=0,DB$5-$A24&lt;=19),INDEX(HU_ord,DB$5-$A24+1)*$B24,0)</f>
        <v>0.0</v>
      </c>
      <c r="DC24" s="14">
        <f>IF(AND(DC$5-$A24&gt;=0,DC$5-$A24&lt;=19),INDEX(HU_ord,DC$5-$A24+1)*$B24,0)</f>
        <v>0.0</v>
      </c>
      <c r="DD24" s="14">
        <f>IF(AND(DD$5-$A24&gt;=0,DD$5-$A24&lt;=19),INDEX(HU_ord,DD$5-$A24+1)*$B24,0)</f>
        <v>0.0</v>
      </c>
      <c r="DE24" s="14">
        <f>IF(AND(DE$5-$A24&gt;=0,DE$5-$A24&lt;=19),INDEX(HU_ord,DE$5-$A24+1)*$B24,0)</f>
        <v>0.0</v>
      </c>
      <c r="DF24" s="14">
        <f>IF(AND(DF$5-$A24&gt;=0,DF$5-$A24&lt;=19),INDEX(HU_ord,DF$5-$A24+1)*$B24,0)</f>
        <v>0.0</v>
      </c>
      <c r="DG24" s="14">
        <f>IF(AND(DG$5-$A24&gt;=0,DG$5-$A24&lt;=19),INDEX(HU_ord,DG$5-$A24+1)*$B24,0)</f>
        <v>0.0</v>
      </c>
      <c r="DH24" s="14">
        <f>IF(AND(DH$5-$A24&gt;=0,DH$5-$A24&lt;=19),INDEX(HU_ord,DH$5-$A24+1)*$B24,0)</f>
        <v>0.0</v>
      </c>
      <c r="DI24" s="14">
        <f>IF(AND(DI$5-$A24&gt;=0,DI$5-$A24&lt;=19),INDEX(HU_ord,DI$5-$A24+1)*$B24,0)</f>
        <v>0.0</v>
      </c>
    </row>
    <row r="25" spans="1:113">
      <c r="A25">
        <v>19</v>
      </c>
      <c r="B25" s="10">
        <f>Serie_horaria!N21</f>
        <v>0.059066795630916505</v>
      </c>
      <c r="C25" s="14">
        <f>IF(AND(C$5-$A25&gt;=0,C$5-$A25&lt;=19),INDEX(HU_ord,C$5-$A25+1)*$B25,0)</f>
        <v>0.0</v>
      </c>
      <c r="D25" s="14">
        <f>IF(AND(D$5-$A25&gt;=0,D$5-$A25&lt;=19),INDEX(HU_ord,D$5-$A25+1)*$B25,0)</f>
        <v>0.0</v>
      </c>
      <c r="E25" s="14">
        <f>IF(AND(E$5-$A25&gt;=0,E$5-$A25&lt;=19),INDEX(HU_ord,E$5-$A25+1)*$B25,0)</f>
        <v>0.0</v>
      </c>
      <c r="F25" s="14">
        <f>IF(AND(F$5-$A25&gt;=0,F$5-$A25&lt;=19),INDEX(HU_ord,F$5-$A25+1)*$B25,0)</f>
        <v>0.0</v>
      </c>
      <c r="G25" s="14">
        <f>IF(AND(G$5-$A25&gt;=0,G$5-$A25&lt;=19),INDEX(HU_ord,G$5-$A25+1)*$B25,0)</f>
        <v>0.0</v>
      </c>
      <c r="H25" s="14">
        <f>IF(AND(H$5-$A25&gt;=0,H$5-$A25&lt;=19),INDEX(HU_ord,H$5-$A25+1)*$B25,0)</f>
        <v>0.0</v>
      </c>
      <c r="I25" s="14">
        <f>IF(AND(I$5-$A25&gt;=0,I$5-$A25&lt;=19),INDEX(HU_ord,I$5-$A25+1)*$B25,0)</f>
        <v>0.0</v>
      </c>
      <c r="J25" s="14">
        <f>IF(AND(J$5-$A25&gt;=0,J$5-$A25&lt;=19),INDEX(HU_ord,J$5-$A25+1)*$B25,0)</f>
        <v>0.0</v>
      </c>
      <c r="K25" s="14">
        <f>IF(AND(K$5-$A25&gt;=0,K$5-$A25&lt;=19),INDEX(HU_ord,K$5-$A25+1)*$B25,0)</f>
        <v>0.0</v>
      </c>
      <c r="L25" s="14">
        <f>IF(AND(L$5-$A25&gt;=0,L$5-$A25&lt;=19),INDEX(HU_ord,L$5-$A25+1)*$B25,0)</f>
        <v>0.0</v>
      </c>
      <c r="M25" s="14">
        <f>IF(AND(M$5-$A25&gt;=0,M$5-$A25&lt;=19),INDEX(HU_ord,M$5-$A25+1)*$B25,0)</f>
        <v>0.0</v>
      </c>
      <c r="N25" s="14">
        <f>IF(AND(N$5-$A25&gt;=0,N$5-$A25&lt;=19),INDEX(HU_ord,N$5-$A25+1)*$B25,0)</f>
        <v>0.0</v>
      </c>
      <c r="O25" s="14">
        <f>IF(AND(O$5-$A25&gt;=0,O$5-$A25&lt;=19),INDEX(HU_ord,O$5-$A25+1)*$B25,0)</f>
        <v>0.0</v>
      </c>
      <c r="P25" s="14">
        <f>IF(AND(P$5-$A25&gt;=0,P$5-$A25&lt;=19),INDEX(HU_ord,P$5-$A25+1)*$B25,0)</f>
        <v>0.0</v>
      </c>
      <c r="Q25" s="14">
        <f>IF(AND(Q$5-$A25&gt;=0,Q$5-$A25&lt;=19),INDEX(HU_ord,Q$5-$A25+1)*$B25,0)</f>
        <v>0.0</v>
      </c>
      <c r="R25" s="14">
        <f>IF(AND(R$5-$A25&gt;=0,R$5-$A25&lt;=19),INDEX(HU_ord,R$5-$A25+1)*$B25,0)</f>
        <v>0.0</v>
      </c>
      <c r="S25" s="14">
        <f>IF(AND(S$5-$A25&gt;=0,S$5-$A25&lt;=19),INDEX(HU_ord,S$5-$A25+1)*$B25,0)</f>
        <v>0.0</v>
      </c>
      <c r="T25" s="14">
        <f>IF(AND(T$5-$A25&gt;=0,T$5-$A25&lt;=19),INDEX(HU_ord,T$5-$A25+1)*$B25,0)</f>
        <v>0.0</v>
      </c>
      <c r="U25" s="14">
        <f>IF(AND(U$5-$A25&gt;=0,U$5-$A25&lt;=19),INDEX(HU_ord,U$5-$A25+1)*$B25,0)</f>
        <v>0.0</v>
      </c>
      <c r="V25" s="14">
        <f>IF(AND(V$5-$A25&gt;=0,V$5-$A25&lt;=19),INDEX(HU_ord,V$5-$A25+1)*$B25,0)</f>
        <v>0.0</v>
      </c>
      <c r="W25" s="14">
        <f>IF(AND(W$5-$A25&gt;=0,W$5-$A25&lt;=19),INDEX(HU_ord,W$5-$A25+1)*$B25,0)</f>
        <v>0.19197123554539072</v>
      </c>
      <c r="X25" s="14">
        <f>IF(AND(X$5-$A25&gt;=0,X$5-$A25&lt;=19),INDEX(HU_ord,X$5-$A25+1)*$B25,0)</f>
        <v>0.38394247109078145</v>
      </c>
      <c r="Y25" s="14">
        <f>IF(AND(Y$5-$A25&gt;=0,Y$5-$A25&lt;=19),INDEX(HU_ord,Y$5-$A25+1)*$B25,0)</f>
        <v>0.5759137066361721</v>
      </c>
      <c r="Z25" s="14">
        <f>IF(AND(Z$5-$A25&gt;=0,Z$5-$A25&lt;=19),INDEX(HU_ord,Z$5-$A25+1)*$B25,0)</f>
        <v>0.7678849421815629</v>
      </c>
      <c r="AA25" s="14">
        <f>IF(AND(AA$5-$A25&gt;=0,AA$5-$A25&lt;=19),INDEX(HU_ord,AA$5-$A25+1)*$B25,0)</f>
        <v>0.9598561777269536</v>
      </c>
      <c r="AB25" s="14">
        <f>IF(AND(AB$5-$A25&gt;=0,AB$5-$A25&lt;=19),INDEX(HU_ord,AB$5-$A25+1)*$B25,0)</f>
        <v>1.1518274132723443</v>
      </c>
      <c r="AC25" s="14">
        <f>IF(AND(AC$5-$A25&gt;=0,AC$5-$A25&lt;=19),INDEX(HU_ord,AC$5-$A25+1)*$B25,0)</f>
        <v>1.310405309871032</v>
      </c>
      <c r="AD25" s="14">
        <f>IF(AND(AD$5-$A25&gt;=0,AD$5-$A25&lt;=19),INDEX(HU_ord,AD$5-$A25+1)*$B25,0)</f>
        <v>1.1954524742151096</v>
      </c>
      <c r="AE25" s="14">
        <f>IF(AND(AE$5-$A25&gt;=0,AE$5-$A25&lt;=19),INDEX(HU_ord,AE$5-$A25+1)*$B25,0)</f>
        <v>1.080499638559187</v>
      </c>
      <c r="AF25" s="14">
        <f>IF(AND(AF$5-$A25&gt;=0,AF$5-$A25&lt;=19),INDEX(HU_ord,AF$5-$A25+1)*$B25,0)</f>
        <v>0.9655468029032642</v>
      </c>
      <c r="AG25" s="14">
        <f>IF(AND(AG$5-$A25&gt;=0,AG$5-$A25&lt;=19),INDEX(HU_ord,AG$5-$A25+1)*$B25,0)</f>
        <v>0.8505939672473415</v>
      </c>
      <c r="AH25" s="14">
        <f>IF(AND(AH$5-$A25&gt;=0,AH$5-$A25&lt;=19),INDEX(HU_ord,AH$5-$A25+1)*$B25,0)</f>
        <v>0.735641131591419</v>
      </c>
      <c r="AI25" s="14">
        <f>IF(AND(AI$5-$A25&gt;=0,AI$5-$A25&lt;=19),INDEX(HU_ord,AI$5-$A25+1)*$B25,0)</f>
        <v>0.6206882959354965</v>
      </c>
      <c r="AJ25" s="14">
        <f>IF(AND(AJ$5-$A25&gt;=0,AJ$5-$A25&lt;=19),INDEX(HU_ord,AJ$5-$A25+1)*$B25,0)</f>
        <v>0.5057354602795738</v>
      </c>
      <c r="AK25" s="14">
        <f>IF(AND(AK$5-$A25&gt;=0,AK$5-$A25&lt;=19),INDEX(HU_ord,AK$5-$A25+1)*$B25,0)</f>
        <v>0.3907826246236512</v>
      </c>
      <c r="AL25" s="14">
        <f>IF(AND(AL$5-$A25&gt;=0,AL$5-$A25&lt;=19),INDEX(HU_ord,AL$5-$A25+1)*$B25,0)</f>
        <v>0.27582978896772853</v>
      </c>
      <c r="AM25" s="14">
        <f>IF(AND(AM$5-$A25&gt;=0,AM$5-$A25&lt;=19),INDEX(HU_ord,AM$5-$A25+1)*$B25,0)</f>
        <v>0.16087695331180593</v>
      </c>
      <c r="AN25" s="14">
        <f>IF(AND(AN$5-$A25&gt;=0,AN$5-$A25&lt;=19),INDEX(HU_ord,AN$5-$A25+1)*$B25,0)</f>
        <v>0.045924117655883334</v>
      </c>
      <c r="AO25" s="14">
        <f>IF(AND(AO$5-$A25&gt;=0,AO$5-$A25&lt;=19),INDEX(HU_ord,AO$5-$A25+1)*$B25,0)</f>
        <v>0.0</v>
      </c>
      <c r="AP25" s="14">
        <f>IF(AND(AP$5-$A25&gt;=0,AP$5-$A25&lt;=19),INDEX(HU_ord,AP$5-$A25+1)*$B25,0)</f>
        <v>0.0</v>
      </c>
      <c r="AQ25" s="14">
        <f>IF(AND(AQ$5-$A25&gt;=0,AQ$5-$A25&lt;=19),INDEX(HU_ord,AQ$5-$A25+1)*$B25,0)</f>
        <v>0.0</v>
      </c>
      <c r="AR25" s="14">
        <f>IF(AND(AR$5-$A25&gt;=0,AR$5-$A25&lt;=19),INDEX(HU_ord,AR$5-$A25+1)*$B25,0)</f>
        <v>0.0</v>
      </c>
      <c r="AS25" s="14">
        <f>IF(AND(AS$5-$A25&gt;=0,AS$5-$A25&lt;=19),INDEX(HU_ord,AS$5-$A25+1)*$B25,0)</f>
        <v>0.0</v>
      </c>
      <c r="AT25" s="14">
        <f>IF(AND(AT$5-$A25&gt;=0,AT$5-$A25&lt;=19),INDEX(HU_ord,AT$5-$A25+1)*$B25,0)</f>
        <v>0.0</v>
      </c>
      <c r="AU25" s="14">
        <f>IF(AND(AU$5-$A25&gt;=0,AU$5-$A25&lt;=19),INDEX(HU_ord,AU$5-$A25+1)*$B25,0)</f>
        <v>0.0</v>
      </c>
      <c r="AV25" s="14">
        <f>IF(AND(AV$5-$A25&gt;=0,AV$5-$A25&lt;=19),INDEX(HU_ord,AV$5-$A25+1)*$B25,0)</f>
        <v>0.0</v>
      </c>
      <c r="AW25" s="14">
        <f>IF(AND(AW$5-$A25&gt;=0,AW$5-$A25&lt;=19),INDEX(HU_ord,AW$5-$A25+1)*$B25,0)</f>
        <v>0.0</v>
      </c>
      <c r="AX25" s="14">
        <f>IF(AND(AX$5-$A25&gt;=0,AX$5-$A25&lt;=19),INDEX(HU_ord,AX$5-$A25+1)*$B25,0)</f>
        <v>0.0</v>
      </c>
      <c r="AY25" s="14">
        <f>IF(AND(AY$5-$A25&gt;=0,AY$5-$A25&lt;=19),INDEX(HU_ord,AY$5-$A25+1)*$B25,0)</f>
        <v>0.0</v>
      </c>
      <c r="AZ25" s="14">
        <f>IF(AND(AZ$5-$A25&gt;=0,AZ$5-$A25&lt;=19),INDEX(HU_ord,AZ$5-$A25+1)*$B25,0)</f>
        <v>0.0</v>
      </c>
      <c r="BA25" s="14">
        <f>IF(AND(BA$5-$A25&gt;=0,BA$5-$A25&lt;=19),INDEX(HU_ord,BA$5-$A25+1)*$B25,0)</f>
        <v>0.0</v>
      </c>
      <c r="BB25" s="14">
        <f>IF(AND(BB$5-$A25&gt;=0,BB$5-$A25&lt;=19),INDEX(HU_ord,BB$5-$A25+1)*$B25,0)</f>
        <v>0.0</v>
      </c>
      <c r="BC25" s="14">
        <f>IF(AND(BC$5-$A25&gt;=0,BC$5-$A25&lt;=19),INDEX(HU_ord,BC$5-$A25+1)*$B25,0)</f>
        <v>0.0</v>
      </c>
      <c r="BD25" s="14">
        <f>IF(AND(BD$5-$A25&gt;=0,BD$5-$A25&lt;=19),INDEX(HU_ord,BD$5-$A25+1)*$B25,0)</f>
        <v>0.0</v>
      </c>
      <c r="BE25" s="14">
        <f>IF(AND(BE$5-$A25&gt;=0,BE$5-$A25&lt;=19),INDEX(HU_ord,BE$5-$A25+1)*$B25,0)</f>
        <v>0.0</v>
      </c>
      <c r="BF25" s="14">
        <f>IF(AND(BF$5-$A25&gt;=0,BF$5-$A25&lt;=19),INDEX(HU_ord,BF$5-$A25+1)*$B25,0)</f>
        <v>0.0</v>
      </c>
      <c r="BG25" s="14">
        <f>IF(AND(BG$5-$A25&gt;=0,BG$5-$A25&lt;=19),INDEX(HU_ord,BG$5-$A25+1)*$B25,0)</f>
        <v>0.0</v>
      </c>
      <c r="BH25" s="14">
        <f>IF(AND(BH$5-$A25&gt;=0,BH$5-$A25&lt;=19),INDEX(HU_ord,BH$5-$A25+1)*$B25,0)</f>
        <v>0.0</v>
      </c>
      <c r="BI25" s="14">
        <f>IF(AND(BI$5-$A25&gt;=0,BI$5-$A25&lt;=19),INDEX(HU_ord,BI$5-$A25+1)*$B25,0)</f>
        <v>0.0</v>
      </c>
      <c r="BJ25" s="14">
        <f>IF(AND(BJ$5-$A25&gt;=0,BJ$5-$A25&lt;=19),INDEX(HU_ord,BJ$5-$A25+1)*$B25,0)</f>
        <v>0.0</v>
      </c>
      <c r="BK25" s="14">
        <f>IF(AND(BK$5-$A25&gt;=0,BK$5-$A25&lt;=19),INDEX(HU_ord,BK$5-$A25+1)*$B25,0)</f>
        <v>0.0</v>
      </c>
      <c r="BL25" s="14">
        <f>IF(AND(BL$5-$A25&gt;=0,BL$5-$A25&lt;=19),INDEX(HU_ord,BL$5-$A25+1)*$B25,0)</f>
        <v>0.0</v>
      </c>
      <c r="BM25" s="14">
        <f>IF(AND(BM$5-$A25&gt;=0,BM$5-$A25&lt;=19),INDEX(HU_ord,BM$5-$A25+1)*$B25,0)</f>
        <v>0.0</v>
      </c>
      <c r="BN25" s="14">
        <f>IF(AND(BN$5-$A25&gt;=0,BN$5-$A25&lt;=19),INDEX(HU_ord,BN$5-$A25+1)*$B25,0)</f>
        <v>0.0</v>
      </c>
      <c r="BO25" s="14">
        <f>IF(AND(BO$5-$A25&gt;=0,BO$5-$A25&lt;=19),INDEX(HU_ord,BO$5-$A25+1)*$B25,0)</f>
        <v>0.0</v>
      </c>
      <c r="BP25" s="14">
        <f>IF(AND(BP$5-$A25&gt;=0,BP$5-$A25&lt;=19),INDEX(HU_ord,BP$5-$A25+1)*$B25,0)</f>
        <v>0.0</v>
      </c>
      <c r="BQ25" s="14">
        <f>IF(AND(BQ$5-$A25&gt;=0,BQ$5-$A25&lt;=19),INDEX(HU_ord,BQ$5-$A25+1)*$B25,0)</f>
        <v>0.0</v>
      </c>
      <c r="BR25" s="14">
        <f>IF(AND(BR$5-$A25&gt;=0,BR$5-$A25&lt;=19),INDEX(HU_ord,BR$5-$A25+1)*$B25,0)</f>
        <v>0.0</v>
      </c>
      <c r="BS25" s="14">
        <f>IF(AND(BS$5-$A25&gt;=0,BS$5-$A25&lt;=19),INDEX(HU_ord,BS$5-$A25+1)*$B25,0)</f>
        <v>0.0</v>
      </c>
      <c r="BT25" s="14">
        <f>IF(AND(BT$5-$A25&gt;=0,BT$5-$A25&lt;=19),INDEX(HU_ord,BT$5-$A25+1)*$B25,0)</f>
        <v>0.0</v>
      </c>
      <c r="BU25" s="14">
        <f>IF(AND(BU$5-$A25&gt;=0,BU$5-$A25&lt;=19),INDEX(HU_ord,BU$5-$A25+1)*$B25,0)</f>
        <v>0.0</v>
      </c>
      <c r="BV25" s="14">
        <f>IF(AND(BV$5-$A25&gt;=0,BV$5-$A25&lt;=19),INDEX(HU_ord,BV$5-$A25+1)*$B25,0)</f>
        <v>0.0</v>
      </c>
      <c r="BW25" s="14">
        <f>IF(AND(BW$5-$A25&gt;=0,BW$5-$A25&lt;=19),INDEX(HU_ord,BW$5-$A25+1)*$B25,0)</f>
        <v>0.0</v>
      </c>
      <c r="BX25" s="14">
        <f>IF(AND(BX$5-$A25&gt;=0,BX$5-$A25&lt;=19),INDEX(HU_ord,BX$5-$A25+1)*$B25,0)</f>
        <v>0.0</v>
      </c>
      <c r="BY25" s="14">
        <f>IF(AND(BY$5-$A25&gt;=0,BY$5-$A25&lt;=19),INDEX(HU_ord,BY$5-$A25+1)*$B25,0)</f>
        <v>0.0</v>
      </c>
      <c r="BZ25" s="14">
        <f>IF(AND(BZ$5-$A25&gt;=0,BZ$5-$A25&lt;=19),INDEX(HU_ord,BZ$5-$A25+1)*$B25,0)</f>
        <v>0.0</v>
      </c>
      <c r="CA25" s="14">
        <f>IF(AND(CA$5-$A25&gt;=0,CA$5-$A25&lt;=19),INDEX(HU_ord,CA$5-$A25+1)*$B25,0)</f>
        <v>0.0</v>
      </c>
      <c r="CB25" s="14">
        <f>IF(AND(CB$5-$A25&gt;=0,CB$5-$A25&lt;=19),INDEX(HU_ord,CB$5-$A25+1)*$B25,0)</f>
        <v>0.0</v>
      </c>
      <c r="CC25" s="14">
        <f>IF(AND(CC$5-$A25&gt;=0,CC$5-$A25&lt;=19),INDEX(HU_ord,CC$5-$A25+1)*$B25,0)</f>
        <v>0.0</v>
      </c>
      <c r="CD25" s="14">
        <f>IF(AND(CD$5-$A25&gt;=0,CD$5-$A25&lt;=19),INDEX(HU_ord,CD$5-$A25+1)*$B25,0)</f>
        <v>0.0</v>
      </c>
      <c r="CE25" s="14">
        <f>IF(AND(CE$5-$A25&gt;=0,CE$5-$A25&lt;=19),INDEX(HU_ord,CE$5-$A25+1)*$B25,0)</f>
        <v>0.0</v>
      </c>
      <c r="CF25" s="14">
        <f>IF(AND(CF$5-$A25&gt;=0,CF$5-$A25&lt;=19),INDEX(HU_ord,CF$5-$A25+1)*$B25,0)</f>
        <v>0.0</v>
      </c>
      <c r="CG25" s="14">
        <f>IF(AND(CG$5-$A25&gt;=0,CG$5-$A25&lt;=19),INDEX(HU_ord,CG$5-$A25+1)*$B25,0)</f>
        <v>0.0</v>
      </c>
      <c r="CH25" s="14">
        <f>IF(AND(CH$5-$A25&gt;=0,CH$5-$A25&lt;=19),INDEX(HU_ord,CH$5-$A25+1)*$B25,0)</f>
        <v>0.0</v>
      </c>
      <c r="CI25" s="14">
        <f>IF(AND(CI$5-$A25&gt;=0,CI$5-$A25&lt;=19),INDEX(HU_ord,CI$5-$A25+1)*$B25,0)</f>
        <v>0.0</v>
      </c>
      <c r="CJ25" s="14">
        <f>IF(AND(CJ$5-$A25&gt;=0,CJ$5-$A25&lt;=19),INDEX(HU_ord,CJ$5-$A25+1)*$B25,0)</f>
        <v>0.0</v>
      </c>
      <c r="CK25" s="14">
        <f>IF(AND(CK$5-$A25&gt;=0,CK$5-$A25&lt;=19),INDEX(HU_ord,CK$5-$A25+1)*$B25,0)</f>
        <v>0.0</v>
      </c>
      <c r="CL25" s="14">
        <f>IF(AND(CL$5-$A25&gt;=0,CL$5-$A25&lt;=19),INDEX(HU_ord,CL$5-$A25+1)*$B25,0)</f>
        <v>0.0</v>
      </c>
      <c r="CM25" s="14">
        <f>IF(AND(CM$5-$A25&gt;=0,CM$5-$A25&lt;=19),INDEX(HU_ord,CM$5-$A25+1)*$B25,0)</f>
        <v>0.0</v>
      </c>
      <c r="CN25" s="14">
        <f>IF(AND(CN$5-$A25&gt;=0,CN$5-$A25&lt;=19),INDEX(HU_ord,CN$5-$A25+1)*$B25,0)</f>
        <v>0.0</v>
      </c>
      <c r="CO25" s="14">
        <f>IF(AND(CO$5-$A25&gt;=0,CO$5-$A25&lt;=19),INDEX(HU_ord,CO$5-$A25+1)*$B25,0)</f>
        <v>0.0</v>
      </c>
      <c r="CP25" s="14">
        <f>IF(AND(CP$5-$A25&gt;=0,CP$5-$A25&lt;=19),INDEX(HU_ord,CP$5-$A25+1)*$B25,0)</f>
        <v>0.0</v>
      </c>
      <c r="CQ25" s="14">
        <f>IF(AND(CQ$5-$A25&gt;=0,CQ$5-$A25&lt;=19),INDEX(HU_ord,CQ$5-$A25+1)*$B25,0)</f>
        <v>0.0</v>
      </c>
      <c r="CR25" s="14">
        <f>IF(AND(CR$5-$A25&gt;=0,CR$5-$A25&lt;=19),INDEX(HU_ord,CR$5-$A25+1)*$B25,0)</f>
        <v>0.0</v>
      </c>
      <c r="CS25" s="14">
        <f>IF(AND(CS$5-$A25&gt;=0,CS$5-$A25&lt;=19),INDEX(HU_ord,CS$5-$A25+1)*$B25,0)</f>
        <v>0.0</v>
      </c>
      <c r="CT25" s="14">
        <f>IF(AND(CT$5-$A25&gt;=0,CT$5-$A25&lt;=19),INDEX(HU_ord,CT$5-$A25+1)*$B25,0)</f>
        <v>0.0</v>
      </c>
      <c r="CU25" s="14">
        <f>IF(AND(CU$5-$A25&gt;=0,CU$5-$A25&lt;=19),INDEX(HU_ord,CU$5-$A25+1)*$B25,0)</f>
        <v>0.0</v>
      </c>
      <c r="CV25" s="14">
        <f>IF(AND(CV$5-$A25&gt;=0,CV$5-$A25&lt;=19),INDEX(HU_ord,CV$5-$A25+1)*$B25,0)</f>
        <v>0.0</v>
      </c>
      <c r="CW25" s="14">
        <f>IF(AND(CW$5-$A25&gt;=0,CW$5-$A25&lt;=19),INDEX(HU_ord,CW$5-$A25+1)*$B25,0)</f>
        <v>0.0</v>
      </c>
      <c r="CX25" s="14">
        <f>IF(AND(CX$5-$A25&gt;=0,CX$5-$A25&lt;=19),INDEX(HU_ord,CX$5-$A25+1)*$B25,0)</f>
        <v>0.0</v>
      </c>
      <c r="CY25" s="14">
        <f>IF(AND(CY$5-$A25&gt;=0,CY$5-$A25&lt;=19),INDEX(HU_ord,CY$5-$A25+1)*$B25,0)</f>
        <v>0.0</v>
      </c>
      <c r="CZ25" s="14">
        <f>IF(AND(CZ$5-$A25&gt;=0,CZ$5-$A25&lt;=19),INDEX(HU_ord,CZ$5-$A25+1)*$B25,0)</f>
        <v>0.0</v>
      </c>
      <c r="DA25" s="14">
        <f>IF(AND(DA$5-$A25&gt;=0,DA$5-$A25&lt;=19),INDEX(HU_ord,DA$5-$A25+1)*$B25,0)</f>
        <v>0.0</v>
      </c>
      <c r="DB25" s="14">
        <f>IF(AND(DB$5-$A25&gt;=0,DB$5-$A25&lt;=19),INDEX(HU_ord,DB$5-$A25+1)*$B25,0)</f>
        <v>0.0</v>
      </c>
      <c r="DC25" s="14">
        <f>IF(AND(DC$5-$A25&gt;=0,DC$5-$A25&lt;=19),INDEX(HU_ord,DC$5-$A25+1)*$B25,0)</f>
        <v>0.0</v>
      </c>
      <c r="DD25" s="14">
        <f>IF(AND(DD$5-$A25&gt;=0,DD$5-$A25&lt;=19),INDEX(HU_ord,DD$5-$A25+1)*$B25,0)</f>
        <v>0.0</v>
      </c>
      <c r="DE25" s="14">
        <f>IF(AND(DE$5-$A25&gt;=0,DE$5-$A25&lt;=19),INDEX(HU_ord,DE$5-$A25+1)*$B25,0)</f>
        <v>0.0</v>
      </c>
      <c r="DF25" s="14">
        <f>IF(AND(DF$5-$A25&gt;=0,DF$5-$A25&lt;=19),INDEX(HU_ord,DF$5-$A25+1)*$B25,0)</f>
        <v>0.0</v>
      </c>
      <c r="DG25" s="14">
        <f>IF(AND(DG$5-$A25&gt;=0,DG$5-$A25&lt;=19),INDEX(HU_ord,DG$5-$A25+1)*$B25,0)</f>
        <v>0.0</v>
      </c>
      <c r="DH25" s="14">
        <f>IF(AND(DH$5-$A25&gt;=0,DH$5-$A25&lt;=19),INDEX(HU_ord,DH$5-$A25+1)*$B25,0)</f>
        <v>0.0</v>
      </c>
      <c r="DI25" s="14">
        <f>IF(AND(DI$5-$A25&gt;=0,DI$5-$A25&lt;=19),INDEX(HU_ord,DI$5-$A25+1)*$B25,0)</f>
        <v>0.0</v>
      </c>
    </row>
    <row r="26" spans="1:113">
      <c r="A26">
        <v>20</v>
      </c>
      <c r="B26" s="10">
        <f>Serie_horaria!N22</f>
        <v>0.029751240545769164</v>
      </c>
      <c r="C26" s="14">
        <f>IF(AND(C$5-$A26&gt;=0,C$5-$A26&lt;=19),INDEX(HU_ord,C$5-$A26+1)*$B26,0)</f>
        <v>0.0</v>
      </c>
      <c r="D26" s="14">
        <f>IF(AND(D$5-$A26&gt;=0,D$5-$A26&lt;=19),INDEX(HU_ord,D$5-$A26+1)*$B26,0)</f>
        <v>0.0</v>
      </c>
      <c r="E26" s="14">
        <f>IF(AND(E$5-$A26&gt;=0,E$5-$A26&lt;=19),INDEX(HU_ord,E$5-$A26+1)*$B26,0)</f>
        <v>0.0</v>
      </c>
      <c r="F26" s="14">
        <f>IF(AND(F$5-$A26&gt;=0,F$5-$A26&lt;=19),INDEX(HU_ord,F$5-$A26+1)*$B26,0)</f>
        <v>0.0</v>
      </c>
      <c r="G26" s="14">
        <f>IF(AND(G$5-$A26&gt;=0,G$5-$A26&lt;=19),INDEX(HU_ord,G$5-$A26+1)*$B26,0)</f>
        <v>0.0</v>
      </c>
      <c r="H26" s="14">
        <f>IF(AND(H$5-$A26&gt;=0,H$5-$A26&lt;=19),INDEX(HU_ord,H$5-$A26+1)*$B26,0)</f>
        <v>0.0</v>
      </c>
      <c r="I26" s="14">
        <f>IF(AND(I$5-$A26&gt;=0,I$5-$A26&lt;=19),INDEX(HU_ord,I$5-$A26+1)*$B26,0)</f>
        <v>0.0</v>
      </c>
      <c r="J26" s="14">
        <f>IF(AND(J$5-$A26&gt;=0,J$5-$A26&lt;=19),INDEX(HU_ord,J$5-$A26+1)*$B26,0)</f>
        <v>0.0</v>
      </c>
      <c r="K26" s="14">
        <f>IF(AND(K$5-$A26&gt;=0,K$5-$A26&lt;=19),INDEX(HU_ord,K$5-$A26+1)*$B26,0)</f>
        <v>0.0</v>
      </c>
      <c r="L26" s="14">
        <f>IF(AND(L$5-$A26&gt;=0,L$5-$A26&lt;=19),INDEX(HU_ord,L$5-$A26+1)*$B26,0)</f>
        <v>0.0</v>
      </c>
      <c r="M26" s="14">
        <f>IF(AND(M$5-$A26&gt;=0,M$5-$A26&lt;=19),INDEX(HU_ord,M$5-$A26+1)*$B26,0)</f>
        <v>0.0</v>
      </c>
      <c r="N26" s="14">
        <f>IF(AND(N$5-$A26&gt;=0,N$5-$A26&lt;=19),INDEX(HU_ord,N$5-$A26+1)*$B26,0)</f>
        <v>0.0</v>
      </c>
      <c r="O26" s="14">
        <f>IF(AND(O$5-$A26&gt;=0,O$5-$A26&lt;=19),INDEX(HU_ord,O$5-$A26+1)*$B26,0)</f>
        <v>0.0</v>
      </c>
      <c r="P26" s="14">
        <f>IF(AND(P$5-$A26&gt;=0,P$5-$A26&lt;=19),INDEX(HU_ord,P$5-$A26+1)*$B26,0)</f>
        <v>0.0</v>
      </c>
      <c r="Q26" s="14">
        <f>IF(AND(Q$5-$A26&gt;=0,Q$5-$A26&lt;=19),INDEX(HU_ord,Q$5-$A26+1)*$B26,0)</f>
        <v>0.0</v>
      </c>
      <c r="R26" s="14">
        <f>IF(AND(R$5-$A26&gt;=0,R$5-$A26&lt;=19),INDEX(HU_ord,R$5-$A26+1)*$B26,0)</f>
        <v>0.0</v>
      </c>
      <c r="S26" s="14">
        <f>IF(AND(S$5-$A26&gt;=0,S$5-$A26&lt;=19),INDEX(HU_ord,S$5-$A26+1)*$B26,0)</f>
        <v>0.0</v>
      </c>
      <c r="T26" s="14">
        <f>IF(AND(T$5-$A26&gt;=0,T$5-$A26&lt;=19),INDEX(HU_ord,T$5-$A26+1)*$B26,0)</f>
        <v>0.0</v>
      </c>
      <c r="U26" s="14">
        <f>IF(AND(U$5-$A26&gt;=0,U$5-$A26&lt;=19),INDEX(HU_ord,U$5-$A26+1)*$B26,0)</f>
        <v>0.0</v>
      </c>
      <c r="V26" s="14">
        <f>IF(AND(V$5-$A26&gt;=0,V$5-$A26&lt;=19),INDEX(HU_ord,V$5-$A26+1)*$B26,0)</f>
        <v>0.0</v>
      </c>
      <c r="W26" s="14">
        <f>IF(AND(W$5-$A26&gt;=0,W$5-$A26&lt;=19),INDEX(HU_ord,W$5-$A26+1)*$B26,0)</f>
        <v>0.0</v>
      </c>
      <c r="X26" s="14">
        <f>IF(AND(X$5-$A26&gt;=0,X$5-$A26&lt;=19),INDEX(HU_ord,X$5-$A26+1)*$B26,0)</f>
        <v>0.09669362195077334</v>
      </c>
      <c r="Y26" s="14">
        <f>IF(AND(Y$5-$A26&gt;=0,Y$5-$A26&lt;=19),INDEX(HU_ord,Y$5-$A26+1)*$B26,0)</f>
        <v>0.19338724390154668</v>
      </c>
      <c r="Z26" s="14">
        <f>IF(AND(Z$5-$A26&gt;=0,Z$5-$A26&lt;=19),INDEX(HU_ord,Z$5-$A26+1)*$B26,0)</f>
        <v>0.29008086585232</v>
      </c>
      <c r="AA26" s="14">
        <f>IF(AND(AA$5-$A26&gt;=0,AA$5-$A26&lt;=19),INDEX(HU_ord,AA$5-$A26+1)*$B26,0)</f>
        <v>0.38677448780309337</v>
      </c>
      <c r="AB26" s="14">
        <f>IF(AND(AB$5-$A26&gt;=0,AB$5-$A26&lt;=19),INDEX(HU_ord,AB$5-$A26+1)*$B26,0)</f>
        <v>0.4834681097538667</v>
      </c>
      <c r="AC26" s="14">
        <f>IF(AND(AC$5-$A26&gt;=0,AC$5-$A26&lt;=19),INDEX(HU_ord,AC$5-$A26+1)*$B26,0)</f>
        <v>0.58016173170464</v>
      </c>
      <c r="AD26" s="14">
        <f>IF(AND(AD$5-$A26&gt;=0,AD$5-$A26&lt;=19),INDEX(HU_ord,AD$5-$A26+1)*$B26,0)</f>
        <v>0.6600355270672624</v>
      </c>
      <c r="AE26" s="14">
        <f>IF(AND(AE$5-$A26&gt;=0,AE$5-$A26&lt;=19),INDEX(HU_ord,AE$5-$A26+1)*$B26,0)</f>
        <v>0.6021351546416498</v>
      </c>
      <c r="AF26" s="14">
        <f>IF(AND(AF$5-$A26&gt;=0,AF$5-$A26&lt;=19),INDEX(HU_ord,AF$5-$A26+1)*$B26,0)</f>
        <v>0.5442347822160369</v>
      </c>
      <c r="AG26" s="14">
        <f>IF(AND(AG$5-$A26&gt;=0,AG$5-$A26&lt;=19),INDEX(HU_ord,AG$5-$A26+1)*$B26,0)</f>
        <v>0.48633440979042414</v>
      </c>
      <c r="AH26" s="14">
        <f>IF(AND(AH$5-$A26&gt;=0,AH$5-$A26&lt;=19),INDEX(HU_ord,AH$5-$A26+1)*$B26,0)</f>
        <v>0.42843403736481134</v>
      </c>
      <c r="AI26" s="14">
        <f>IF(AND(AI$5-$A26&gt;=0,AI$5-$A26&lt;=19),INDEX(HU_ord,AI$5-$A26+1)*$B26,0)</f>
        <v>0.37053366493919854</v>
      </c>
      <c r="AJ26" s="14">
        <f>IF(AND(AJ$5-$A26&gt;=0,AJ$5-$A26&lt;=19),INDEX(HU_ord,AJ$5-$A26+1)*$B26,0)</f>
        <v>0.3126332925135858</v>
      </c>
      <c r="AK26" s="14">
        <f>IF(AND(AK$5-$A26&gt;=0,AK$5-$A26&lt;=19),INDEX(HU_ord,AK$5-$A26+1)*$B26,0)</f>
        <v>0.25473292008797305</v>
      </c>
      <c r="AL26" s="14">
        <f>IF(AND(AL$5-$A26&gt;=0,AL$5-$A26&lt;=19),INDEX(HU_ord,AL$5-$A26+1)*$B26,0)</f>
        <v>0.19683254766236022</v>
      </c>
      <c r="AM26" s="14">
        <f>IF(AND(AM$5-$A26&gt;=0,AM$5-$A26&lt;=19),INDEX(HU_ord,AM$5-$A26+1)*$B26,0)</f>
        <v>0.1389321752367474</v>
      </c>
      <c r="AN26" s="14">
        <f>IF(AND(AN$5-$A26&gt;=0,AN$5-$A26&lt;=19),INDEX(HU_ord,AN$5-$A26+1)*$B26,0)</f>
        <v>0.0810318028111346</v>
      </c>
      <c r="AO26" s="14">
        <f>IF(AND(AO$5-$A26&gt;=0,AO$5-$A26&lt;=19),INDEX(HU_ord,AO$5-$A26+1)*$B26,0)</f>
        <v>0.023131430385521824</v>
      </c>
      <c r="AP26" s="14">
        <f>IF(AND(AP$5-$A26&gt;=0,AP$5-$A26&lt;=19),INDEX(HU_ord,AP$5-$A26+1)*$B26,0)</f>
        <v>0.0</v>
      </c>
      <c r="AQ26" s="14">
        <f>IF(AND(AQ$5-$A26&gt;=0,AQ$5-$A26&lt;=19),INDEX(HU_ord,AQ$5-$A26+1)*$B26,0)</f>
        <v>0.0</v>
      </c>
      <c r="AR26" s="14">
        <f>IF(AND(AR$5-$A26&gt;=0,AR$5-$A26&lt;=19),INDEX(HU_ord,AR$5-$A26+1)*$B26,0)</f>
        <v>0.0</v>
      </c>
      <c r="AS26" s="14">
        <f>IF(AND(AS$5-$A26&gt;=0,AS$5-$A26&lt;=19),INDEX(HU_ord,AS$5-$A26+1)*$B26,0)</f>
        <v>0.0</v>
      </c>
      <c r="AT26" s="14">
        <f>IF(AND(AT$5-$A26&gt;=0,AT$5-$A26&lt;=19),INDEX(HU_ord,AT$5-$A26+1)*$B26,0)</f>
        <v>0.0</v>
      </c>
      <c r="AU26" s="14">
        <f>IF(AND(AU$5-$A26&gt;=0,AU$5-$A26&lt;=19),INDEX(HU_ord,AU$5-$A26+1)*$B26,0)</f>
        <v>0.0</v>
      </c>
      <c r="AV26" s="14">
        <f>IF(AND(AV$5-$A26&gt;=0,AV$5-$A26&lt;=19),INDEX(HU_ord,AV$5-$A26+1)*$B26,0)</f>
        <v>0.0</v>
      </c>
      <c r="AW26" s="14">
        <f>IF(AND(AW$5-$A26&gt;=0,AW$5-$A26&lt;=19),INDEX(HU_ord,AW$5-$A26+1)*$B26,0)</f>
        <v>0.0</v>
      </c>
      <c r="AX26" s="14">
        <f>IF(AND(AX$5-$A26&gt;=0,AX$5-$A26&lt;=19),INDEX(HU_ord,AX$5-$A26+1)*$B26,0)</f>
        <v>0.0</v>
      </c>
      <c r="AY26" s="14">
        <f>IF(AND(AY$5-$A26&gt;=0,AY$5-$A26&lt;=19),INDEX(HU_ord,AY$5-$A26+1)*$B26,0)</f>
        <v>0.0</v>
      </c>
      <c r="AZ26" s="14">
        <f>IF(AND(AZ$5-$A26&gt;=0,AZ$5-$A26&lt;=19),INDEX(HU_ord,AZ$5-$A26+1)*$B26,0)</f>
        <v>0.0</v>
      </c>
      <c r="BA26" s="14">
        <f>IF(AND(BA$5-$A26&gt;=0,BA$5-$A26&lt;=19),INDEX(HU_ord,BA$5-$A26+1)*$B26,0)</f>
        <v>0.0</v>
      </c>
      <c r="BB26" s="14">
        <f>IF(AND(BB$5-$A26&gt;=0,BB$5-$A26&lt;=19),INDEX(HU_ord,BB$5-$A26+1)*$B26,0)</f>
        <v>0.0</v>
      </c>
      <c r="BC26" s="14">
        <f>IF(AND(BC$5-$A26&gt;=0,BC$5-$A26&lt;=19),INDEX(HU_ord,BC$5-$A26+1)*$B26,0)</f>
        <v>0.0</v>
      </c>
      <c r="BD26" s="14">
        <f>IF(AND(BD$5-$A26&gt;=0,BD$5-$A26&lt;=19),INDEX(HU_ord,BD$5-$A26+1)*$B26,0)</f>
        <v>0.0</v>
      </c>
      <c r="BE26" s="14">
        <f>IF(AND(BE$5-$A26&gt;=0,BE$5-$A26&lt;=19),INDEX(HU_ord,BE$5-$A26+1)*$B26,0)</f>
        <v>0.0</v>
      </c>
      <c r="BF26" s="14">
        <f>IF(AND(BF$5-$A26&gt;=0,BF$5-$A26&lt;=19),INDEX(HU_ord,BF$5-$A26+1)*$B26,0)</f>
        <v>0.0</v>
      </c>
      <c r="BG26" s="14">
        <f>IF(AND(BG$5-$A26&gt;=0,BG$5-$A26&lt;=19),INDEX(HU_ord,BG$5-$A26+1)*$B26,0)</f>
        <v>0.0</v>
      </c>
      <c r="BH26" s="14">
        <f>IF(AND(BH$5-$A26&gt;=0,BH$5-$A26&lt;=19),INDEX(HU_ord,BH$5-$A26+1)*$B26,0)</f>
        <v>0.0</v>
      </c>
      <c r="BI26" s="14">
        <f>IF(AND(BI$5-$A26&gt;=0,BI$5-$A26&lt;=19),INDEX(HU_ord,BI$5-$A26+1)*$B26,0)</f>
        <v>0.0</v>
      </c>
      <c r="BJ26" s="14">
        <f>IF(AND(BJ$5-$A26&gt;=0,BJ$5-$A26&lt;=19),INDEX(HU_ord,BJ$5-$A26+1)*$B26,0)</f>
        <v>0.0</v>
      </c>
      <c r="BK26" s="14">
        <f>IF(AND(BK$5-$A26&gt;=0,BK$5-$A26&lt;=19),INDEX(HU_ord,BK$5-$A26+1)*$B26,0)</f>
        <v>0.0</v>
      </c>
      <c r="BL26" s="14">
        <f>IF(AND(BL$5-$A26&gt;=0,BL$5-$A26&lt;=19),INDEX(HU_ord,BL$5-$A26+1)*$B26,0)</f>
        <v>0.0</v>
      </c>
      <c r="BM26" s="14">
        <f>IF(AND(BM$5-$A26&gt;=0,BM$5-$A26&lt;=19),INDEX(HU_ord,BM$5-$A26+1)*$B26,0)</f>
        <v>0.0</v>
      </c>
      <c r="BN26" s="14">
        <f>IF(AND(BN$5-$A26&gt;=0,BN$5-$A26&lt;=19),INDEX(HU_ord,BN$5-$A26+1)*$B26,0)</f>
        <v>0.0</v>
      </c>
      <c r="BO26" s="14">
        <f>IF(AND(BO$5-$A26&gt;=0,BO$5-$A26&lt;=19),INDEX(HU_ord,BO$5-$A26+1)*$B26,0)</f>
        <v>0.0</v>
      </c>
      <c r="BP26" s="14">
        <f>IF(AND(BP$5-$A26&gt;=0,BP$5-$A26&lt;=19),INDEX(HU_ord,BP$5-$A26+1)*$B26,0)</f>
        <v>0.0</v>
      </c>
      <c r="BQ26" s="14">
        <f>IF(AND(BQ$5-$A26&gt;=0,BQ$5-$A26&lt;=19),INDEX(HU_ord,BQ$5-$A26+1)*$B26,0)</f>
        <v>0.0</v>
      </c>
      <c r="BR26" s="14">
        <f>IF(AND(BR$5-$A26&gt;=0,BR$5-$A26&lt;=19),INDEX(HU_ord,BR$5-$A26+1)*$B26,0)</f>
        <v>0.0</v>
      </c>
      <c r="BS26" s="14">
        <f>IF(AND(BS$5-$A26&gt;=0,BS$5-$A26&lt;=19),INDEX(HU_ord,BS$5-$A26+1)*$B26,0)</f>
        <v>0.0</v>
      </c>
      <c r="BT26" s="14">
        <f>IF(AND(BT$5-$A26&gt;=0,BT$5-$A26&lt;=19),INDEX(HU_ord,BT$5-$A26+1)*$B26,0)</f>
        <v>0.0</v>
      </c>
      <c r="BU26" s="14">
        <f>IF(AND(BU$5-$A26&gt;=0,BU$5-$A26&lt;=19),INDEX(HU_ord,BU$5-$A26+1)*$B26,0)</f>
        <v>0.0</v>
      </c>
      <c r="BV26" s="14">
        <f>IF(AND(BV$5-$A26&gt;=0,BV$5-$A26&lt;=19),INDEX(HU_ord,BV$5-$A26+1)*$B26,0)</f>
        <v>0.0</v>
      </c>
      <c r="BW26" s="14">
        <f>IF(AND(BW$5-$A26&gt;=0,BW$5-$A26&lt;=19),INDEX(HU_ord,BW$5-$A26+1)*$B26,0)</f>
        <v>0.0</v>
      </c>
      <c r="BX26" s="14">
        <f>IF(AND(BX$5-$A26&gt;=0,BX$5-$A26&lt;=19),INDEX(HU_ord,BX$5-$A26+1)*$B26,0)</f>
        <v>0.0</v>
      </c>
      <c r="BY26" s="14">
        <f>IF(AND(BY$5-$A26&gt;=0,BY$5-$A26&lt;=19),INDEX(HU_ord,BY$5-$A26+1)*$B26,0)</f>
        <v>0.0</v>
      </c>
      <c r="BZ26" s="14">
        <f>IF(AND(BZ$5-$A26&gt;=0,BZ$5-$A26&lt;=19),INDEX(HU_ord,BZ$5-$A26+1)*$B26,0)</f>
        <v>0.0</v>
      </c>
      <c r="CA26" s="14">
        <f>IF(AND(CA$5-$A26&gt;=0,CA$5-$A26&lt;=19),INDEX(HU_ord,CA$5-$A26+1)*$B26,0)</f>
        <v>0.0</v>
      </c>
      <c r="CB26" s="14">
        <f>IF(AND(CB$5-$A26&gt;=0,CB$5-$A26&lt;=19),INDEX(HU_ord,CB$5-$A26+1)*$B26,0)</f>
        <v>0.0</v>
      </c>
      <c r="CC26" s="14">
        <f>IF(AND(CC$5-$A26&gt;=0,CC$5-$A26&lt;=19),INDEX(HU_ord,CC$5-$A26+1)*$B26,0)</f>
        <v>0.0</v>
      </c>
      <c r="CD26" s="14">
        <f>IF(AND(CD$5-$A26&gt;=0,CD$5-$A26&lt;=19),INDEX(HU_ord,CD$5-$A26+1)*$B26,0)</f>
        <v>0.0</v>
      </c>
      <c r="CE26" s="14">
        <f>IF(AND(CE$5-$A26&gt;=0,CE$5-$A26&lt;=19),INDEX(HU_ord,CE$5-$A26+1)*$B26,0)</f>
        <v>0.0</v>
      </c>
      <c r="CF26" s="14">
        <f>IF(AND(CF$5-$A26&gt;=0,CF$5-$A26&lt;=19),INDEX(HU_ord,CF$5-$A26+1)*$B26,0)</f>
        <v>0.0</v>
      </c>
      <c r="CG26" s="14">
        <f>IF(AND(CG$5-$A26&gt;=0,CG$5-$A26&lt;=19),INDEX(HU_ord,CG$5-$A26+1)*$B26,0)</f>
        <v>0.0</v>
      </c>
      <c r="CH26" s="14">
        <f>IF(AND(CH$5-$A26&gt;=0,CH$5-$A26&lt;=19),INDEX(HU_ord,CH$5-$A26+1)*$B26,0)</f>
        <v>0.0</v>
      </c>
      <c r="CI26" s="14">
        <f>IF(AND(CI$5-$A26&gt;=0,CI$5-$A26&lt;=19),INDEX(HU_ord,CI$5-$A26+1)*$B26,0)</f>
        <v>0.0</v>
      </c>
      <c r="CJ26" s="14">
        <f>IF(AND(CJ$5-$A26&gt;=0,CJ$5-$A26&lt;=19),INDEX(HU_ord,CJ$5-$A26+1)*$B26,0)</f>
        <v>0.0</v>
      </c>
      <c r="CK26" s="14">
        <f>IF(AND(CK$5-$A26&gt;=0,CK$5-$A26&lt;=19),INDEX(HU_ord,CK$5-$A26+1)*$B26,0)</f>
        <v>0.0</v>
      </c>
      <c r="CL26" s="14">
        <f>IF(AND(CL$5-$A26&gt;=0,CL$5-$A26&lt;=19),INDEX(HU_ord,CL$5-$A26+1)*$B26,0)</f>
        <v>0.0</v>
      </c>
      <c r="CM26" s="14">
        <f>IF(AND(CM$5-$A26&gt;=0,CM$5-$A26&lt;=19),INDEX(HU_ord,CM$5-$A26+1)*$B26,0)</f>
        <v>0.0</v>
      </c>
      <c r="CN26" s="14">
        <f>IF(AND(CN$5-$A26&gt;=0,CN$5-$A26&lt;=19),INDEX(HU_ord,CN$5-$A26+1)*$B26,0)</f>
        <v>0.0</v>
      </c>
      <c r="CO26" s="14">
        <f>IF(AND(CO$5-$A26&gt;=0,CO$5-$A26&lt;=19),INDEX(HU_ord,CO$5-$A26+1)*$B26,0)</f>
        <v>0.0</v>
      </c>
      <c r="CP26" s="14">
        <f>IF(AND(CP$5-$A26&gt;=0,CP$5-$A26&lt;=19),INDEX(HU_ord,CP$5-$A26+1)*$B26,0)</f>
        <v>0.0</v>
      </c>
      <c r="CQ26" s="14">
        <f>IF(AND(CQ$5-$A26&gt;=0,CQ$5-$A26&lt;=19),INDEX(HU_ord,CQ$5-$A26+1)*$B26,0)</f>
        <v>0.0</v>
      </c>
      <c r="CR26" s="14">
        <f>IF(AND(CR$5-$A26&gt;=0,CR$5-$A26&lt;=19),INDEX(HU_ord,CR$5-$A26+1)*$B26,0)</f>
        <v>0.0</v>
      </c>
      <c r="CS26" s="14">
        <f>IF(AND(CS$5-$A26&gt;=0,CS$5-$A26&lt;=19),INDEX(HU_ord,CS$5-$A26+1)*$B26,0)</f>
        <v>0.0</v>
      </c>
      <c r="CT26" s="14">
        <f>IF(AND(CT$5-$A26&gt;=0,CT$5-$A26&lt;=19),INDEX(HU_ord,CT$5-$A26+1)*$B26,0)</f>
        <v>0.0</v>
      </c>
      <c r="CU26" s="14">
        <f>IF(AND(CU$5-$A26&gt;=0,CU$5-$A26&lt;=19),INDEX(HU_ord,CU$5-$A26+1)*$B26,0)</f>
        <v>0.0</v>
      </c>
      <c r="CV26" s="14">
        <f>IF(AND(CV$5-$A26&gt;=0,CV$5-$A26&lt;=19),INDEX(HU_ord,CV$5-$A26+1)*$B26,0)</f>
        <v>0.0</v>
      </c>
      <c r="CW26" s="14">
        <f>IF(AND(CW$5-$A26&gt;=0,CW$5-$A26&lt;=19),INDEX(HU_ord,CW$5-$A26+1)*$B26,0)</f>
        <v>0.0</v>
      </c>
      <c r="CX26" s="14">
        <f>IF(AND(CX$5-$A26&gt;=0,CX$5-$A26&lt;=19),INDEX(HU_ord,CX$5-$A26+1)*$B26,0)</f>
        <v>0.0</v>
      </c>
      <c r="CY26" s="14">
        <f>IF(AND(CY$5-$A26&gt;=0,CY$5-$A26&lt;=19),INDEX(HU_ord,CY$5-$A26+1)*$B26,0)</f>
        <v>0.0</v>
      </c>
      <c r="CZ26" s="14">
        <f>IF(AND(CZ$5-$A26&gt;=0,CZ$5-$A26&lt;=19),INDEX(HU_ord,CZ$5-$A26+1)*$B26,0)</f>
        <v>0.0</v>
      </c>
      <c r="DA26" s="14">
        <f>IF(AND(DA$5-$A26&gt;=0,DA$5-$A26&lt;=19),INDEX(HU_ord,DA$5-$A26+1)*$B26,0)</f>
        <v>0.0</v>
      </c>
      <c r="DB26" s="14">
        <f>IF(AND(DB$5-$A26&gt;=0,DB$5-$A26&lt;=19),INDEX(HU_ord,DB$5-$A26+1)*$B26,0)</f>
        <v>0.0</v>
      </c>
      <c r="DC26" s="14">
        <f>IF(AND(DC$5-$A26&gt;=0,DC$5-$A26&lt;=19),INDEX(HU_ord,DC$5-$A26+1)*$B26,0)</f>
        <v>0.0</v>
      </c>
      <c r="DD26" s="14">
        <f>IF(AND(DD$5-$A26&gt;=0,DD$5-$A26&lt;=19),INDEX(HU_ord,DD$5-$A26+1)*$B26,0)</f>
        <v>0.0</v>
      </c>
      <c r="DE26" s="14">
        <f>IF(AND(DE$5-$A26&gt;=0,DE$5-$A26&lt;=19),INDEX(HU_ord,DE$5-$A26+1)*$B26,0)</f>
        <v>0.0</v>
      </c>
      <c r="DF26" s="14">
        <f>IF(AND(DF$5-$A26&gt;=0,DF$5-$A26&lt;=19),INDEX(HU_ord,DF$5-$A26+1)*$B26,0)</f>
        <v>0.0</v>
      </c>
      <c r="DG26" s="14">
        <f>IF(AND(DG$5-$A26&gt;=0,DG$5-$A26&lt;=19),INDEX(HU_ord,DG$5-$A26+1)*$B26,0)</f>
        <v>0.0</v>
      </c>
      <c r="DH26" s="14">
        <f>IF(AND(DH$5-$A26&gt;=0,DH$5-$A26&lt;=19),INDEX(HU_ord,DH$5-$A26+1)*$B26,0)</f>
        <v>0.0</v>
      </c>
      <c r="DI26" s="14">
        <f>IF(AND(DI$5-$A26&gt;=0,DI$5-$A26&lt;=19),INDEX(HU_ord,DI$5-$A26+1)*$B26,0)</f>
        <v>0.0</v>
      </c>
    </row>
    <row r="27" spans="1:113">
      <c r="A27">
        <v>21</v>
      </c>
      <c r="B27" s="10">
        <f>Serie_horaria!N23</f>
        <v>0.004813007635458532</v>
      </c>
      <c r="C27" s="14">
        <f>IF(AND(C$5-$A27&gt;=0,C$5-$A27&lt;=19),INDEX(HU_ord,C$5-$A27+1)*$B27,0)</f>
        <v>0.0</v>
      </c>
      <c r="D27" s="14">
        <f>IF(AND(D$5-$A27&gt;=0,D$5-$A27&lt;=19),INDEX(HU_ord,D$5-$A27+1)*$B27,0)</f>
        <v>0.0</v>
      </c>
      <c r="E27" s="14">
        <f>IF(AND(E$5-$A27&gt;=0,E$5-$A27&lt;=19),INDEX(HU_ord,E$5-$A27+1)*$B27,0)</f>
        <v>0.0</v>
      </c>
      <c r="F27" s="14">
        <f>IF(AND(F$5-$A27&gt;=0,F$5-$A27&lt;=19),INDEX(HU_ord,F$5-$A27+1)*$B27,0)</f>
        <v>0.0</v>
      </c>
      <c r="G27" s="14">
        <f>IF(AND(G$5-$A27&gt;=0,G$5-$A27&lt;=19),INDEX(HU_ord,G$5-$A27+1)*$B27,0)</f>
        <v>0.0</v>
      </c>
      <c r="H27" s="14">
        <f>IF(AND(H$5-$A27&gt;=0,H$5-$A27&lt;=19),INDEX(HU_ord,H$5-$A27+1)*$B27,0)</f>
        <v>0.0</v>
      </c>
      <c r="I27" s="14">
        <f>IF(AND(I$5-$A27&gt;=0,I$5-$A27&lt;=19),INDEX(HU_ord,I$5-$A27+1)*$B27,0)</f>
        <v>0.0</v>
      </c>
      <c r="J27" s="14">
        <f>IF(AND(J$5-$A27&gt;=0,J$5-$A27&lt;=19),INDEX(HU_ord,J$5-$A27+1)*$B27,0)</f>
        <v>0.0</v>
      </c>
      <c r="K27" s="14">
        <f>IF(AND(K$5-$A27&gt;=0,K$5-$A27&lt;=19),INDEX(HU_ord,K$5-$A27+1)*$B27,0)</f>
        <v>0.0</v>
      </c>
      <c r="L27" s="14">
        <f>IF(AND(L$5-$A27&gt;=0,L$5-$A27&lt;=19),INDEX(HU_ord,L$5-$A27+1)*$B27,0)</f>
        <v>0.0</v>
      </c>
      <c r="M27" s="14">
        <f>IF(AND(M$5-$A27&gt;=0,M$5-$A27&lt;=19),INDEX(HU_ord,M$5-$A27+1)*$B27,0)</f>
        <v>0.0</v>
      </c>
      <c r="N27" s="14">
        <f>IF(AND(N$5-$A27&gt;=0,N$5-$A27&lt;=19),INDEX(HU_ord,N$5-$A27+1)*$B27,0)</f>
        <v>0.0</v>
      </c>
      <c r="O27" s="14">
        <f>IF(AND(O$5-$A27&gt;=0,O$5-$A27&lt;=19),INDEX(HU_ord,O$5-$A27+1)*$B27,0)</f>
        <v>0.0</v>
      </c>
      <c r="P27" s="14">
        <f>IF(AND(P$5-$A27&gt;=0,P$5-$A27&lt;=19),INDEX(HU_ord,P$5-$A27+1)*$B27,0)</f>
        <v>0.0</v>
      </c>
      <c r="Q27" s="14">
        <f>IF(AND(Q$5-$A27&gt;=0,Q$5-$A27&lt;=19),INDEX(HU_ord,Q$5-$A27+1)*$B27,0)</f>
        <v>0.0</v>
      </c>
      <c r="R27" s="14">
        <f>IF(AND(R$5-$A27&gt;=0,R$5-$A27&lt;=19),INDEX(HU_ord,R$5-$A27+1)*$B27,0)</f>
        <v>0.0</v>
      </c>
      <c r="S27" s="14">
        <f>IF(AND(S$5-$A27&gt;=0,S$5-$A27&lt;=19),INDEX(HU_ord,S$5-$A27+1)*$B27,0)</f>
        <v>0.0</v>
      </c>
      <c r="T27" s="14">
        <f>IF(AND(T$5-$A27&gt;=0,T$5-$A27&lt;=19),INDEX(HU_ord,T$5-$A27+1)*$B27,0)</f>
        <v>0.0</v>
      </c>
      <c r="U27" s="14">
        <f>IF(AND(U$5-$A27&gt;=0,U$5-$A27&lt;=19),INDEX(HU_ord,U$5-$A27+1)*$B27,0)</f>
        <v>0.0</v>
      </c>
      <c r="V27" s="14">
        <f>IF(AND(V$5-$A27&gt;=0,V$5-$A27&lt;=19),INDEX(HU_ord,V$5-$A27+1)*$B27,0)</f>
        <v>0.0</v>
      </c>
      <c r="W27" s="14">
        <f>IF(AND(W$5-$A27&gt;=0,W$5-$A27&lt;=19),INDEX(HU_ord,W$5-$A27+1)*$B27,0)</f>
        <v>0.0</v>
      </c>
      <c r="X27" s="14">
        <f>IF(AND(X$5-$A27&gt;=0,X$5-$A27&lt;=19),INDEX(HU_ord,X$5-$A27+1)*$B27,0)</f>
        <v>0.0</v>
      </c>
      <c r="Y27" s="14">
        <f>IF(AND(Y$5-$A27&gt;=0,Y$5-$A27&lt;=19),INDEX(HU_ord,Y$5-$A27+1)*$B27,0)</f>
        <v>0.015642612953677127</v>
      </c>
      <c r="Z27" s="14">
        <f>IF(AND(Z$5-$A27&gt;=0,Z$5-$A27&lt;=19),INDEX(HU_ord,Z$5-$A27+1)*$B27,0)</f>
        <v>0.031285225907354254</v>
      </c>
      <c r="AA27" s="14">
        <f>IF(AND(AA$5-$A27&gt;=0,AA$5-$A27&lt;=19),INDEX(HU_ord,AA$5-$A27+1)*$B27,0)</f>
        <v>0.04692783886103138</v>
      </c>
      <c r="AB27" s="14">
        <f>IF(AND(AB$5-$A27&gt;=0,AB$5-$A27&lt;=19),INDEX(HU_ord,AB$5-$A27+1)*$B27,0)</f>
        <v>0.06257045181470851</v>
      </c>
      <c r="AC27" s="14">
        <f>IF(AND(AC$5-$A27&gt;=0,AC$5-$A27&lt;=19),INDEX(HU_ord,AC$5-$A27+1)*$B27,0)</f>
        <v>0.07821306476838563</v>
      </c>
      <c r="AD27" s="14">
        <f>IF(AND(AD$5-$A27&gt;=0,AD$5-$A27&lt;=19),INDEX(HU_ord,AD$5-$A27+1)*$B27,0)</f>
        <v>0.09385567772206276</v>
      </c>
      <c r="AE27" s="14">
        <f>IF(AND(AE$5-$A27&gt;=0,AE$5-$A27&lt;=19),INDEX(HU_ord,AE$5-$A27+1)*$B27,0)</f>
        <v>0.10677726283586478</v>
      </c>
      <c r="AF27" s="14">
        <f>IF(AND(AF$5-$A27&gt;=0,AF$5-$A27&lt;=19),INDEX(HU_ord,AF$5-$A27+1)*$B27,0)</f>
        <v>0.0974104287318665</v>
      </c>
      <c r="AG27" s="14">
        <f>IF(AND(AG$5-$A27&gt;=0,AG$5-$A27&lt;=19),INDEX(HU_ord,AG$5-$A27+1)*$B27,0)</f>
        <v>0.08804359462786823</v>
      </c>
      <c r="AH27" s="14">
        <f>IF(AND(AH$5-$A27&gt;=0,AH$5-$A27&lt;=19),INDEX(HU_ord,AH$5-$A27+1)*$B27,0)</f>
        <v>0.07867676052386995</v>
      </c>
      <c r="AI27" s="14">
        <f>IF(AND(AI$5-$A27&gt;=0,AI$5-$A27&lt;=19),INDEX(HU_ord,AI$5-$A27+1)*$B27,0)</f>
        <v>0.06930992641987166</v>
      </c>
      <c r="AJ27" s="14">
        <f>IF(AND(AJ$5-$A27&gt;=0,AJ$5-$A27&lt;=19),INDEX(HU_ord,AJ$5-$A27+1)*$B27,0)</f>
        <v>0.05994309231587338</v>
      </c>
      <c r="AK27" s="14">
        <f>IF(AND(AK$5-$A27&gt;=0,AK$5-$A27&lt;=19),INDEX(HU_ord,AK$5-$A27+1)*$B27,0)</f>
        <v>0.05057625821187511</v>
      </c>
      <c r="AL27" s="14">
        <f>IF(AND(AL$5-$A27&gt;=0,AL$5-$A27&lt;=19),INDEX(HU_ord,AL$5-$A27+1)*$B27,0)</f>
        <v>0.04120942410787683</v>
      </c>
      <c r="AM27" s="14">
        <f>IF(AND(AM$5-$A27&gt;=0,AM$5-$A27&lt;=19),INDEX(HU_ord,AM$5-$A27+1)*$B27,0)</f>
        <v>0.03184259000387854</v>
      </c>
      <c r="AN27" s="14">
        <f>IF(AND(AN$5-$A27&gt;=0,AN$5-$A27&lt;=19),INDEX(HU_ord,AN$5-$A27+1)*$B27,0)</f>
        <v>0.022475755899880257</v>
      </c>
      <c r="AO27" s="14">
        <f>IF(AND(AO$5-$A27&gt;=0,AO$5-$A27&lt;=19),INDEX(HU_ord,AO$5-$A27+1)*$B27,0)</f>
        <v>0.013108921795881977</v>
      </c>
      <c r="AP27" s="14">
        <f>IF(AND(AP$5-$A27&gt;=0,AP$5-$A27&lt;=19),INDEX(HU_ord,AP$5-$A27+1)*$B27,0)</f>
        <v>0.0037420876918836986</v>
      </c>
      <c r="AQ27" s="14">
        <f>IF(AND(AQ$5-$A27&gt;=0,AQ$5-$A27&lt;=19),INDEX(HU_ord,AQ$5-$A27+1)*$B27,0)</f>
        <v>0.0</v>
      </c>
      <c r="AR27" s="14">
        <f>IF(AND(AR$5-$A27&gt;=0,AR$5-$A27&lt;=19),INDEX(HU_ord,AR$5-$A27+1)*$B27,0)</f>
        <v>0.0</v>
      </c>
      <c r="AS27" s="14">
        <f>IF(AND(AS$5-$A27&gt;=0,AS$5-$A27&lt;=19),INDEX(HU_ord,AS$5-$A27+1)*$B27,0)</f>
        <v>0.0</v>
      </c>
      <c r="AT27" s="14">
        <f>IF(AND(AT$5-$A27&gt;=0,AT$5-$A27&lt;=19),INDEX(HU_ord,AT$5-$A27+1)*$B27,0)</f>
        <v>0.0</v>
      </c>
      <c r="AU27" s="14">
        <f>IF(AND(AU$5-$A27&gt;=0,AU$5-$A27&lt;=19),INDEX(HU_ord,AU$5-$A27+1)*$B27,0)</f>
        <v>0.0</v>
      </c>
      <c r="AV27" s="14">
        <f>IF(AND(AV$5-$A27&gt;=0,AV$5-$A27&lt;=19),INDEX(HU_ord,AV$5-$A27+1)*$B27,0)</f>
        <v>0.0</v>
      </c>
      <c r="AW27" s="14">
        <f>IF(AND(AW$5-$A27&gt;=0,AW$5-$A27&lt;=19),INDEX(HU_ord,AW$5-$A27+1)*$B27,0)</f>
        <v>0.0</v>
      </c>
      <c r="AX27" s="14">
        <f>IF(AND(AX$5-$A27&gt;=0,AX$5-$A27&lt;=19),INDEX(HU_ord,AX$5-$A27+1)*$B27,0)</f>
        <v>0.0</v>
      </c>
      <c r="AY27" s="14">
        <f>IF(AND(AY$5-$A27&gt;=0,AY$5-$A27&lt;=19),INDEX(HU_ord,AY$5-$A27+1)*$B27,0)</f>
        <v>0.0</v>
      </c>
      <c r="AZ27" s="14">
        <f>IF(AND(AZ$5-$A27&gt;=0,AZ$5-$A27&lt;=19),INDEX(HU_ord,AZ$5-$A27+1)*$B27,0)</f>
        <v>0.0</v>
      </c>
      <c r="BA27" s="14">
        <f>IF(AND(BA$5-$A27&gt;=0,BA$5-$A27&lt;=19),INDEX(HU_ord,BA$5-$A27+1)*$B27,0)</f>
        <v>0.0</v>
      </c>
      <c r="BB27" s="14">
        <f>IF(AND(BB$5-$A27&gt;=0,BB$5-$A27&lt;=19),INDEX(HU_ord,BB$5-$A27+1)*$B27,0)</f>
        <v>0.0</v>
      </c>
      <c r="BC27" s="14">
        <f>IF(AND(BC$5-$A27&gt;=0,BC$5-$A27&lt;=19),INDEX(HU_ord,BC$5-$A27+1)*$B27,0)</f>
        <v>0.0</v>
      </c>
      <c r="BD27" s="14">
        <f>IF(AND(BD$5-$A27&gt;=0,BD$5-$A27&lt;=19),INDEX(HU_ord,BD$5-$A27+1)*$B27,0)</f>
        <v>0.0</v>
      </c>
      <c r="BE27" s="14">
        <f>IF(AND(BE$5-$A27&gt;=0,BE$5-$A27&lt;=19),INDEX(HU_ord,BE$5-$A27+1)*$B27,0)</f>
        <v>0.0</v>
      </c>
      <c r="BF27" s="14">
        <f>IF(AND(BF$5-$A27&gt;=0,BF$5-$A27&lt;=19),INDEX(HU_ord,BF$5-$A27+1)*$B27,0)</f>
        <v>0.0</v>
      </c>
      <c r="BG27" s="14">
        <f>IF(AND(BG$5-$A27&gt;=0,BG$5-$A27&lt;=19),INDEX(HU_ord,BG$5-$A27+1)*$B27,0)</f>
        <v>0.0</v>
      </c>
      <c r="BH27" s="14">
        <f>IF(AND(BH$5-$A27&gt;=0,BH$5-$A27&lt;=19),INDEX(HU_ord,BH$5-$A27+1)*$B27,0)</f>
        <v>0.0</v>
      </c>
      <c r="BI27" s="14">
        <f>IF(AND(BI$5-$A27&gt;=0,BI$5-$A27&lt;=19),INDEX(HU_ord,BI$5-$A27+1)*$B27,0)</f>
        <v>0.0</v>
      </c>
      <c r="BJ27" s="14">
        <f>IF(AND(BJ$5-$A27&gt;=0,BJ$5-$A27&lt;=19),INDEX(HU_ord,BJ$5-$A27+1)*$B27,0)</f>
        <v>0.0</v>
      </c>
      <c r="BK27" s="14">
        <f>IF(AND(BK$5-$A27&gt;=0,BK$5-$A27&lt;=19),INDEX(HU_ord,BK$5-$A27+1)*$B27,0)</f>
        <v>0.0</v>
      </c>
      <c r="BL27" s="14">
        <f>IF(AND(BL$5-$A27&gt;=0,BL$5-$A27&lt;=19),INDEX(HU_ord,BL$5-$A27+1)*$B27,0)</f>
        <v>0.0</v>
      </c>
      <c r="BM27" s="14">
        <f>IF(AND(BM$5-$A27&gt;=0,BM$5-$A27&lt;=19),INDEX(HU_ord,BM$5-$A27+1)*$B27,0)</f>
        <v>0.0</v>
      </c>
      <c r="BN27" s="14">
        <f>IF(AND(BN$5-$A27&gt;=0,BN$5-$A27&lt;=19),INDEX(HU_ord,BN$5-$A27+1)*$B27,0)</f>
        <v>0.0</v>
      </c>
      <c r="BO27" s="14">
        <f>IF(AND(BO$5-$A27&gt;=0,BO$5-$A27&lt;=19),INDEX(HU_ord,BO$5-$A27+1)*$B27,0)</f>
        <v>0.0</v>
      </c>
      <c r="BP27" s="14">
        <f>IF(AND(BP$5-$A27&gt;=0,BP$5-$A27&lt;=19),INDEX(HU_ord,BP$5-$A27+1)*$B27,0)</f>
        <v>0.0</v>
      </c>
      <c r="BQ27" s="14">
        <f>IF(AND(BQ$5-$A27&gt;=0,BQ$5-$A27&lt;=19),INDEX(HU_ord,BQ$5-$A27+1)*$B27,0)</f>
        <v>0.0</v>
      </c>
      <c r="BR27" s="14">
        <f>IF(AND(BR$5-$A27&gt;=0,BR$5-$A27&lt;=19),INDEX(HU_ord,BR$5-$A27+1)*$B27,0)</f>
        <v>0.0</v>
      </c>
      <c r="BS27" s="14">
        <f>IF(AND(BS$5-$A27&gt;=0,BS$5-$A27&lt;=19),INDEX(HU_ord,BS$5-$A27+1)*$B27,0)</f>
        <v>0.0</v>
      </c>
      <c r="BT27" s="14">
        <f>IF(AND(BT$5-$A27&gt;=0,BT$5-$A27&lt;=19),INDEX(HU_ord,BT$5-$A27+1)*$B27,0)</f>
        <v>0.0</v>
      </c>
      <c r="BU27" s="14">
        <f>IF(AND(BU$5-$A27&gt;=0,BU$5-$A27&lt;=19),INDEX(HU_ord,BU$5-$A27+1)*$B27,0)</f>
        <v>0.0</v>
      </c>
      <c r="BV27" s="14">
        <f>IF(AND(BV$5-$A27&gt;=0,BV$5-$A27&lt;=19),INDEX(HU_ord,BV$5-$A27+1)*$B27,0)</f>
        <v>0.0</v>
      </c>
      <c r="BW27" s="14">
        <f>IF(AND(BW$5-$A27&gt;=0,BW$5-$A27&lt;=19),INDEX(HU_ord,BW$5-$A27+1)*$B27,0)</f>
        <v>0.0</v>
      </c>
      <c r="BX27" s="14">
        <f>IF(AND(BX$5-$A27&gt;=0,BX$5-$A27&lt;=19),INDEX(HU_ord,BX$5-$A27+1)*$B27,0)</f>
        <v>0.0</v>
      </c>
      <c r="BY27" s="14">
        <f>IF(AND(BY$5-$A27&gt;=0,BY$5-$A27&lt;=19),INDEX(HU_ord,BY$5-$A27+1)*$B27,0)</f>
        <v>0.0</v>
      </c>
      <c r="BZ27" s="14">
        <f>IF(AND(BZ$5-$A27&gt;=0,BZ$5-$A27&lt;=19),INDEX(HU_ord,BZ$5-$A27+1)*$B27,0)</f>
        <v>0.0</v>
      </c>
      <c r="CA27" s="14">
        <f>IF(AND(CA$5-$A27&gt;=0,CA$5-$A27&lt;=19),INDEX(HU_ord,CA$5-$A27+1)*$B27,0)</f>
        <v>0.0</v>
      </c>
      <c r="CB27" s="14">
        <f>IF(AND(CB$5-$A27&gt;=0,CB$5-$A27&lt;=19),INDEX(HU_ord,CB$5-$A27+1)*$B27,0)</f>
        <v>0.0</v>
      </c>
      <c r="CC27" s="14">
        <f>IF(AND(CC$5-$A27&gt;=0,CC$5-$A27&lt;=19),INDEX(HU_ord,CC$5-$A27+1)*$B27,0)</f>
        <v>0.0</v>
      </c>
      <c r="CD27" s="14">
        <f>IF(AND(CD$5-$A27&gt;=0,CD$5-$A27&lt;=19),INDEX(HU_ord,CD$5-$A27+1)*$B27,0)</f>
        <v>0.0</v>
      </c>
      <c r="CE27" s="14">
        <f>IF(AND(CE$5-$A27&gt;=0,CE$5-$A27&lt;=19),INDEX(HU_ord,CE$5-$A27+1)*$B27,0)</f>
        <v>0.0</v>
      </c>
      <c r="CF27" s="14">
        <f>IF(AND(CF$5-$A27&gt;=0,CF$5-$A27&lt;=19),INDEX(HU_ord,CF$5-$A27+1)*$B27,0)</f>
        <v>0.0</v>
      </c>
      <c r="CG27" s="14">
        <f>IF(AND(CG$5-$A27&gt;=0,CG$5-$A27&lt;=19),INDEX(HU_ord,CG$5-$A27+1)*$B27,0)</f>
        <v>0.0</v>
      </c>
      <c r="CH27" s="14">
        <f>IF(AND(CH$5-$A27&gt;=0,CH$5-$A27&lt;=19),INDEX(HU_ord,CH$5-$A27+1)*$B27,0)</f>
        <v>0.0</v>
      </c>
      <c r="CI27" s="14">
        <f>IF(AND(CI$5-$A27&gt;=0,CI$5-$A27&lt;=19),INDEX(HU_ord,CI$5-$A27+1)*$B27,0)</f>
        <v>0.0</v>
      </c>
      <c r="CJ27" s="14">
        <f>IF(AND(CJ$5-$A27&gt;=0,CJ$5-$A27&lt;=19),INDEX(HU_ord,CJ$5-$A27+1)*$B27,0)</f>
        <v>0.0</v>
      </c>
      <c r="CK27" s="14">
        <f>IF(AND(CK$5-$A27&gt;=0,CK$5-$A27&lt;=19),INDEX(HU_ord,CK$5-$A27+1)*$B27,0)</f>
        <v>0.0</v>
      </c>
      <c r="CL27" s="14">
        <f>IF(AND(CL$5-$A27&gt;=0,CL$5-$A27&lt;=19),INDEX(HU_ord,CL$5-$A27+1)*$B27,0)</f>
        <v>0.0</v>
      </c>
      <c r="CM27" s="14">
        <f>IF(AND(CM$5-$A27&gt;=0,CM$5-$A27&lt;=19),INDEX(HU_ord,CM$5-$A27+1)*$B27,0)</f>
        <v>0.0</v>
      </c>
      <c r="CN27" s="14">
        <f>IF(AND(CN$5-$A27&gt;=0,CN$5-$A27&lt;=19),INDEX(HU_ord,CN$5-$A27+1)*$B27,0)</f>
        <v>0.0</v>
      </c>
      <c r="CO27" s="14">
        <f>IF(AND(CO$5-$A27&gt;=0,CO$5-$A27&lt;=19),INDEX(HU_ord,CO$5-$A27+1)*$B27,0)</f>
        <v>0.0</v>
      </c>
      <c r="CP27" s="14">
        <f>IF(AND(CP$5-$A27&gt;=0,CP$5-$A27&lt;=19),INDEX(HU_ord,CP$5-$A27+1)*$B27,0)</f>
        <v>0.0</v>
      </c>
      <c r="CQ27" s="14">
        <f>IF(AND(CQ$5-$A27&gt;=0,CQ$5-$A27&lt;=19),INDEX(HU_ord,CQ$5-$A27+1)*$B27,0)</f>
        <v>0.0</v>
      </c>
      <c r="CR27" s="14">
        <f>IF(AND(CR$5-$A27&gt;=0,CR$5-$A27&lt;=19),INDEX(HU_ord,CR$5-$A27+1)*$B27,0)</f>
        <v>0.0</v>
      </c>
      <c r="CS27" s="14">
        <f>IF(AND(CS$5-$A27&gt;=0,CS$5-$A27&lt;=19),INDEX(HU_ord,CS$5-$A27+1)*$B27,0)</f>
        <v>0.0</v>
      </c>
      <c r="CT27" s="14">
        <f>IF(AND(CT$5-$A27&gt;=0,CT$5-$A27&lt;=19),INDEX(HU_ord,CT$5-$A27+1)*$B27,0)</f>
        <v>0.0</v>
      </c>
      <c r="CU27" s="14">
        <f>IF(AND(CU$5-$A27&gt;=0,CU$5-$A27&lt;=19),INDEX(HU_ord,CU$5-$A27+1)*$B27,0)</f>
        <v>0.0</v>
      </c>
      <c r="CV27" s="14">
        <f>IF(AND(CV$5-$A27&gt;=0,CV$5-$A27&lt;=19),INDEX(HU_ord,CV$5-$A27+1)*$B27,0)</f>
        <v>0.0</v>
      </c>
      <c r="CW27" s="14">
        <f>IF(AND(CW$5-$A27&gt;=0,CW$5-$A27&lt;=19),INDEX(HU_ord,CW$5-$A27+1)*$B27,0)</f>
        <v>0.0</v>
      </c>
      <c r="CX27" s="14">
        <f>IF(AND(CX$5-$A27&gt;=0,CX$5-$A27&lt;=19),INDEX(HU_ord,CX$5-$A27+1)*$B27,0)</f>
        <v>0.0</v>
      </c>
      <c r="CY27" s="14">
        <f>IF(AND(CY$5-$A27&gt;=0,CY$5-$A27&lt;=19),INDEX(HU_ord,CY$5-$A27+1)*$B27,0)</f>
        <v>0.0</v>
      </c>
      <c r="CZ27" s="14">
        <f>IF(AND(CZ$5-$A27&gt;=0,CZ$5-$A27&lt;=19),INDEX(HU_ord,CZ$5-$A27+1)*$B27,0)</f>
        <v>0.0</v>
      </c>
      <c r="DA27" s="14">
        <f>IF(AND(DA$5-$A27&gt;=0,DA$5-$A27&lt;=19),INDEX(HU_ord,DA$5-$A27+1)*$B27,0)</f>
        <v>0.0</v>
      </c>
      <c r="DB27" s="14">
        <f>IF(AND(DB$5-$A27&gt;=0,DB$5-$A27&lt;=19),INDEX(HU_ord,DB$5-$A27+1)*$B27,0)</f>
        <v>0.0</v>
      </c>
      <c r="DC27" s="14">
        <f>IF(AND(DC$5-$A27&gt;=0,DC$5-$A27&lt;=19),INDEX(HU_ord,DC$5-$A27+1)*$B27,0)</f>
        <v>0.0</v>
      </c>
      <c r="DD27" s="14">
        <f>IF(AND(DD$5-$A27&gt;=0,DD$5-$A27&lt;=19),INDEX(HU_ord,DD$5-$A27+1)*$B27,0)</f>
        <v>0.0</v>
      </c>
      <c r="DE27" s="14">
        <f>IF(AND(DE$5-$A27&gt;=0,DE$5-$A27&lt;=19),INDEX(HU_ord,DE$5-$A27+1)*$B27,0)</f>
        <v>0.0</v>
      </c>
      <c r="DF27" s="14">
        <f>IF(AND(DF$5-$A27&gt;=0,DF$5-$A27&lt;=19),INDEX(HU_ord,DF$5-$A27+1)*$B27,0)</f>
        <v>0.0</v>
      </c>
      <c r="DG27" s="14">
        <f>IF(AND(DG$5-$A27&gt;=0,DG$5-$A27&lt;=19),INDEX(HU_ord,DG$5-$A27+1)*$B27,0)</f>
        <v>0.0</v>
      </c>
      <c r="DH27" s="14">
        <f>IF(AND(DH$5-$A27&gt;=0,DH$5-$A27&lt;=19),INDEX(HU_ord,DH$5-$A27+1)*$B27,0)</f>
        <v>0.0</v>
      </c>
      <c r="DI27" s="14">
        <f>IF(AND(DI$5-$A27&gt;=0,DI$5-$A27&lt;=19),INDEX(HU_ord,DI$5-$A27+1)*$B27,0)</f>
        <v>0.0</v>
      </c>
    </row>
    <row r="28" spans="1:113">
      <c r="A28">
        <v>22</v>
      </c>
      <c r="B28" s="10">
        <f>Serie_horaria!N24</f>
        <v>0.0</v>
      </c>
      <c r="C28" s="14">
        <f>IF(AND(C$5-$A28&gt;=0,C$5-$A28&lt;=19),INDEX(HU_ord,C$5-$A28+1)*$B28,0)</f>
        <v>0.0</v>
      </c>
      <c r="D28" s="14">
        <f>IF(AND(D$5-$A28&gt;=0,D$5-$A28&lt;=19),INDEX(HU_ord,D$5-$A28+1)*$B28,0)</f>
        <v>0.0</v>
      </c>
      <c r="E28" s="14">
        <f>IF(AND(E$5-$A28&gt;=0,E$5-$A28&lt;=19),INDEX(HU_ord,E$5-$A28+1)*$B28,0)</f>
        <v>0.0</v>
      </c>
      <c r="F28" s="14">
        <f>IF(AND(F$5-$A28&gt;=0,F$5-$A28&lt;=19),INDEX(HU_ord,F$5-$A28+1)*$B28,0)</f>
        <v>0.0</v>
      </c>
      <c r="G28" s="14">
        <f>IF(AND(G$5-$A28&gt;=0,G$5-$A28&lt;=19),INDEX(HU_ord,G$5-$A28+1)*$B28,0)</f>
        <v>0.0</v>
      </c>
      <c r="H28" s="14">
        <f>IF(AND(H$5-$A28&gt;=0,H$5-$A28&lt;=19),INDEX(HU_ord,H$5-$A28+1)*$B28,0)</f>
        <v>0.0</v>
      </c>
      <c r="I28" s="14">
        <f>IF(AND(I$5-$A28&gt;=0,I$5-$A28&lt;=19),INDEX(HU_ord,I$5-$A28+1)*$B28,0)</f>
        <v>0.0</v>
      </c>
      <c r="J28" s="14">
        <f>IF(AND(J$5-$A28&gt;=0,J$5-$A28&lt;=19),INDEX(HU_ord,J$5-$A28+1)*$B28,0)</f>
        <v>0.0</v>
      </c>
      <c r="K28" s="14">
        <f>IF(AND(K$5-$A28&gt;=0,K$5-$A28&lt;=19),INDEX(HU_ord,K$5-$A28+1)*$B28,0)</f>
        <v>0.0</v>
      </c>
      <c r="L28" s="14">
        <f>IF(AND(L$5-$A28&gt;=0,L$5-$A28&lt;=19),INDEX(HU_ord,L$5-$A28+1)*$B28,0)</f>
        <v>0.0</v>
      </c>
      <c r="M28" s="14">
        <f>IF(AND(M$5-$A28&gt;=0,M$5-$A28&lt;=19),INDEX(HU_ord,M$5-$A28+1)*$B28,0)</f>
        <v>0.0</v>
      </c>
      <c r="N28" s="14">
        <f>IF(AND(N$5-$A28&gt;=0,N$5-$A28&lt;=19),INDEX(HU_ord,N$5-$A28+1)*$B28,0)</f>
        <v>0.0</v>
      </c>
      <c r="O28" s="14">
        <f>IF(AND(O$5-$A28&gt;=0,O$5-$A28&lt;=19),INDEX(HU_ord,O$5-$A28+1)*$B28,0)</f>
        <v>0.0</v>
      </c>
      <c r="P28" s="14">
        <f>IF(AND(P$5-$A28&gt;=0,P$5-$A28&lt;=19),INDEX(HU_ord,P$5-$A28+1)*$B28,0)</f>
        <v>0.0</v>
      </c>
      <c r="Q28" s="14">
        <f>IF(AND(Q$5-$A28&gt;=0,Q$5-$A28&lt;=19),INDEX(HU_ord,Q$5-$A28+1)*$B28,0)</f>
        <v>0.0</v>
      </c>
      <c r="R28" s="14">
        <f>IF(AND(R$5-$A28&gt;=0,R$5-$A28&lt;=19),INDEX(HU_ord,R$5-$A28+1)*$B28,0)</f>
        <v>0.0</v>
      </c>
      <c r="S28" s="14">
        <f>IF(AND(S$5-$A28&gt;=0,S$5-$A28&lt;=19),INDEX(HU_ord,S$5-$A28+1)*$B28,0)</f>
        <v>0.0</v>
      </c>
      <c r="T28" s="14">
        <f>IF(AND(T$5-$A28&gt;=0,T$5-$A28&lt;=19),INDEX(HU_ord,T$5-$A28+1)*$B28,0)</f>
        <v>0.0</v>
      </c>
      <c r="U28" s="14">
        <f>IF(AND(U$5-$A28&gt;=0,U$5-$A28&lt;=19),INDEX(HU_ord,U$5-$A28+1)*$B28,0)</f>
        <v>0.0</v>
      </c>
      <c r="V28" s="14">
        <f>IF(AND(V$5-$A28&gt;=0,V$5-$A28&lt;=19),INDEX(HU_ord,V$5-$A28+1)*$B28,0)</f>
        <v>0.0</v>
      </c>
      <c r="W28" s="14">
        <f>IF(AND(W$5-$A28&gt;=0,W$5-$A28&lt;=19),INDEX(HU_ord,W$5-$A28+1)*$B28,0)</f>
        <v>0.0</v>
      </c>
      <c r="X28" s="14">
        <f>IF(AND(X$5-$A28&gt;=0,X$5-$A28&lt;=19),INDEX(HU_ord,X$5-$A28+1)*$B28,0)</f>
        <v>0.0</v>
      </c>
      <c r="Y28" s="14">
        <f>IF(AND(Y$5-$A28&gt;=0,Y$5-$A28&lt;=19),INDEX(HU_ord,Y$5-$A28+1)*$B28,0)</f>
        <v>0.0</v>
      </c>
      <c r="Z28" s="14">
        <f>IF(AND(Z$5-$A28&gt;=0,Z$5-$A28&lt;=19),INDEX(HU_ord,Z$5-$A28+1)*$B28,0)</f>
        <v>0.0</v>
      </c>
      <c r="AA28" s="14">
        <f>IF(AND(AA$5-$A28&gt;=0,AA$5-$A28&lt;=19),INDEX(HU_ord,AA$5-$A28+1)*$B28,0)</f>
        <v>0.0</v>
      </c>
      <c r="AB28" s="14">
        <f>IF(AND(AB$5-$A28&gt;=0,AB$5-$A28&lt;=19),INDEX(HU_ord,AB$5-$A28+1)*$B28,0)</f>
        <v>0.0</v>
      </c>
      <c r="AC28" s="14">
        <f>IF(AND(AC$5-$A28&gt;=0,AC$5-$A28&lt;=19),INDEX(HU_ord,AC$5-$A28+1)*$B28,0)</f>
        <v>0.0</v>
      </c>
      <c r="AD28" s="14">
        <f>IF(AND(AD$5-$A28&gt;=0,AD$5-$A28&lt;=19),INDEX(HU_ord,AD$5-$A28+1)*$B28,0)</f>
        <v>0.0</v>
      </c>
      <c r="AE28" s="14">
        <f>IF(AND(AE$5-$A28&gt;=0,AE$5-$A28&lt;=19),INDEX(HU_ord,AE$5-$A28+1)*$B28,0)</f>
        <v>0.0</v>
      </c>
      <c r="AF28" s="14">
        <f>IF(AND(AF$5-$A28&gt;=0,AF$5-$A28&lt;=19),INDEX(HU_ord,AF$5-$A28+1)*$B28,0)</f>
        <v>0.0</v>
      </c>
      <c r="AG28" s="14">
        <f>IF(AND(AG$5-$A28&gt;=0,AG$5-$A28&lt;=19),INDEX(HU_ord,AG$5-$A28+1)*$B28,0)</f>
        <v>0.0</v>
      </c>
      <c r="AH28" s="14">
        <f>IF(AND(AH$5-$A28&gt;=0,AH$5-$A28&lt;=19),INDEX(HU_ord,AH$5-$A28+1)*$B28,0)</f>
        <v>0.0</v>
      </c>
      <c r="AI28" s="14">
        <f>IF(AND(AI$5-$A28&gt;=0,AI$5-$A28&lt;=19),INDEX(HU_ord,AI$5-$A28+1)*$B28,0)</f>
        <v>0.0</v>
      </c>
      <c r="AJ28" s="14">
        <f>IF(AND(AJ$5-$A28&gt;=0,AJ$5-$A28&lt;=19),INDEX(HU_ord,AJ$5-$A28+1)*$B28,0)</f>
        <v>0.0</v>
      </c>
      <c r="AK28" s="14">
        <f>IF(AND(AK$5-$A28&gt;=0,AK$5-$A28&lt;=19),INDEX(HU_ord,AK$5-$A28+1)*$B28,0)</f>
        <v>0.0</v>
      </c>
      <c r="AL28" s="14">
        <f>IF(AND(AL$5-$A28&gt;=0,AL$5-$A28&lt;=19),INDEX(HU_ord,AL$5-$A28+1)*$B28,0)</f>
        <v>0.0</v>
      </c>
      <c r="AM28" s="14">
        <f>IF(AND(AM$5-$A28&gt;=0,AM$5-$A28&lt;=19),INDEX(HU_ord,AM$5-$A28+1)*$B28,0)</f>
        <v>0.0</v>
      </c>
      <c r="AN28" s="14">
        <f>IF(AND(AN$5-$A28&gt;=0,AN$5-$A28&lt;=19),INDEX(HU_ord,AN$5-$A28+1)*$B28,0)</f>
        <v>0.0</v>
      </c>
      <c r="AO28" s="14">
        <f>IF(AND(AO$5-$A28&gt;=0,AO$5-$A28&lt;=19),INDEX(HU_ord,AO$5-$A28+1)*$B28,0)</f>
        <v>0.0</v>
      </c>
      <c r="AP28" s="14">
        <f>IF(AND(AP$5-$A28&gt;=0,AP$5-$A28&lt;=19),INDEX(HU_ord,AP$5-$A28+1)*$B28,0)</f>
        <v>0.0</v>
      </c>
      <c r="AQ28" s="14">
        <f>IF(AND(AQ$5-$A28&gt;=0,AQ$5-$A28&lt;=19),INDEX(HU_ord,AQ$5-$A28+1)*$B28,0)</f>
        <v>0.0</v>
      </c>
      <c r="AR28" s="14">
        <f>IF(AND(AR$5-$A28&gt;=0,AR$5-$A28&lt;=19),INDEX(HU_ord,AR$5-$A28+1)*$B28,0)</f>
        <v>0.0</v>
      </c>
      <c r="AS28" s="14">
        <f>IF(AND(AS$5-$A28&gt;=0,AS$5-$A28&lt;=19),INDEX(HU_ord,AS$5-$A28+1)*$B28,0)</f>
        <v>0.0</v>
      </c>
      <c r="AT28" s="14">
        <f>IF(AND(AT$5-$A28&gt;=0,AT$5-$A28&lt;=19),INDEX(HU_ord,AT$5-$A28+1)*$B28,0)</f>
        <v>0.0</v>
      </c>
      <c r="AU28" s="14">
        <f>IF(AND(AU$5-$A28&gt;=0,AU$5-$A28&lt;=19),INDEX(HU_ord,AU$5-$A28+1)*$B28,0)</f>
        <v>0.0</v>
      </c>
      <c r="AV28" s="14">
        <f>IF(AND(AV$5-$A28&gt;=0,AV$5-$A28&lt;=19),INDEX(HU_ord,AV$5-$A28+1)*$B28,0)</f>
        <v>0.0</v>
      </c>
      <c r="AW28" s="14">
        <f>IF(AND(AW$5-$A28&gt;=0,AW$5-$A28&lt;=19),INDEX(HU_ord,AW$5-$A28+1)*$B28,0)</f>
        <v>0.0</v>
      </c>
      <c r="AX28" s="14">
        <f>IF(AND(AX$5-$A28&gt;=0,AX$5-$A28&lt;=19),INDEX(HU_ord,AX$5-$A28+1)*$B28,0)</f>
        <v>0.0</v>
      </c>
      <c r="AY28" s="14">
        <f>IF(AND(AY$5-$A28&gt;=0,AY$5-$A28&lt;=19),INDEX(HU_ord,AY$5-$A28+1)*$B28,0)</f>
        <v>0.0</v>
      </c>
      <c r="AZ28" s="14">
        <f>IF(AND(AZ$5-$A28&gt;=0,AZ$5-$A28&lt;=19),INDEX(HU_ord,AZ$5-$A28+1)*$B28,0)</f>
        <v>0.0</v>
      </c>
      <c r="BA28" s="14">
        <f>IF(AND(BA$5-$A28&gt;=0,BA$5-$A28&lt;=19),INDEX(HU_ord,BA$5-$A28+1)*$B28,0)</f>
        <v>0.0</v>
      </c>
      <c r="BB28" s="14">
        <f>IF(AND(BB$5-$A28&gt;=0,BB$5-$A28&lt;=19),INDEX(HU_ord,BB$5-$A28+1)*$B28,0)</f>
        <v>0.0</v>
      </c>
      <c r="BC28" s="14">
        <f>IF(AND(BC$5-$A28&gt;=0,BC$5-$A28&lt;=19),INDEX(HU_ord,BC$5-$A28+1)*$B28,0)</f>
        <v>0.0</v>
      </c>
      <c r="BD28" s="14">
        <f>IF(AND(BD$5-$A28&gt;=0,BD$5-$A28&lt;=19),INDEX(HU_ord,BD$5-$A28+1)*$B28,0)</f>
        <v>0.0</v>
      </c>
      <c r="BE28" s="14">
        <f>IF(AND(BE$5-$A28&gt;=0,BE$5-$A28&lt;=19),INDEX(HU_ord,BE$5-$A28+1)*$B28,0)</f>
        <v>0.0</v>
      </c>
      <c r="BF28" s="14">
        <f>IF(AND(BF$5-$A28&gt;=0,BF$5-$A28&lt;=19),INDEX(HU_ord,BF$5-$A28+1)*$B28,0)</f>
        <v>0.0</v>
      </c>
      <c r="BG28" s="14">
        <f>IF(AND(BG$5-$A28&gt;=0,BG$5-$A28&lt;=19),INDEX(HU_ord,BG$5-$A28+1)*$B28,0)</f>
        <v>0.0</v>
      </c>
      <c r="BH28" s="14">
        <f>IF(AND(BH$5-$A28&gt;=0,BH$5-$A28&lt;=19),INDEX(HU_ord,BH$5-$A28+1)*$B28,0)</f>
        <v>0.0</v>
      </c>
      <c r="BI28" s="14">
        <f>IF(AND(BI$5-$A28&gt;=0,BI$5-$A28&lt;=19),INDEX(HU_ord,BI$5-$A28+1)*$B28,0)</f>
        <v>0.0</v>
      </c>
      <c r="BJ28" s="14">
        <f>IF(AND(BJ$5-$A28&gt;=0,BJ$5-$A28&lt;=19),INDEX(HU_ord,BJ$5-$A28+1)*$B28,0)</f>
        <v>0.0</v>
      </c>
      <c r="BK28" s="14">
        <f>IF(AND(BK$5-$A28&gt;=0,BK$5-$A28&lt;=19),INDEX(HU_ord,BK$5-$A28+1)*$B28,0)</f>
        <v>0.0</v>
      </c>
      <c r="BL28" s="14">
        <f>IF(AND(BL$5-$A28&gt;=0,BL$5-$A28&lt;=19),INDEX(HU_ord,BL$5-$A28+1)*$B28,0)</f>
        <v>0.0</v>
      </c>
      <c r="BM28" s="14">
        <f>IF(AND(BM$5-$A28&gt;=0,BM$5-$A28&lt;=19),INDEX(HU_ord,BM$5-$A28+1)*$B28,0)</f>
        <v>0.0</v>
      </c>
      <c r="BN28" s="14">
        <f>IF(AND(BN$5-$A28&gt;=0,BN$5-$A28&lt;=19),INDEX(HU_ord,BN$5-$A28+1)*$B28,0)</f>
        <v>0.0</v>
      </c>
      <c r="BO28" s="14">
        <f>IF(AND(BO$5-$A28&gt;=0,BO$5-$A28&lt;=19),INDEX(HU_ord,BO$5-$A28+1)*$B28,0)</f>
        <v>0.0</v>
      </c>
      <c r="BP28" s="14">
        <f>IF(AND(BP$5-$A28&gt;=0,BP$5-$A28&lt;=19),INDEX(HU_ord,BP$5-$A28+1)*$B28,0)</f>
        <v>0.0</v>
      </c>
      <c r="BQ28" s="14">
        <f>IF(AND(BQ$5-$A28&gt;=0,BQ$5-$A28&lt;=19),INDEX(HU_ord,BQ$5-$A28+1)*$B28,0)</f>
        <v>0.0</v>
      </c>
      <c r="BR28" s="14">
        <f>IF(AND(BR$5-$A28&gt;=0,BR$5-$A28&lt;=19),INDEX(HU_ord,BR$5-$A28+1)*$B28,0)</f>
        <v>0.0</v>
      </c>
      <c r="BS28" s="14">
        <f>IF(AND(BS$5-$A28&gt;=0,BS$5-$A28&lt;=19),INDEX(HU_ord,BS$5-$A28+1)*$B28,0)</f>
        <v>0.0</v>
      </c>
      <c r="BT28" s="14">
        <f>IF(AND(BT$5-$A28&gt;=0,BT$5-$A28&lt;=19),INDEX(HU_ord,BT$5-$A28+1)*$B28,0)</f>
        <v>0.0</v>
      </c>
      <c r="BU28" s="14">
        <f>IF(AND(BU$5-$A28&gt;=0,BU$5-$A28&lt;=19),INDEX(HU_ord,BU$5-$A28+1)*$B28,0)</f>
        <v>0.0</v>
      </c>
      <c r="BV28" s="14">
        <f>IF(AND(BV$5-$A28&gt;=0,BV$5-$A28&lt;=19),INDEX(HU_ord,BV$5-$A28+1)*$B28,0)</f>
        <v>0.0</v>
      </c>
      <c r="BW28" s="14">
        <f>IF(AND(BW$5-$A28&gt;=0,BW$5-$A28&lt;=19),INDEX(HU_ord,BW$5-$A28+1)*$B28,0)</f>
        <v>0.0</v>
      </c>
      <c r="BX28" s="14">
        <f>IF(AND(BX$5-$A28&gt;=0,BX$5-$A28&lt;=19),INDEX(HU_ord,BX$5-$A28+1)*$B28,0)</f>
        <v>0.0</v>
      </c>
      <c r="BY28" s="14">
        <f>IF(AND(BY$5-$A28&gt;=0,BY$5-$A28&lt;=19),INDEX(HU_ord,BY$5-$A28+1)*$B28,0)</f>
        <v>0.0</v>
      </c>
      <c r="BZ28" s="14">
        <f>IF(AND(BZ$5-$A28&gt;=0,BZ$5-$A28&lt;=19),INDEX(HU_ord,BZ$5-$A28+1)*$B28,0)</f>
        <v>0.0</v>
      </c>
      <c r="CA28" s="14">
        <f>IF(AND(CA$5-$A28&gt;=0,CA$5-$A28&lt;=19),INDEX(HU_ord,CA$5-$A28+1)*$B28,0)</f>
        <v>0.0</v>
      </c>
      <c r="CB28" s="14">
        <f>IF(AND(CB$5-$A28&gt;=0,CB$5-$A28&lt;=19),INDEX(HU_ord,CB$5-$A28+1)*$B28,0)</f>
        <v>0.0</v>
      </c>
      <c r="CC28" s="14">
        <f>IF(AND(CC$5-$A28&gt;=0,CC$5-$A28&lt;=19),INDEX(HU_ord,CC$5-$A28+1)*$B28,0)</f>
        <v>0.0</v>
      </c>
      <c r="CD28" s="14">
        <f>IF(AND(CD$5-$A28&gt;=0,CD$5-$A28&lt;=19),INDEX(HU_ord,CD$5-$A28+1)*$B28,0)</f>
        <v>0.0</v>
      </c>
      <c r="CE28" s="14">
        <f>IF(AND(CE$5-$A28&gt;=0,CE$5-$A28&lt;=19),INDEX(HU_ord,CE$5-$A28+1)*$B28,0)</f>
        <v>0.0</v>
      </c>
      <c r="CF28" s="14">
        <f>IF(AND(CF$5-$A28&gt;=0,CF$5-$A28&lt;=19),INDEX(HU_ord,CF$5-$A28+1)*$B28,0)</f>
        <v>0.0</v>
      </c>
      <c r="CG28" s="14">
        <f>IF(AND(CG$5-$A28&gt;=0,CG$5-$A28&lt;=19),INDEX(HU_ord,CG$5-$A28+1)*$B28,0)</f>
        <v>0.0</v>
      </c>
      <c r="CH28" s="14">
        <f>IF(AND(CH$5-$A28&gt;=0,CH$5-$A28&lt;=19),INDEX(HU_ord,CH$5-$A28+1)*$B28,0)</f>
        <v>0.0</v>
      </c>
      <c r="CI28" s="14">
        <f>IF(AND(CI$5-$A28&gt;=0,CI$5-$A28&lt;=19),INDEX(HU_ord,CI$5-$A28+1)*$B28,0)</f>
        <v>0.0</v>
      </c>
      <c r="CJ28" s="14">
        <f>IF(AND(CJ$5-$A28&gt;=0,CJ$5-$A28&lt;=19),INDEX(HU_ord,CJ$5-$A28+1)*$B28,0)</f>
        <v>0.0</v>
      </c>
      <c r="CK28" s="14">
        <f>IF(AND(CK$5-$A28&gt;=0,CK$5-$A28&lt;=19),INDEX(HU_ord,CK$5-$A28+1)*$B28,0)</f>
        <v>0.0</v>
      </c>
      <c r="CL28" s="14">
        <f>IF(AND(CL$5-$A28&gt;=0,CL$5-$A28&lt;=19),INDEX(HU_ord,CL$5-$A28+1)*$B28,0)</f>
        <v>0.0</v>
      </c>
      <c r="CM28" s="14">
        <f>IF(AND(CM$5-$A28&gt;=0,CM$5-$A28&lt;=19),INDEX(HU_ord,CM$5-$A28+1)*$B28,0)</f>
        <v>0.0</v>
      </c>
      <c r="CN28" s="14">
        <f>IF(AND(CN$5-$A28&gt;=0,CN$5-$A28&lt;=19),INDEX(HU_ord,CN$5-$A28+1)*$B28,0)</f>
        <v>0.0</v>
      </c>
      <c r="CO28" s="14">
        <f>IF(AND(CO$5-$A28&gt;=0,CO$5-$A28&lt;=19),INDEX(HU_ord,CO$5-$A28+1)*$B28,0)</f>
        <v>0.0</v>
      </c>
      <c r="CP28" s="14">
        <f>IF(AND(CP$5-$A28&gt;=0,CP$5-$A28&lt;=19),INDEX(HU_ord,CP$5-$A28+1)*$B28,0)</f>
        <v>0.0</v>
      </c>
      <c r="CQ28" s="14">
        <f>IF(AND(CQ$5-$A28&gt;=0,CQ$5-$A28&lt;=19),INDEX(HU_ord,CQ$5-$A28+1)*$B28,0)</f>
        <v>0.0</v>
      </c>
      <c r="CR28" s="14">
        <f>IF(AND(CR$5-$A28&gt;=0,CR$5-$A28&lt;=19),INDEX(HU_ord,CR$5-$A28+1)*$B28,0)</f>
        <v>0.0</v>
      </c>
      <c r="CS28" s="14">
        <f>IF(AND(CS$5-$A28&gt;=0,CS$5-$A28&lt;=19),INDEX(HU_ord,CS$5-$A28+1)*$B28,0)</f>
        <v>0.0</v>
      </c>
      <c r="CT28" s="14">
        <f>IF(AND(CT$5-$A28&gt;=0,CT$5-$A28&lt;=19),INDEX(HU_ord,CT$5-$A28+1)*$B28,0)</f>
        <v>0.0</v>
      </c>
      <c r="CU28" s="14">
        <f>IF(AND(CU$5-$A28&gt;=0,CU$5-$A28&lt;=19),INDEX(HU_ord,CU$5-$A28+1)*$B28,0)</f>
        <v>0.0</v>
      </c>
      <c r="CV28" s="14">
        <f>IF(AND(CV$5-$A28&gt;=0,CV$5-$A28&lt;=19),INDEX(HU_ord,CV$5-$A28+1)*$B28,0)</f>
        <v>0.0</v>
      </c>
      <c r="CW28" s="14">
        <f>IF(AND(CW$5-$A28&gt;=0,CW$5-$A28&lt;=19),INDEX(HU_ord,CW$5-$A28+1)*$B28,0)</f>
        <v>0.0</v>
      </c>
      <c r="CX28" s="14">
        <f>IF(AND(CX$5-$A28&gt;=0,CX$5-$A28&lt;=19),INDEX(HU_ord,CX$5-$A28+1)*$B28,0)</f>
        <v>0.0</v>
      </c>
      <c r="CY28" s="14">
        <f>IF(AND(CY$5-$A28&gt;=0,CY$5-$A28&lt;=19),INDEX(HU_ord,CY$5-$A28+1)*$B28,0)</f>
        <v>0.0</v>
      </c>
      <c r="CZ28" s="14">
        <f>IF(AND(CZ$5-$A28&gt;=0,CZ$5-$A28&lt;=19),INDEX(HU_ord,CZ$5-$A28+1)*$B28,0)</f>
        <v>0.0</v>
      </c>
      <c r="DA28" s="14">
        <f>IF(AND(DA$5-$A28&gt;=0,DA$5-$A28&lt;=19),INDEX(HU_ord,DA$5-$A28+1)*$B28,0)</f>
        <v>0.0</v>
      </c>
      <c r="DB28" s="14">
        <f>IF(AND(DB$5-$A28&gt;=0,DB$5-$A28&lt;=19),INDEX(HU_ord,DB$5-$A28+1)*$B28,0)</f>
        <v>0.0</v>
      </c>
      <c r="DC28" s="14">
        <f>IF(AND(DC$5-$A28&gt;=0,DC$5-$A28&lt;=19),INDEX(HU_ord,DC$5-$A28+1)*$B28,0)</f>
        <v>0.0</v>
      </c>
      <c r="DD28" s="14">
        <f>IF(AND(DD$5-$A28&gt;=0,DD$5-$A28&lt;=19),INDEX(HU_ord,DD$5-$A28+1)*$B28,0)</f>
        <v>0.0</v>
      </c>
      <c r="DE28" s="14">
        <f>IF(AND(DE$5-$A28&gt;=0,DE$5-$A28&lt;=19),INDEX(HU_ord,DE$5-$A28+1)*$B28,0)</f>
        <v>0.0</v>
      </c>
      <c r="DF28" s="14">
        <f>IF(AND(DF$5-$A28&gt;=0,DF$5-$A28&lt;=19),INDEX(HU_ord,DF$5-$A28+1)*$B28,0)</f>
        <v>0.0</v>
      </c>
      <c r="DG28" s="14">
        <f>IF(AND(DG$5-$A28&gt;=0,DG$5-$A28&lt;=19),INDEX(HU_ord,DG$5-$A28+1)*$B28,0)</f>
        <v>0.0</v>
      </c>
      <c r="DH28" s="14">
        <f>IF(AND(DH$5-$A28&gt;=0,DH$5-$A28&lt;=19),INDEX(HU_ord,DH$5-$A28+1)*$B28,0)</f>
        <v>0.0</v>
      </c>
      <c r="DI28" s="14">
        <f>IF(AND(DI$5-$A28&gt;=0,DI$5-$A28&lt;=19),INDEX(HU_ord,DI$5-$A28+1)*$B28,0)</f>
        <v>0.0</v>
      </c>
    </row>
    <row r="29" spans="1:113">
      <c r="A29">
        <v>23</v>
      </c>
      <c r="B29" s="10">
        <f>Serie_horaria!N25</f>
        <v>0.0</v>
      </c>
      <c r="C29" s="14">
        <f>IF(AND(C$5-$A29&gt;=0,C$5-$A29&lt;=19),INDEX(HU_ord,C$5-$A29+1)*$B29,0)</f>
        <v>0.0</v>
      </c>
      <c r="D29" s="14">
        <f>IF(AND(D$5-$A29&gt;=0,D$5-$A29&lt;=19),INDEX(HU_ord,D$5-$A29+1)*$B29,0)</f>
        <v>0.0</v>
      </c>
      <c r="E29" s="14">
        <f>IF(AND(E$5-$A29&gt;=0,E$5-$A29&lt;=19),INDEX(HU_ord,E$5-$A29+1)*$B29,0)</f>
        <v>0.0</v>
      </c>
      <c r="F29" s="14">
        <f>IF(AND(F$5-$A29&gt;=0,F$5-$A29&lt;=19),INDEX(HU_ord,F$5-$A29+1)*$B29,0)</f>
        <v>0.0</v>
      </c>
      <c r="G29" s="14">
        <f>IF(AND(G$5-$A29&gt;=0,G$5-$A29&lt;=19),INDEX(HU_ord,G$5-$A29+1)*$B29,0)</f>
        <v>0.0</v>
      </c>
      <c r="H29" s="14">
        <f>IF(AND(H$5-$A29&gt;=0,H$5-$A29&lt;=19),INDEX(HU_ord,H$5-$A29+1)*$B29,0)</f>
        <v>0.0</v>
      </c>
      <c r="I29" s="14">
        <f>IF(AND(I$5-$A29&gt;=0,I$5-$A29&lt;=19),INDEX(HU_ord,I$5-$A29+1)*$B29,0)</f>
        <v>0.0</v>
      </c>
      <c r="J29" s="14">
        <f>IF(AND(J$5-$A29&gt;=0,J$5-$A29&lt;=19),INDEX(HU_ord,J$5-$A29+1)*$B29,0)</f>
        <v>0.0</v>
      </c>
      <c r="K29" s="14">
        <f>IF(AND(K$5-$A29&gt;=0,K$5-$A29&lt;=19),INDEX(HU_ord,K$5-$A29+1)*$B29,0)</f>
        <v>0.0</v>
      </c>
      <c r="L29" s="14">
        <f>IF(AND(L$5-$A29&gt;=0,L$5-$A29&lt;=19),INDEX(HU_ord,L$5-$A29+1)*$B29,0)</f>
        <v>0.0</v>
      </c>
      <c r="M29" s="14">
        <f>IF(AND(M$5-$A29&gt;=0,M$5-$A29&lt;=19),INDEX(HU_ord,M$5-$A29+1)*$B29,0)</f>
        <v>0.0</v>
      </c>
      <c r="N29" s="14">
        <f>IF(AND(N$5-$A29&gt;=0,N$5-$A29&lt;=19),INDEX(HU_ord,N$5-$A29+1)*$B29,0)</f>
        <v>0.0</v>
      </c>
      <c r="O29" s="14">
        <f>IF(AND(O$5-$A29&gt;=0,O$5-$A29&lt;=19),INDEX(HU_ord,O$5-$A29+1)*$B29,0)</f>
        <v>0.0</v>
      </c>
      <c r="P29" s="14">
        <f>IF(AND(P$5-$A29&gt;=0,P$5-$A29&lt;=19),INDEX(HU_ord,P$5-$A29+1)*$B29,0)</f>
        <v>0.0</v>
      </c>
      <c r="Q29" s="14">
        <f>IF(AND(Q$5-$A29&gt;=0,Q$5-$A29&lt;=19),INDEX(HU_ord,Q$5-$A29+1)*$B29,0)</f>
        <v>0.0</v>
      </c>
      <c r="R29" s="14">
        <f>IF(AND(R$5-$A29&gt;=0,R$5-$A29&lt;=19),INDEX(HU_ord,R$5-$A29+1)*$B29,0)</f>
        <v>0.0</v>
      </c>
      <c r="S29" s="14">
        <f>IF(AND(S$5-$A29&gt;=0,S$5-$A29&lt;=19),INDEX(HU_ord,S$5-$A29+1)*$B29,0)</f>
        <v>0.0</v>
      </c>
      <c r="T29" s="14">
        <f>IF(AND(T$5-$A29&gt;=0,T$5-$A29&lt;=19),INDEX(HU_ord,T$5-$A29+1)*$B29,0)</f>
        <v>0.0</v>
      </c>
      <c r="U29" s="14">
        <f>IF(AND(U$5-$A29&gt;=0,U$5-$A29&lt;=19),INDEX(HU_ord,U$5-$A29+1)*$B29,0)</f>
        <v>0.0</v>
      </c>
      <c r="V29" s="14">
        <f>IF(AND(V$5-$A29&gt;=0,V$5-$A29&lt;=19),INDEX(HU_ord,V$5-$A29+1)*$B29,0)</f>
        <v>0.0</v>
      </c>
      <c r="W29" s="14">
        <f>IF(AND(W$5-$A29&gt;=0,W$5-$A29&lt;=19),INDEX(HU_ord,W$5-$A29+1)*$B29,0)</f>
        <v>0.0</v>
      </c>
      <c r="X29" s="14">
        <f>IF(AND(X$5-$A29&gt;=0,X$5-$A29&lt;=19),INDEX(HU_ord,X$5-$A29+1)*$B29,0)</f>
        <v>0.0</v>
      </c>
      <c r="Y29" s="14">
        <f>IF(AND(Y$5-$A29&gt;=0,Y$5-$A29&lt;=19),INDEX(HU_ord,Y$5-$A29+1)*$B29,0)</f>
        <v>0.0</v>
      </c>
      <c r="Z29" s="14">
        <f>IF(AND(Z$5-$A29&gt;=0,Z$5-$A29&lt;=19),INDEX(HU_ord,Z$5-$A29+1)*$B29,0)</f>
        <v>0.0</v>
      </c>
      <c r="AA29" s="14">
        <f>IF(AND(AA$5-$A29&gt;=0,AA$5-$A29&lt;=19),INDEX(HU_ord,AA$5-$A29+1)*$B29,0)</f>
        <v>0.0</v>
      </c>
      <c r="AB29" s="14">
        <f>IF(AND(AB$5-$A29&gt;=0,AB$5-$A29&lt;=19),INDEX(HU_ord,AB$5-$A29+1)*$B29,0)</f>
        <v>0.0</v>
      </c>
      <c r="AC29" s="14">
        <f>IF(AND(AC$5-$A29&gt;=0,AC$5-$A29&lt;=19),INDEX(HU_ord,AC$5-$A29+1)*$B29,0)</f>
        <v>0.0</v>
      </c>
      <c r="AD29" s="14">
        <f>IF(AND(AD$5-$A29&gt;=0,AD$5-$A29&lt;=19),INDEX(HU_ord,AD$5-$A29+1)*$B29,0)</f>
        <v>0.0</v>
      </c>
      <c r="AE29" s="14">
        <f>IF(AND(AE$5-$A29&gt;=0,AE$5-$A29&lt;=19),INDEX(HU_ord,AE$5-$A29+1)*$B29,0)</f>
        <v>0.0</v>
      </c>
      <c r="AF29" s="14">
        <f>IF(AND(AF$5-$A29&gt;=0,AF$5-$A29&lt;=19),INDEX(HU_ord,AF$5-$A29+1)*$B29,0)</f>
        <v>0.0</v>
      </c>
      <c r="AG29" s="14">
        <f>IF(AND(AG$5-$A29&gt;=0,AG$5-$A29&lt;=19),INDEX(HU_ord,AG$5-$A29+1)*$B29,0)</f>
        <v>0.0</v>
      </c>
      <c r="AH29" s="14">
        <f>IF(AND(AH$5-$A29&gt;=0,AH$5-$A29&lt;=19),INDEX(HU_ord,AH$5-$A29+1)*$B29,0)</f>
        <v>0.0</v>
      </c>
      <c r="AI29" s="14">
        <f>IF(AND(AI$5-$A29&gt;=0,AI$5-$A29&lt;=19),INDEX(HU_ord,AI$5-$A29+1)*$B29,0)</f>
        <v>0.0</v>
      </c>
      <c r="AJ29" s="14">
        <f>IF(AND(AJ$5-$A29&gt;=0,AJ$5-$A29&lt;=19),INDEX(HU_ord,AJ$5-$A29+1)*$B29,0)</f>
        <v>0.0</v>
      </c>
      <c r="AK29" s="14">
        <f>IF(AND(AK$5-$A29&gt;=0,AK$5-$A29&lt;=19),INDEX(HU_ord,AK$5-$A29+1)*$B29,0)</f>
        <v>0.0</v>
      </c>
      <c r="AL29" s="14">
        <f>IF(AND(AL$5-$A29&gt;=0,AL$5-$A29&lt;=19),INDEX(HU_ord,AL$5-$A29+1)*$B29,0)</f>
        <v>0.0</v>
      </c>
      <c r="AM29" s="14">
        <f>IF(AND(AM$5-$A29&gt;=0,AM$5-$A29&lt;=19),INDEX(HU_ord,AM$5-$A29+1)*$B29,0)</f>
        <v>0.0</v>
      </c>
      <c r="AN29" s="14">
        <f>IF(AND(AN$5-$A29&gt;=0,AN$5-$A29&lt;=19),INDEX(HU_ord,AN$5-$A29+1)*$B29,0)</f>
        <v>0.0</v>
      </c>
      <c r="AO29" s="14">
        <f>IF(AND(AO$5-$A29&gt;=0,AO$5-$A29&lt;=19),INDEX(HU_ord,AO$5-$A29+1)*$B29,0)</f>
        <v>0.0</v>
      </c>
      <c r="AP29" s="14">
        <f>IF(AND(AP$5-$A29&gt;=0,AP$5-$A29&lt;=19),INDEX(HU_ord,AP$5-$A29+1)*$B29,0)</f>
        <v>0.0</v>
      </c>
      <c r="AQ29" s="14">
        <f>IF(AND(AQ$5-$A29&gt;=0,AQ$5-$A29&lt;=19),INDEX(HU_ord,AQ$5-$A29+1)*$B29,0)</f>
        <v>0.0</v>
      </c>
      <c r="AR29" s="14">
        <f>IF(AND(AR$5-$A29&gt;=0,AR$5-$A29&lt;=19),INDEX(HU_ord,AR$5-$A29+1)*$B29,0)</f>
        <v>0.0</v>
      </c>
      <c r="AS29" s="14">
        <f>IF(AND(AS$5-$A29&gt;=0,AS$5-$A29&lt;=19),INDEX(HU_ord,AS$5-$A29+1)*$B29,0)</f>
        <v>0.0</v>
      </c>
      <c r="AT29" s="14">
        <f>IF(AND(AT$5-$A29&gt;=0,AT$5-$A29&lt;=19),INDEX(HU_ord,AT$5-$A29+1)*$B29,0)</f>
        <v>0.0</v>
      </c>
      <c r="AU29" s="14">
        <f>IF(AND(AU$5-$A29&gt;=0,AU$5-$A29&lt;=19),INDEX(HU_ord,AU$5-$A29+1)*$B29,0)</f>
        <v>0.0</v>
      </c>
      <c r="AV29" s="14">
        <f>IF(AND(AV$5-$A29&gt;=0,AV$5-$A29&lt;=19),INDEX(HU_ord,AV$5-$A29+1)*$B29,0)</f>
        <v>0.0</v>
      </c>
      <c r="AW29" s="14">
        <f>IF(AND(AW$5-$A29&gt;=0,AW$5-$A29&lt;=19),INDEX(HU_ord,AW$5-$A29+1)*$B29,0)</f>
        <v>0.0</v>
      </c>
      <c r="AX29" s="14">
        <f>IF(AND(AX$5-$A29&gt;=0,AX$5-$A29&lt;=19),INDEX(HU_ord,AX$5-$A29+1)*$B29,0)</f>
        <v>0.0</v>
      </c>
      <c r="AY29" s="14">
        <f>IF(AND(AY$5-$A29&gt;=0,AY$5-$A29&lt;=19),INDEX(HU_ord,AY$5-$A29+1)*$B29,0)</f>
        <v>0.0</v>
      </c>
      <c r="AZ29" s="14">
        <f>IF(AND(AZ$5-$A29&gt;=0,AZ$5-$A29&lt;=19),INDEX(HU_ord,AZ$5-$A29+1)*$B29,0)</f>
        <v>0.0</v>
      </c>
      <c r="BA29" s="14">
        <f>IF(AND(BA$5-$A29&gt;=0,BA$5-$A29&lt;=19),INDEX(HU_ord,BA$5-$A29+1)*$B29,0)</f>
        <v>0.0</v>
      </c>
      <c r="BB29" s="14">
        <f>IF(AND(BB$5-$A29&gt;=0,BB$5-$A29&lt;=19),INDEX(HU_ord,BB$5-$A29+1)*$B29,0)</f>
        <v>0.0</v>
      </c>
      <c r="BC29" s="14">
        <f>IF(AND(BC$5-$A29&gt;=0,BC$5-$A29&lt;=19),INDEX(HU_ord,BC$5-$A29+1)*$B29,0)</f>
        <v>0.0</v>
      </c>
      <c r="BD29" s="14">
        <f>IF(AND(BD$5-$A29&gt;=0,BD$5-$A29&lt;=19),INDEX(HU_ord,BD$5-$A29+1)*$B29,0)</f>
        <v>0.0</v>
      </c>
      <c r="BE29" s="14">
        <f>IF(AND(BE$5-$A29&gt;=0,BE$5-$A29&lt;=19),INDEX(HU_ord,BE$5-$A29+1)*$B29,0)</f>
        <v>0.0</v>
      </c>
      <c r="BF29" s="14">
        <f>IF(AND(BF$5-$A29&gt;=0,BF$5-$A29&lt;=19),INDEX(HU_ord,BF$5-$A29+1)*$B29,0)</f>
        <v>0.0</v>
      </c>
      <c r="BG29" s="14">
        <f>IF(AND(BG$5-$A29&gt;=0,BG$5-$A29&lt;=19),INDEX(HU_ord,BG$5-$A29+1)*$B29,0)</f>
        <v>0.0</v>
      </c>
      <c r="BH29" s="14">
        <f>IF(AND(BH$5-$A29&gt;=0,BH$5-$A29&lt;=19),INDEX(HU_ord,BH$5-$A29+1)*$B29,0)</f>
        <v>0.0</v>
      </c>
      <c r="BI29" s="14">
        <f>IF(AND(BI$5-$A29&gt;=0,BI$5-$A29&lt;=19),INDEX(HU_ord,BI$5-$A29+1)*$B29,0)</f>
        <v>0.0</v>
      </c>
      <c r="BJ29" s="14">
        <f>IF(AND(BJ$5-$A29&gt;=0,BJ$5-$A29&lt;=19),INDEX(HU_ord,BJ$5-$A29+1)*$B29,0)</f>
        <v>0.0</v>
      </c>
      <c r="BK29" s="14">
        <f>IF(AND(BK$5-$A29&gt;=0,BK$5-$A29&lt;=19),INDEX(HU_ord,BK$5-$A29+1)*$B29,0)</f>
        <v>0.0</v>
      </c>
      <c r="BL29" s="14">
        <f>IF(AND(BL$5-$A29&gt;=0,BL$5-$A29&lt;=19),INDEX(HU_ord,BL$5-$A29+1)*$B29,0)</f>
        <v>0.0</v>
      </c>
      <c r="BM29" s="14">
        <f>IF(AND(BM$5-$A29&gt;=0,BM$5-$A29&lt;=19),INDEX(HU_ord,BM$5-$A29+1)*$B29,0)</f>
        <v>0.0</v>
      </c>
      <c r="BN29" s="14">
        <f>IF(AND(BN$5-$A29&gt;=0,BN$5-$A29&lt;=19),INDEX(HU_ord,BN$5-$A29+1)*$B29,0)</f>
        <v>0.0</v>
      </c>
      <c r="BO29" s="14">
        <f>IF(AND(BO$5-$A29&gt;=0,BO$5-$A29&lt;=19),INDEX(HU_ord,BO$5-$A29+1)*$B29,0)</f>
        <v>0.0</v>
      </c>
      <c r="BP29" s="14">
        <f>IF(AND(BP$5-$A29&gt;=0,BP$5-$A29&lt;=19),INDEX(HU_ord,BP$5-$A29+1)*$B29,0)</f>
        <v>0.0</v>
      </c>
      <c r="BQ29" s="14">
        <f>IF(AND(BQ$5-$A29&gt;=0,BQ$5-$A29&lt;=19),INDEX(HU_ord,BQ$5-$A29+1)*$B29,0)</f>
        <v>0.0</v>
      </c>
      <c r="BR29" s="14">
        <f>IF(AND(BR$5-$A29&gt;=0,BR$5-$A29&lt;=19),INDEX(HU_ord,BR$5-$A29+1)*$B29,0)</f>
        <v>0.0</v>
      </c>
      <c r="BS29" s="14">
        <f>IF(AND(BS$5-$A29&gt;=0,BS$5-$A29&lt;=19),INDEX(HU_ord,BS$5-$A29+1)*$B29,0)</f>
        <v>0.0</v>
      </c>
      <c r="BT29" s="14">
        <f>IF(AND(BT$5-$A29&gt;=0,BT$5-$A29&lt;=19),INDEX(HU_ord,BT$5-$A29+1)*$B29,0)</f>
        <v>0.0</v>
      </c>
      <c r="BU29" s="14">
        <f>IF(AND(BU$5-$A29&gt;=0,BU$5-$A29&lt;=19),INDEX(HU_ord,BU$5-$A29+1)*$B29,0)</f>
        <v>0.0</v>
      </c>
      <c r="BV29" s="14">
        <f>IF(AND(BV$5-$A29&gt;=0,BV$5-$A29&lt;=19),INDEX(HU_ord,BV$5-$A29+1)*$B29,0)</f>
        <v>0.0</v>
      </c>
      <c r="BW29" s="14">
        <f>IF(AND(BW$5-$A29&gt;=0,BW$5-$A29&lt;=19),INDEX(HU_ord,BW$5-$A29+1)*$B29,0)</f>
        <v>0.0</v>
      </c>
      <c r="BX29" s="14">
        <f>IF(AND(BX$5-$A29&gt;=0,BX$5-$A29&lt;=19),INDEX(HU_ord,BX$5-$A29+1)*$B29,0)</f>
        <v>0.0</v>
      </c>
      <c r="BY29" s="14">
        <f>IF(AND(BY$5-$A29&gt;=0,BY$5-$A29&lt;=19),INDEX(HU_ord,BY$5-$A29+1)*$B29,0)</f>
        <v>0.0</v>
      </c>
      <c r="BZ29" s="14">
        <f>IF(AND(BZ$5-$A29&gt;=0,BZ$5-$A29&lt;=19),INDEX(HU_ord,BZ$5-$A29+1)*$B29,0)</f>
        <v>0.0</v>
      </c>
      <c r="CA29" s="14">
        <f>IF(AND(CA$5-$A29&gt;=0,CA$5-$A29&lt;=19),INDEX(HU_ord,CA$5-$A29+1)*$B29,0)</f>
        <v>0.0</v>
      </c>
      <c r="CB29" s="14">
        <f>IF(AND(CB$5-$A29&gt;=0,CB$5-$A29&lt;=19),INDEX(HU_ord,CB$5-$A29+1)*$B29,0)</f>
        <v>0.0</v>
      </c>
      <c r="CC29" s="14">
        <f>IF(AND(CC$5-$A29&gt;=0,CC$5-$A29&lt;=19),INDEX(HU_ord,CC$5-$A29+1)*$B29,0)</f>
        <v>0.0</v>
      </c>
      <c r="CD29" s="14">
        <f>IF(AND(CD$5-$A29&gt;=0,CD$5-$A29&lt;=19),INDEX(HU_ord,CD$5-$A29+1)*$B29,0)</f>
        <v>0.0</v>
      </c>
      <c r="CE29" s="14">
        <f>IF(AND(CE$5-$A29&gt;=0,CE$5-$A29&lt;=19),INDEX(HU_ord,CE$5-$A29+1)*$B29,0)</f>
        <v>0.0</v>
      </c>
      <c r="CF29" s="14">
        <f>IF(AND(CF$5-$A29&gt;=0,CF$5-$A29&lt;=19),INDEX(HU_ord,CF$5-$A29+1)*$B29,0)</f>
        <v>0.0</v>
      </c>
      <c r="CG29" s="14">
        <f>IF(AND(CG$5-$A29&gt;=0,CG$5-$A29&lt;=19),INDEX(HU_ord,CG$5-$A29+1)*$B29,0)</f>
        <v>0.0</v>
      </c>
      <c r="CH29" s="14">
        <f>IF(AND(CH$5-$A29&gt;=0,CH$5-$A29&lt;=19),INDEX(HU_ord,CH$5-$A29+1)*$B29,0)</f>
        <v>0.0</v>
      </c>
      <c r="CI29" s="14">
        <f>IF(AND(CI$5-$A29&gt;=0,CI$5-$A29&lt;=19),INDEX(HU_ord,CI$5-$A29+1)*$B29,0)</f>
        <v>0.0</v>
      </c>
      <c r="CJ29" s="14">
        <f>IF(AND(CJ$5-$A29&gt;=0,CJ$5-$A29&lt;=19),INDEX(HU_ord,CJ$5-$A29+1)*$B29,0)</f>
        <v>0.0</v>
      </c>
      <c r="CK29" s="14">
        <f>IF(AND(CK$5-$A29&gt;=0,CK$5-$A29&lt;=19),INDEX(HU_ord,CK$5-$A29+1)*$B29,0)</f>
        <v>0.0</v>
      </c>
      <c r="CL29" s="14">
        <f>IF(AND(CL$5-$A29&gt;=0,CL$5-$A29&lt;=19),INDEX(HU_ord,CL$5-$A29+1)*$B29,0)</f>
        <v>0.0</v>
      </c>
      <c r="CM29" s="14">
        <f>IF(AND(CM$5-$A29&gt;=0,CM$5-$A29&lt;=19),INDEX(HU_ord,CM$5-$A29+1)*$B29,0)</f>
        <v>0.0</v>
      </c>
      <c r="CN29" s="14">
        <f>IF(AND(CN$5-$A29&gt;=0,CN$5-$A29&lt;=19),INDEX(HU_ord,CN$5-$A29+1)*$B29,0)</f>
        <v>0.0</v>
      </c>
      <c r="CO29" s="14">
        <f>IF(AND(CO$5-$A29&gt;=0,CO$5-$A29&lt;=19),INDEX(HU_ord,CO$5-$A29+1)*$B29,0)</f>
        <v>0.0</v>
      </c>
      <c r="CP29" s="14">
        <f>IF(AND(CP$5-$A29&gt;=0,CP$5-$A29&lt;=19),INDEX(HU_ord,CP$5-$A29+1)*$B29,0)</f>
        <v>0.0</v>
      </c>
      <c r="CQ29" s="14">
        <f>IF(AND(CQ$5-$A29&gt;=0,CQ$5-$A29&lt;=19),INDEX(HU_ord,CQ$5-$A29+1)*$B29,0)</f>
        <v>0.0</v>
      </c>
      <c r="CR29" s="14">
        <f>IF(AND(CR$5-$A29&gt;=0,CR$5-$A29&lt;=19),INDEX(HU_ord,CR$5-$A29+1)*$B29,0)</f>
        <v>0.0</v>
      </c>
      <c r="CS29" s="14">
        <f>IF(AND(CS$5-$A29&gt;=0,CS$5-$A29&lt;=19),INDEX(HU_ord,CS$5-$A29+1)*$B29,0)</f>
        <v>0.0</v>
      </c>
      <c r="CT29" s="14">
        <f>IF(AND(CT$5-$A29&gt;=0,CT$5-$A29&lt;=19),INDEX(HU_ord,CT$5-$A29+1)*$B29,0)</f>
        <v>0.0</v>
      </c>
      <c r="CU29" s="14">
        <f>IF(AND(CU$5-$A29&gt;=0,CU$5-$A29&lt;=19),INDEX(HU_ord,CU$5-$A29+1)*$B29,0)</f>
        <v>0.0</v>
      </c>
      <c r="CV29" s="14">
        <f>IF(AND(CV$5-$A29&gt;=0,CV$5-$A29&lt;=19),INDEX(HU_ord,CV$5-$A29+1)*$B29,0)</f>
        <v>0.0</v>
      </c>
      <c r="CW29" s="14">
        <f>IF(AND(CW$5-$A29&gt;=0,CW$5-$A29&lt;=19),INDEX(HU_ord,CW$5-$A29+1)*$B29,0)</f>
        <v>0.0</v>
      </c>
      <c r="CX29" s="14">
        <f>IF(AND(CX$5-$A29&gt;=0,CX$5-$A29&lt;=19),INDEX(HU_ord,CX$5-$A29+1)*$B29,0)</f>
        <v>0.0</v>
      </c>
      <c r="CY29" s="14">
        <f>IF(AND(CY$5-$A29&gt;=0,CY$5-$A29&lt;=19),INDEX(HU_ord,CY$5-$A29+1)*$B29,0)</f>
        <v>0.0</v>
      </c>
      <c r="CZ29" s="14">
        <f>IF(AND(CZ$5-$A29&gt;=0,CZ$5-$A29&lt;=19),INDEX(HU_ord,CZ$5-$A29+1)*$B29,0)</f>
        <v>0.0</v>
      </c>
      <c r="DA29" s="14">
        <f>IF(AND(DA$5-$A29&gt;=0,DA$5-$A29&lt;=19),INDEX(HU_ord,DA$5-$A29+1)*$B29,0)</f>
        <v>0.0</v>
      </c>
      <c r="DB29" s="14">
        <f>IF(AND(DB$5-$A29&gt;=0,DB$5-$A29&lt;=19),INDEX(HU_ord,DB$5-$A29+1)*$B29,0)</f>
        <v>0.0</v>
      </c>
      <c r="DC29" s="14">
        <f>IF(AND(DC$5-$A29&gt;=0,DC$5-$A29&lt;=19),INDEX(HU_ord,DC$5-$A29+1)*$B29,0)</f>
        <v>0.0</v>
      </c>
      <c r="DD29" s="14">
        <f>IF(AND(DD$5-$A29&gt;=0,DD$5-$A29&lt;=19),INDEX(HU_ord,DD$5-$A29+1)*$B29,0)</f>
        <v>0.0</v>
      </c>
      <c r="DE29" s="14">
        <f>IF(AND(DE$5-$A29&gt;=0,DE$5-$A29&lt;=19),INDEX(HU_ord,DE$5-$A29+1)*$B29,0)</f>
        <v>0.0</v>
      </c>
      <c r="DF29" s="14">
        <f>IF(AND(DF$5-$A29&gt;=0,DF$5-$A29&lt;=19),INDEX(HU_ord,DF$5-$A29+1)*$B29,0)</f>
        <v>0.0</v>
      </c>
      <c r="DG29" s="14">
        <f>IF(AND(DG$5-$A29&gt;=0,DG$5-$A29&lt;=19),INDEX(HU_ord,DG$5-$A29+1)*$B29,0)</f>
        <v>0.0</v>
      </c>
      <c r="DH29" s="14">
        <f>IF(AND(DH$5-$A29&gt;=0,DH$5-$A29&lt;=19),INDEX(HU_ord,DH$5-$A29+1)*$B29,0)</f>
        <v>0.0</v>
      </c>
      <c r="DI29" s="14">
        <f>IF(AND(DI$5-$A29&gt;=0,DI$5-$A29&lt;=19),INDEX(HU_ord,DI$5-$A29+1)*$B29,0)</f>
        <v>0.0</v>
      </c>
    </row>
    <row r="30" spans="1:113">
      <c r="A30">
        <v>24</v>
      </c>
      <c r="B30" s="10">
        <f>Serie_horaria!N26</f>
        <v>0.0</v>
      </c>
      <c r="C30" s="14">
        <f>IF(AND(C$5-$A30&gt;=0,C$5-$A30&lt;=19),INDEX(HU_ord,C$5-$A30+1)*$B30,0)</f>
        <v>0.0</v>
      </c>
      <c r="D30" s="14">
        <f>IF(AND(D$5-$A30&gt;=0,D$5-$A30&lt;=19),INDEX(HU_ord,D$5-$A30+1)*$B30,0)</f>
        <v>0.0</v>
      </c>
      <c r="E30" s="14">
        <f>IF(AND(E$5-$A30&gt;=0,E$5-$A30&lt;=19),INDEX(HU_ord,E$5-$A30+1)*$B30,0)</f>
        <v>0.0</v>
      </c>
      <c r="F30" s="14">
        <f>IF(AND(F$5-$A30&gt;=0,F$5-$A30&lt;=19),INDEX(HU_ord,F$5-$A30+1)*$B30,0)</f>
        <v>0.0</v>
      </c>
      <c r="G30" s="14">
        <f>IF(AND(G$5-$A30&gt;=0,G$5-$A30&lt;=19),INDEX(HU_ord,G$5-$A30+1)*$B30,0)</f>
        <v>0.0</v>
      </c>
      <c r="H30" s="14">
        <f>IF(AND(H$5-$A30&gt;=0,H$5-$A30&lt;=19),INDEX(HU_ord,H$5-$A30+1)*$B30,0)</f>
        <v>0.0</v>
      </c>
      <c r="I30" s="14">
        <f>IF(AND(I$5-$A30&gt;=0,I$5-$A30&lt;=19),INDEX(HU_ord,I$5-$A30+1)*$B30,0)</f>
        <v>0.0</v>
      </c>
      <c r="J30" s="14">
        <f>IF(AND(J$5-$A30&gt;=0,J$5-$A30&lt;=19),INDEX(HU_ord,J$5-$A30+1)*$B30,0)</f>
        <v>0.0</v>
      </c>
      <c r="K30" s="14">
        <f>IF(AND(K$5-$A30&gt;=0,K$5-$A30&lt;=19),INDEX(HU_ord,K$5-$A30+1)*$B30,0)</f>
        <v>0.0</v>
      </c>
      <c r="L30" s="14">
        <f>IF(AND(L$5-$A30&gt;=0,L$5-$A30&lt;=19),INDEX(HU_ord,L$5-$A30+1)*$B30,0)</f>
        <v>0.0</v>
      </c>
      <c r="M30" s="14">
        <f>IF(AND(M$5-$A30&gt;=0,M$5-$A30&lt;=19),INDEX(HU_ord,M$5-$A30+1)*$B30,0)</f>
        <v>0.0</v>
      </c>
      <c r="N30" s="14">
        <f>IF(AND(N$5-$A30&gt;=0,N$5-$A30&lt;=19),INDEX(HU_ord,N$5-$A30+1)*$B30,0)</f>
        <v>0.0</v>
      </c>
      <c r="O30" s="14">
        <f>IF(AND(O$5-$A30&gt;=0,O$5-$A30&lt;=19),INDEX(HU_ord,O$5-$A30+1)*$B30,0)</f>
        <v>0.0</v>
      </c>
      <c r="P30" s="14">
        <f>IF(AND(P$5-$A30&gt;=0,P$5-$A30&lt;=19),INDEX(HU_ord,P$5-$A30+1)*$B30,0)</f>
        <v>0.0</v>
      </c>
      <c r="Q30" s="14">
        <f>IF(AND(Q$5-$A30&gt;=0,Q$5-$A30&lt;=19),INDEX(HU_ord,Q$5-$A30+1)*$B30,0)</f>
        <v>0.0</v>
      </c>
      <c r="R30" s="14">
        <f>IF(AND(R$5-$A30&gt;=0,R$5-$A30&lt;=19),INDEX(HU_ord,R$5-$A30+1)*$B30,0)</f>
        <v>0.0</v>
      </c>
      <c r="S30" s="14">
        <f>IF(AND(S$5-$A30&gt;=0,S$5-$A30&lt;=19),INDEX(HU_ord,S$5-$A30+1)*$B30,0)</f>
        <v>0.0</v>
      </c>
      <c r="T30" s="14">
        <f>IF(AND(T$5-$A30&gt;=0,T$5-$A30&lt;=19),INDEX(HU_ord,T$5-$A30+1)*$B30,0)</f>
        <v>0.0</v>
      </c>
      <c r="U30" s="14">
        <f>IF(AND(U$5-$A30&gt;=0,U$5-$A30&lt;=19),INDEX(HU_ord,U$5-$A30+1)*$B30,0)</f>
        <v>0.0</v>
      </c>
      <c r="V30" s="14">
        <f>IF(AND(V$5-$A30&gt;=0,V$5-$A30&lt;=19),INDEX(HU_ord,V$5-$A30+1)*$B30,0)</f>
        <v>0.0</v>
      </c>
      <c r="W30" s="14">
        <f>IF(AND(W$5-$A30&gt;=0,W$5-$A30&lt;=19),INDEX(HU_ord,W$5-$A30+1)*$B30,0)</f>
        <v>0.0</v>
      </c>
      <c r="X30" s="14">
        <f>IF(AND(X$5-$A30&gt;=0,X$5-$A30&lt;=19),INDEX(HU_ord,X$5-$A30+1)*$B30,0)</f>
        <v>0.0</v>
      </c>
      <c r="Y30" s="14">
        <f>IF(AND(Y$5-$A30&gt;=0,Y$5-$A30&lt;=19),INDEX(HU_ord,Y$5-$A30+1)*$B30,0)</f>
        <v>0.0</v>
      </c>
      <c r="Z30" s="14">
        <f>IF(AND(Z$5-$A30&gt;=0,Z$5-$A30&lt;=19),INDEX(HU_ord,Z$5-$A30+1)*$B30,0)</f>
        <v>0.0</v>
      </c>
      <c r="AA30" s="14">
        <f>IF(AND(AA$5-$A30&gt;=0,AA$5-$A30&lt;=19),INDEX(HU_ord,AA$5-$A30+1)*$B30,0)</f>
        <v>0.0</v>
      </c>
      <c r="AB30" s="14">
        <f>IF(AND(AB$5-$A30&gt;=0,AB$5-$A30&lt;=19),INDEX(HU_ord,AB$5-$A30+1)*$B30,0)</f>
        <v>0.0</v>
      </c>
      <c r="AC30" s="14">
        <f>IF(AND(AC$5-$A30&gt;=0,AC$5-$A30&lt;=19),INDEX(HU_ord,AC$5-$A30+1)*$B30,0)</f>
        <v>0.0</v>
      </c>
      <c r="AD30" s="14">
        <f>IF(AND(AD$5-$A30&gt;=0,AD$5-$A30&lt;=19),INDEX(HU_ord,AD$5-$A30+1)*$B30,0)</f>
        <v>0.0</v>
      </c>
      <c r="AE30" s="14">
        <f>IF(AND(AE$5-$A30&gt;=0,AE$5-$A30&lt;=19),INDEX(HU_ord,AE$5-$A30+1)*$B30,0)</f>
        <v>0.0</v>
      </c>
      <c r="AF30" s="14">
        <f>IF(AND(AF$5-$A30&gt;=0,AF$5-$A30&lt;=19),INDEX(HU_ord,AF$5-$A30+1)*$B30,0)</f>
        <v>0.0</v>
      </c>
      <c r="AG30" s="14">
        <f>IF(AND(AG$5-$A30&gt;=0,AG$5-$A30&lt;=19),INDEX(HU_ord,AG$5-$A30+1)*$B30,0)</f>
        <v>0.0</v>
      </c>
      <c r="AH30" s="14">
        <f>IF(AND(AH$5-$A30&gt;=0,AH$5-$A30&lt;=19),INDEX(HU_ord,AH$5-$A30+1)*$B30,0)</f>
        <v>0.0</v>
      </c>
      <c r="AI30" s="14">
        <f>IF(AND(AI$5-$A30&gt;=0,AI$5-$A30&lt;=19),INDEX(HU_ord,AI$5-$A30+1)*$B30,0)</f>
        <v>0.0</v>
      </c>
      <c r="AJ30" s="14">
        <f>IF(AND(AJ$5-$A30&gt;=0,AJ$5-$A30&lt;=19),INDEX(HU_ord,AJ$5-$A30+1)*$B30,0)</f>
        <v>0.0</v>
      </c>
      <c r="AK30" s="14">
        <f>IF(AND(AK$5-$A30&gt;=0,AK$5-$A30&lt;=19),INDEX(HU_ord,AK$5-$A30+1)*$B30,0)</f>
        <v>0.0</v>
      </c>
      <c r="AL30" s="14">
        <f>IF(AND(AL$5-$A30&gt;=0,AL$5-$A30&lt;=19),INDEX(HU_ord,AL$5-$A30+1)*$B30,0)</f>
        <v>0.0</v>
      </c>
      <c r="AM30" s="14">
        <f>IF(AND(AM$5-$A30&gt;=0,AM$5-$A30&lt;=19),INDEX(HU_ord,AM$5-$A30+1)*$B30,0)</f>
        <v>0.0</v>
      </c>
      <c r="AN30" s="14">
        <f>IF(AND(AN$5-$A30&gt;=0,AN$5-$A30&lt;=19),INDEX(HU_ord,AN$5-$A30+1)*$B30,0)</f>
        <v>0.0</v>
      </c>
      <c r="AO30" s="14">
        <f>IF(AND(AO$5-$A30&gt;=0,AO$5-$A30&lt;=19),INDEX(HU_ord,AO$5-$A30+1)*$B30,0)</f>
        <v>0.0</v>
      </c>
      <c r="AP30" s="14">
        <f>IF(AND(AP$5-$A30&gt;=0,AP$5-$A30&lt;=19),INDEX(HU_ord,AP$5-$A30+1)*$B30,0)</f>
        <v>0.0</v>
      </c>
      <c r="AQ30" s="14">
        <f>IF(AND(AQ$5-$A30&gt;=0,AQ$5-$A30&lt;=19),INDEX(HU_ord,AQ$5-$A30+1)*$B30,0)</f>
        <v>0.0</v>
      </c>
      <c r="AR30" s="14">
        <f>IF(AND(AR$5-$A30&gt;=0,AR$5-$A30&lt;=19),INDEX(HU_ord,AR$5-$A30+1)*$B30,0)</f>
        <v>0.0</v>
      </c>
      <c r="AS30" s="14">
        <f>IF(AND(AS$5-$A30&gt;=0,AS$5-$A30&lt;=19),INDEX(HU_ord,AS$5-$A30+1)*$B30,0)</f>
        <v>0.0</v>
      </c>
      <c r="AT30" s="14">
        <f>IF(AND(AT$5-$A30&gt;=0,AT$5-$A30&lt;=19),INDEX(HU_ord,AT$5-$A30+1)*$B30,0)</f>
        <v>0.0</v>
      </c>
      <c r="AU30" s="14">
        <f>IF(AND(AU$5-$A30&gt;=0,AU$5-$A30&lt;=19),INDEX(HU_ord,AU$5-$A30+1)*$B30,0)</f>
        <v>0.0</v>
      </c>
      <c r="AV30" s="14">
        <f>IF(AND(AV$5-$A30&gt;=0,AV$5-$A30&lt;=19),INDEX(HU_ord,AV$5-$A30+1)*$B30,0)</f>
        <v>0.0</v>
      </c>
      <c r="AW30" s="14">
        <f>IF(AND(AW$5-$A30&gt;=0,AW$5-$A30&lt;=19),INDEX(HU_ord,AW$5-$A30+1)*$B30,0)</f>
        <v>0.0</v>
      </c>
      <c r="AX30" s="14">
        <f>IF(AND(AX$5-$A30&gt;=0,AX$5-$A30&lt;=19),INDEX(HU_ord,AX$5-$A30+1)*$B30,0)</f>
        <v>0.0</v>
      </c>
      <c r="AY30" s="14">
        <f>IF(AND(AY$5-$A30&gt;=0,AY$5-$A30&lt;=19),INDEX(HU_ord,AY$5-$A30+1)*$B30,0)</f>
        <v>0.0</v>
      </c>
      <c r="AZ30" s="14">
        <f>IF(AND(AZ$5-$A30&gt;=0,AZ$5-$A30&lt;=19),INDEX(HU_ord,AZ$5-$A30+1)*$B30,0)</f>
        <v>0.0</v>
      </c>
      <c r="BA30" s="14">
        <f>IF(AND(BA$5-$A30&gt;=0,BA$5-$A30&lt;=19),INDEX(HU_ord,BA$5-$A30+1)*$B30,0)</f>
        <v>0.0</v>
      </c>
      <c r="BB30" s="14">
        <f>IF(AND(BB$5-$A30&gt;=0,BB$5-$A30&lt;=19),INDEX(HU_ord,BB$5-$A30+1)*$B30,0)</f>
        <v>0.0</v>
      </c>
      <c r="BC30" s="14">
        <f>IF(AND(BC$5-$A30&gt;=0,BC$5-$A30&lt;=19),INDEX(HU_ord,BC$5-$A30+1)*$B30,0)</f>
        <v>0.0</v>
      </c>
      <c r="BD30" s="14">
        <f>IF(AND(BD$5-$A30&gt;=0,BD$5-$A30&lt;=19),INDEX(HU_ord,BD$5-$A30+1)*$B30,0)</f>
        <v>0.0</v>
      </c>
      <c r="BE30" s="14">
        <f>IF(AND(BE$5-$A30&gt;=0,BE$5-$A30&lt;=19),INDEX(HU_ord,BE$5-$A30+1)*$B30,0)</f>
        <v>0.0</v>
      </c>
      <c r="BF30" s="14">
        <f>IF(AND(BF$5-$A30&gt;=0,BF$5-$A30&lt;=19),INDEX(HU_ord,BF$5-$A30+1)*$B30,0)</f>
        <v>0.0</v>
      </c>
      <c r="BG30" s="14">
        <f>IF(AND(BG$5-$A30&gt;=0,BG$5-$A30&lt;=19),INDEX(HU_ord,BG$5-$A30+1)*$B30,0)</f>
        <v>0.0</v>
      </c>
      <c r="BH30" s="14">
        <f>IF(AND(BH$5-$A30&gt;=0,BH$5-$A30&lt;=19),INDEX(HU_ord,BH$5-$A30+1)*$B30,0)</f>
        <v>0.0</v>
      </c>
      <c r="BI30" s="14">
        <f>IF(AND(BI$5-$A30&gt;=0,BI$5-$A30&lt;=19),INDEX(HU_ord,BI$5-$A30+1)*$B30,0)</f>
        <v>0.0</v>
      </c>
      <c r="BJ30" s="14">
        <f>IF(AND(BJ$5-$A30&gt;=0,BJ$5-$A30&lt;=19),INDEX(HU_ord,BJ$5-$A30+1)*$B30,0)</f>
        <v>0.0</v>
      </c>
      <c r="BK30" s="14">
        <f>IF(AND(BK$5-$A30&gt;=0,BK$5-$A30&lt;=19),INDEX(HU_ord,BK$5-$A30+1)*$B30,0)</f>
        <v>0.0</v>
      </c>
      <c r="BL30" s="14">
        <f>IF(AND(BL$5-$A30&gt;=0,BL$5-$A30&lt;=19),INDEX(HU_ord,BL$5-$A30+1)*$B30,0)</f>
        <v>0.0</v>
      </c>
      <c r="BM30" s="14">
        <f>IF(AND(BM$5-$A30&gt;=0,BM$5-$A30&lt;=19),INDEX(HU_ord,BM$5-$A30+1)*$B30,0)</f>
        <v>0.0</v>
      </c>
      <c r="BN30" s="14">
        <f>IF(AND(BN$5-$A30&gt;=0,BN$5-$A30&lt;=19),INDEX(HU_ord,BN$5-$A30+1)*$B30,0)</f>
        <v>0.0</v>
      </c>
      <c r="BO30" s="14">
        <f>IF(AND(BO$5-$A30&gt;=0,BO$5-$A30&lt;=19),INDEX(HU_ord,BO$5-$A30+1)*$B30,0)</f>
        <v>0.0</v>
      </c>
      <c r="BP30" s="14">
        <f>IF(AND(BP$5-$A30&gt;=0,BP$5-$A30&lt;=19),INDEX(HU_ord,BP$5-$A30+1)*$B30,0)</f>
        <v>0.0</v>
      </c>
      <c r="BQ30" s="14">
        <f>IF(AND(BQ$5-$A30&gt;=0,BQ$5-$A30&lt;=19),INDEX(HU_ord,BQ$5-$A30+1)*$B30,0)</f>
        <v>0.0</v>
      </c>
      <c r="BR30" s="14">
        <f>IF(AND(BR$5-$A30&gt;=0,BR$5-$A30&lt;=19),INDEX(HU_ord,BR$5-$A30+1)*$B30,0)</f>
        <v>0.0</v>
      </c>
      <c r="BS30" s="14">
        <f>IF(AND(BS$5-$A30&gt;=0,BS$5-$A30&lt;=19),INDEX(HU_ord,BS$5-$A30+1)*$B30,0)</f>
        <v>0.0</v>
      </c>
      <c r="BT30" s="14">
        <f>IF(AND(BT$5-$A30&gt;=0,BT$5-$A30&lt;=19),INDEX(HU_ord,BT$5-$A30+1)*$B30,0)</f>
        <v>0.0</v>
      </c>
      <c r="BU30" s="14">
        <f>IF(AND(BU$5-$A30&gt;=0,BU$5-$A30&lt;=19),INDEX(HU_ord,BU$5-$A30+1)*$B30,0)</f>
        <v>0.0</v>
      </c>
      <c r="BV30" s="14">
        <f>IF(AND(BV$5-$A30&gt;=0,BV$5-$A30&lt;=19),INDEX(HU_ord,BV$5-$A30+1)*$B30,0)</f>
        <v>0.0</v>
      </c>
      <c r="BW30" s="14">
        <f>IF(AND(BW$5-$A30&gt;=0,BW$5-$A30&lt;=19),INDEX(HU_ord,BW$5-$A30+1)*$B30,0)</f>
        <v>0.0</v>
      </c>
      <c r="BX30" s="14">
        <f>IF(AND(BX$5-$A30&gt;=0,BX$5-$A30&lt;=19),INDEX(HU_ord,BX$5-$A30+1)*$B30,0)</f>
        <v>0.0</v>
      </c>
      <c r="BY30" s="14">
        <f>IF(AND(BY$5-$A30&gt;=0,BY$5-$A30&lt;=19),INDEX(HU_ord,BY$5-$A30+1)*$B30,0)</f>
        <v>0.0</v>
      </c>
      <c r="BZ30" s="14">
        <f>IF(AND(BZ$5-$A30&gt;=0,BZ$5-$A30&lt;=19),INDEX(HU_ord,BZ$5-$A30+1)*$B30,0)</f>
        <v>0.0</v>
      </c>
      <c r="CA30" s="14">
        <f>IF(AND(CA$5-$A30&gt;=0,CA$5-$A30&lt;=19),INDEX(HU_ord,CA$5-$A30+1)*$B30,0)</f>
        <v>0.0</v>
      </c>
      <c r="CB30" s="14">
        <f>IF(AND(CB$5-$A30&gt;=0,CB$5-$A30&lt;=19),INDEX(HU_ord,CB$5-$A30+1)*$B30,0)</f>
        <v>0.0</v>
      </c>
      <c r="CC30" s="14">
        <f>IF(AND(CC$5-$A30&gt;=0,CC$5-$A30&lt;=19),INDEX(HU_ord,CC$5-$A30+1)*$B30,0)</f>
        <v>0.0</v>
      </c>
      <c r="CD30" s="14">
        <f>IF(AND(CD$5-$A30&gt;=0,CD$5-$A30&lt;=19),INDEX(HU_ord,CD$5-$A30+1)*$B30,0)</f>
        <v>0.0</v>
      </c>
      <c r="CE30" s="14">
        <f>IF(AND(CE$5-$A30&gt;=0,CE$5-$A30&lt;=19),INDEX(HU_ord,CE$5-$A30+1)*$B30,0)</f>
        <v>0.0</v>
      </c>
      <c r="CF30" s="14">
        <f>IF(AND(CF$5-$A30&gt;=0,CF$5-$A30&lt;=19),INDEX(HU_ord,CF$5-$A30+1)*$B30,0)</f>
        <v>0.0</v>
      </c>
      <c r="CG30" s="14">
        <f>IF(AND(CG$5-$A30&gt;=0,CG$5-$A30&lt;=19),INDEX(HU_ord,CG$5-$A30+1)*$B30,0)</f>
        <v>0.0</v>
      </c>
      <c r="CH30" s="14">
        <f>IF(AND(CH$5-$A30&gt;=0,CH$5-$A30&lt;=19),INDEX(HU_ord,CH$5-$A30+1)*$B30,0)</f>
        <v>0.0</v>
      </c>
      <c r="CI30" s="14">
        <f>IF(AND(CI$5-$A30&gt;=0,CI$5-$A30&lt;=19),INDEX(HU_ord,CI$5-$A30+1)*$B30,0)</f>
        <v>0.0</v>
      </c>
      <c r="CJ30" s="14">
        <f>IF(AND(CJ$5-$A30&gt;=0,CJ$5-$A30&lt;=19),INDEX(HU_ord,CJ$5-$A30+1)*$B30,0)</f>
        <v>0.0</v>
      </c>
      <c r="CK30" s="14">
        <f>IF(AND(CK$5-$A30&gt;=0,CK$5-$A30&lt;=19),INDEX(HU_ord,CK$5-$A30+1)*$B30,0)</f>
        <v>0.0</v>
      </c>
      <c r="CL30" s="14">
        <f>IF(AND(CL$5-$A30&gt;=0,CL$5-$A30&lt;=19),INDEX(HU_ord,CL$5-$A30+1)*$B30,0)</f>
        <v>0.0</v>
      </c>
      <c r="CM30" s="14">
        <f>IF(AND(CM$5-$A30&gt;=0,CM$5-$A30&lt;=19),INDEX(HU_ord,CM$5-$A30+1)*$B30,0)</f>
        <v>0.0</v>
      </c>
      <c r="CN30" s="14">
        <f>IF(AND(CN$5-$A30&gt;=0,CN$5-$A30&lt;=19),INDEX(HU_ord,CN$5-$A30+1)*$B30,0)</f>
        <v>0.0</v>
      </c>
      <c r="CO30" s="14">
        <f>IF(AND(CO$5-$A30&gt;=0,CO$5-$A30&lt;=19),INDEX(HU_ord,CO$5-$A30+1)*$B30,0)</f>
        <v>0.0</v>
      </c>
      <c r="CP30" s="14">
        <f>IF(AND(CP$5-$A30&gt;=0,CP$5-$A30&lt;=19),INDEX(HU_ord,CP$5-$A30+1)*$B30,0)</f>
        <v>0.0</v>
      </c>
      <c r="CQ30" s="14">
        <f>IF(AND(CQ$5-$A30&gt;=0,CQ$5-$A30&lt;=19),INDEX(HU_ord,CQ$5-$A30+1)*$B30,0)</f>
        <v>0.0</v>
      </c>
      <c r="CR30" s="14">
        <f>IF(AND(CR$5-$A30&gt;=0,CR$5-$A30&lt;=19),INDEX(HU_ord,CR$5-$A30+1)*$B30,0)</f>
        <v>0.0</v>
      </c>
      <c r="CS30" s="14">
        <f>IF(AND(CS$5-$A30&gt;=0,CS$5-$A30&lt;=19),INDEX(HU_ord,CS$5-$A30+1)*$B30,0)</f>
        <v>0.0</v>
      </c>
      <c r="CT30" s="14">
        <f>IF(AND(CT$5-$A30&gt;=0,CT$5-$A30&lt;=19),INDEX(HU_ord,CT$5-$A30+1)*$B30,0)</f>
        <v>0.0</v>
      </c>
      <c r="CU30" s="14">
        <f>IF(AND(CU$5-$A30&gt;=0,CU$5-$A30&lt;=19),INDEX(HU_ord,CU$5-$A30+1)*$B30,0)</f>
        <v>0.0</v>
      </c>
      <c r="CV30" s="14">
        <f>IF(AND(CV$5-$A30&gt;=0,CV$5-$A30&lt;=19),INDEX(HU_ord,CV$5-$A30+1)*$B30,0)</f>
        <v>0.0</v>
      </c>
      <c r="CW30" s="14">
        <f>IF(AND(CW$5-$A30&gt;=0,CW$5-$A30&lt;=19),INDEX(HU_ord,CW$5-$A30+1)*$B30,0)</f>
        <v>0.0</v>
      </c>
      <c r="CX30" s="14">
        <f>IF(AND(CX$5-$A30&gt;=0,CX$5-$A30&lt;=19),INDEX(HU_ord,CX$5-$A30+1)*$B30,0)</f>
        <v>0.0</v>
      </c>
      <c r="CY30" s="14">
        <f>IF(AND(CY$5-$A30&gt;=0,CY$5-$A30&lt;=19),INDEX(HU_ord,CY$5-$A30+1)*$B30,0)</f>
        <v>0.0</v>
      </c>
      <c r="CZ30" s="14">
        <f>IF(AND(CZ$5-$A30&gt;=0,CZ$5-$A30&lt;=19),INDEX(HU_ord,CZ$5-$A30+1)*$B30,0)</f>
        <v>0.0</v>
      </c>
      <c r="DA30" s="14">
        <f>IF(AND(DA$5-$A30&gt;=0,DA$5-$A30&lt;=19),INDEX(HU_ord,DA$5-$A30+1)*$B30,0)</f>
        <v>0.0</v>
      </c>
      <c r="DB30" s="14">
        <f>IF(AND(DB$5-$A30&gt;=0,DB$5-$A30&lt;=19),INDEX(HU_ord,DB$5-$A30+1)*$B30,0)</f>
        <v>0.0</v>
      </c>
      <c r="DC30" s="14">
        <f>IF(AND(DC$5-$A30&gt;=0,DC$5-$A30&lt;=19),INDEX(HU_ord,DC$5-$A30+1)*$B30,0)</f>
        <v>0.0</v>
      </c>
      <c r="DD30" s="14">
        <f>IF(AND(DD$5-$A30&gt;=0,DD$5-$A30&lt;=19),INDEX(HU_ord,DD$5-$A30+1)*$B30,0)</f>
        <v>0.0</v>
      </c>
      <c r="DE30" s="14">
        <f>IF(AND(DE$5-$A30&gt;=0,DE$5-$A30&lt;=19),INDEX(HU_ord,DE$5-$A30+1)*$B30,0)</f>
        <v>0.0</v>
      </c>
      <c r="DF30" s="14">
        <f>IF(AND(DF$5-$A30&gt;=0,DF$5-$A30&lt;=19),INDEX(HU_ord,DF$5-$A30+1)*$B30,0)</f>
        <v>0.0</v>
      </c>
      <c r="DG30" s="14">
        <f>IF(AND(DG$5-$A30&gt;=0,DG$5-$A30&lt;=19),INDEX(HU_ord,DG$5-$A30+1)*$B30,0)</f>
        <v>0.0</v>
      </c>
      <c r="DH30" s="14">
        <f>IF(AND(DH$5-$A30&gt;=0,DH$5-$A30&lt;=19),INDEX(HU_ord,DH$5-$A30+1)*$B30,0)</f>
        <v>0.0</v>
      </c>
      <c r="DI30" s="14">
        <f>IF(AND(DI$5-$A30&gt;=0,DI$5-$A30&lt;=19),INDEX(HU_ord,DI$5-$A30+1)*$B30,0)</f>
        <v>0.0</v>
      </c>
    </row>
    <row r="31" spans="1:113">
      <c r="A31">
        <v>25</v>
      </c>
      <c r="B31" s="10">
        <f>Serie_horaria!N27</f>
        <v>0.0</v>
      </c>
      <c r="C31" s="14">
        <f>IF(AND(C$5-$A31&gt;=0,C$5-$A31&lt;=19),INDEX(HU_ord,C$5-$A31+1)*$B31,0)</f>
        <v>0.0</v>
      </c>
      <c r="D31" s="14">
        <f>IF(AND(D$5-$A31&gt;=0,D$5-$A31&lt;=19),INDEX(HU_ord,D$5-$A31+1)*$B31,0)</f>
        <v>0.0</v>
      </c>
      <c r="E31" s="14">
        <f>IF(AND(E$5-$A31&gt;=0,E$5-$A31&lt;=19),INDEX(HU_ord,E$5-$A31+1)*$B31,0)</f>
        <v>0.0</v>
      </c>
      <c r="F31" s="14">
        <f>IF(AND(F$5-$A31&gt;=0,F$5-$A31&lt;=19),INDEX(HU_ord,F$5-$A31+1)*$B31,0)</f>
        <v>0.0</v>
      </c>
      <c r="G31" s="14">
        <f>IF(AND(G$5-$A31&gt;=0,G$5-$A31&lt;=19),INDEX(HU_ord,G$5-$A31+1)*$B31,0)</f>
        <v>0.0</v>
      </c>
      <c r="H31" s="14">
        <f>IF(AND(H$5-$A31&gt;=0,H$5-$A31&lt;=19),INDEX(HU_ord,H$5-$A31+1)*$B31,0)</f>
        <v>0.0</v>
      </c>
      <c r="I31" s="14">
        <f>IF(AND(I$5-$A31&gt;=0,I$5-$A31&lt;=19),INDEX(HU_ord,I$5-$A31+1)*$B31,0)</f>
        <v>0.0</v>
      </c>
      <c r="J31" s="14">
        <f>IF(AND(J$5-$A31&gt;=0,J$5-$A31&lt;=19),INDEX(HU_ord,J$5-$A31+1)*$B31,0)</f>
        <v>0.0</v>
      </c>
      <c r="K31" s="14">
        <f>IF(AND(K$5-$A31&gt;=0,K$5-$A31&lt;=19),INDEX(HU_ord,K$5-$A31+1)*$B31,0)</f>
        <v>0.0</v>
      </c>
      <c r="L31" s="14">
        <f>IF(AND(L$5-$A31&gt;=0,L$5-$A31&lt;=19),INDEX(HU_ord,L$5-$A31+1)*$B31,0)</f>
        <v>0.0</v>
      </c>
      <c r="M31" s="14">
        <f>IF(AND(M$5-$A31&gt;=0,M$5-$A31&lt;=19),INDEX(HU_ord,M$5-$A31+1)*$B31,0)</f>
        <v>0.0</v>
      </c>
      <c r="N31" s="14">
        <f>IF(AND(N$5-$A31&gt;=0,N$5-$A31&lt;=19),INDEX(HU_ord,N$5-$A31+1)*$B31,0)</f>
        <v>0.0</v>
      </c>
      <c r="O31" s="14">
        <f>IF(AND(O$5-$A31&gt;=0,O$5-$A31&lt;=19),INDEX(HU_ord,O$5-$A31+1)*$B31,0)</f>
        <v>0.0</v>
      </c>
      <c r="P31" s="14">
        <f>IF(AND(P$5-$A31&gt;=0,P$5-$A31&lt;=19),INDEX(HU_ord,P$5-$A31+1)*$B31,0)</f>
        <v>0.0</v>
      </c>
      <c r="Q31" s="14">
        <f>IF(AND(Q$5-$A31&gt;=0,Q$5-$A31&lt;=19),INDEX(HU_ord,Q$5-$A31+1)*$B31,0)</f>
        <v>0.0</v>
      </c>
      <c r="R31" s="14">
        <f>IF(AND(R$5-$A31&gt;=0,R$5-$A31&lt;=19),INDEX(HU_ord,R$5-$A31+1)*$B31,0)</f>
        <v>0.0</v>
      </c>
      <c r="S31" s="14">
        <f>IF(AND(S$5-$A31&gt;=0,S$5-$A31&lt;=19),INDEX(HU_ord,S$5-$A31+1)*$B31,0)</f>
        <v>0.0</v>
      </c>
      <c r="T31" s="14">
        <f>IF(AND(T$5-$A31&gt;=0,T$5-$A31&lt;=19),INDEX(HU_ord,T$5-$A31+1)*$B31,0)</f>
        <v>0.0</v>
      </c>
      <c r="U31" s="14">
        <f>IF(AND(U$5-$A31&gt;=0,U$5-$A31&lt;=19),INDEX(HU_ord,U$5-$A31+1)*$B31,0)</f>
        <v>0.0</v>
      </c>
      <c r="V31" s="14">
        <f>IF(AND(V$5-$A31&gt;=0,V$5-$A31&lt;=19),INDEX(HU_ord,V$5-$A31+1)*$B31,0)</f>
        <v>0.0</v>
      </c>
      <c r="W31" s="14">
        <f>IF(AND(W$5-$A31&gt;=0,W$5-$A31&lt;=19),INDEX(HU_ord,W$5-$A31+1)*$B31,0)</f>
        <v>0.0</v>
      </c>
      <c r="X31" s="14">
        <f>IF(AND(X$5-$A31&gt;=0,X$5-$A31&lt;=19),INDEX(HU_ord,X$5-$A31+1)*$B31,0)</f>
        <v>0.0</v>
      </c>
      <c r="Y31" s="14">
        <f>IF(AND(Y$5-$A31&gt;=0,Y$5-$A31&lt;=19),INDEX(HU_ord,Y$5-$A31+1)*$B31,0)</f>
        <v>0.0</v>
      </c>
      <c r="Z31" s="14">
        <f>IF(AND(Z$5-$A31&gt;=0,Z$5-$A31&lt;=19),INDEX(HU_ord,Z$5-$A31+1)*$B31,0)</f>
        <v>0.0</v>
      </c>
      <c r="AA31" s="14">
        <f>IF(AND(AA$5-$A31&gt;=0,AA$5-$A31&lt;=19),INDEX(HU_ord,AA$5-$A31+1)*$B31,0)</f>
        <v>0.0</v>
      </c>
      <c r="AB31" s="14">
        <f>IF(AND(AB$5-$A31&gt;=0,AB$5-$A31&lt;=19),INDEX(HU_ord,AB$5-$A31+1)*$B31,0)</f>
        <v>0.0</v>
      </c>
      <c r="AC31" s="14">
        <f>IF(AND(AC$5-$A31&gt;=0,AC$5-$A31&lt;=19),INDEX(HU_ord,AC$5-$A31+1)*$B31,0)</f>
        <v>0.0</v>
      </c>
      <c r="AD31" s="14">
        <f>IF(AND(AD$5-$A31&gt;=0,AD$5-$A31&lt;=19),INDEX(HU_ord,AD$5-$A31+1)*$B31,0)</f>
        <v>0.0</v>
      </c>
      <c r="AE31" s="14">
        <f>IF(AND(AE$5-$A31&gt;=0,AE$5-$A31&lt;=19),INDEX(HU_ord,AE$5-$A31+1)*$B31,0)</f>
        <v>0.0</v>
      </c>
      <c r="AF31" s="14">
        <f>IF(AND(AF$5-$A31&gt;=0,AF$5-$A31&lt;=19),INDEX(HU_ord,AF$5-$A31+1)*$B31,0)</f>
        <v>0.0</v>
      </c>
      <c r="AG31" s="14">
        <f>IF(AND(AG$5-$A31&gt;=0,AG$5-$A31&lt;=19),INDEX(HU_ord,AG$5-$A31+1)*$B31,0)</f>
        <v>0.0</v>
      </c>
      <c r="AH31" s="14">
        <f>IF(AND(AH$5-$A31&gt;=0,AH$5-$A31&lt;=19),INDEX(HU_ord,AH$5-$A31+1)*$B31,0)</f>
        <v>0.0</v>
      </c>
      <c r="AI31" s="14">
        <f>IF(AND(AI$5-$A31&gt;=0,AI$5-$A31&lt;=19),INDEX(HU_ord,AI$5-$A31+1)*$B31,0)</f>
        <v>0.0</v>
      </c>
      <c r="AJ31" s="14">
        <f>IF(AND(AJ$5-$A31&gt;=0,AJ$5-$A31&lt;=19),INDEX(HU_ord,AJ$5-$A31+1)*$B31,0)</f>
        <v>0.0</v>
      </c>
      <c r="AK31" s="14">
        <f>IF(AND(AK$5-$A31&gt;=0,AK$5-$A31&lt;=19),INDEX(HU_ord,AK$5-$A31+1)*$B31,0)</f>
        <v>0.0</v>
      </c>
      <c r="AL31" s="14">
        <f>IF(AND(AL$5-$A31&gt;=0,AL$5-$A31&lt;=19),INDEX(HU_ord,AL$5-$A31+1)*$B31,0)</f>
        <v>0.0</v>
      </c>
      <c r="AM31" s="14">
        <f>IF(AND(AM$5-$A31&gt;=0,AM$5-$A31&lt;=19),INDEX(HU_ord,AM$5-$A31+1)*$B31,0)</f>
        <v>0.0</v>
      </c>
      <c r="AN31" s="14">
        <f>IF(AND(AN$5-$A31&gt;=0,AN$5-$A31&lt;=19),INDEX(HU_ord,AN$5-$A31+1)*$B31,0)</f>
        <v>0.0</v>
      </c>
      <c r="AO31" s="14">
        <f>IF(AND(AO$5-$A31&gt;=0,AO$5-$A31&lt;=19),INDEX(HU_ord,AO$5-$A31+1)*$B31,0)</f>
        <v>0.0</v>
      </c>
      <c r="AP31" s="14">
        <f>IF(AND(AP$5-$A31&gt;=0,AP$5-$A31&lt;=19),INDEX(HU_ord,AP$5-$A31+1)*$B31,0)</f>
        <v>0.0</v>
      </c>
      <c r="AQ31" s="14">
        <f>IF(AND(AQ$5-$A31&gt;=0,AQ$5-$A31&lt;=19),INDEX(HU_ord,AQ$5-$A31+1)*$B31,0)</f>
        <v>0.0</v>
      </c>
      <c r="AR31" s="14">
        <f>IF(AND(AR$5-$A31&gt;=0,AR$5-$A31&lt;=19),INDEX(HU_ord,AR$5-$A31+1)*$B31,0)</f>
        <v>0.0</v>
      </c>
      <c r="AS31" s="14">
        <f>IF(AND(AS$5-$A31&gt;=0,AS$5-$A31&lt;=19),INDEX(HU_ord,AS$5-$A31+1)*$B31,0)</f>
        <v>0.0</v>
      </c>
      <c r="AT31" s="14">
        <f>IF(AND(AT$5-$A31&gt;=0,AT$5-$A31&lt;=19),INDEX(HU_ord,AT$5-$A31+1)*$B31,0)</f>
        <v>0.0</v>
      </c>
      <c r="AU31" s="14">
        <f>IF(AND(AU$5-$A31&gt;=0,AU$5-$A31&lt;=19),INDEX(HU_ord,AU$5-$A31+1)*$B31,0)</f>
        <v>0.0</v>
      </c>
      <c r="AV31" s="14">
        <f>IF(AND(AV$5-$A31&gt;=0,AV$5-$A31&lt;=19),INDEX(HU_ord,AV$5-$A31+1)*$B31,0)</f>
        <v>0.0</v>
      </c>
      <c r="AW31" s="14">
        <f>IF(AND(AW$5-$A31&gt;=0,AW$5-$A31&lt;=19),INDEX(HU_ord,AW$5-$A31+1)*$B31,0)</f>
        <v>0.0</v>
      </c>
      <c r="AX31" s="14">
        <f>IF(AND(AX$5-$A31&gt;=0,AX$5-$A31&lt;=19),INDEX(HU_ord,AX$5-$A31+1)*$B31,0)</f>
        <v>0.0</v>
      </c>
      <c r="AY31" s="14">
        <f>IF(AND(AY$5-$A31&gt;=0,AY$5-$A31&lt;=19),INDEX(HU_ord,AY$5-$A31+1)*$B31,0)</f>
        <v>0.0</v>
      </c>
      <c r="AZ31" s="14">
        <f>IF(AND(AZ$5-$A31&gt;=0,AZ$5-$A31&lt;=19),INDEX(HU_ord,AZ$5-$A31+1)*$B31,0)</f>
        <v>0.0</v>
      </c>
      <c r="BA31" s="14">
        <f>IF(AND(BA$5-$A31&gt;=0,BA$5-$A31&lt;=19),INDEX(HU_ord,BA$5-$A31+1)*$B31,0)</f>
        <v>0.0</v>
      </c>
      <c r="BB31" s="14">
        <f>IF(AND(BB$5-$A31&gt;=0,BB$5-$A31&lt;=19),INDEX(HU_ord,BB$5-$A31+1)*$B31,0)</f>
        <v>0.0</v>
      </c>
      <c r="BC31" s="14">
        <f>IF(AND(BC$5-$A31&gt;=0,BC$5-$A31&lt;=19),INDEX(HU_ord,BC$5-$A31+1)*$B31,0)</f>
        <v>0.0</v>
      </c>
      <c r="BD31" s="14">
        <f>IF(AND(BD$5-$A31&gt;=0,BD$5-$A31&lt;=19),INDEX(HU_ord,BD$5-$A31+1)*$B31,0)</f>
        <v>0.0</v>
      </c>
      <c r="BE31" s="14">
        <f>IF(AND(BE$5-$A31&gt;=0,BE$5-$A31&lt;=19),INDEX(HU_ord,BE$5-$A31+1)*$B31,0)</f>
        <v>0.0</v>
      </c>
      <c r="BF31" s="14">
        <f>IF(AND(BF$5-$A31&gt;=0,BF$5-$A31&lt;=19),INDEX(HU_ord,BF$5-$A31+1)*$B31,0)</f>
        <v>0.0</v>
      </c>
      <c r="BG31" s="14">
        <f>IF(AND(BG$5-$A31&gt;=0,BG$5-$A31&lt;=19),INDEX(HU_ord,BG$5-$A31+1)*$B31,0)</f>
        <v>0.0</v>
      </c>
      <c r="BH31" s="14">
        <f>IF(AND(BH$5-$A31&gt;=0,BH$5-$A31&lt;=19),INDEX(HU_ord,BH$5-$A31+1)*$B31,0)</f>
        <v>0.0</v>
      </c>
      <c r="BI31" s="14">
        <f>IF(AND(BI$5-$A31&gt;=0,BI$5-$A31&lt;=19),INDEX(HU_ord,BI$5-$A31+1)*$B31,0)</f>
        <v>0.0</v>
      </c>
      <c r="BJ31" s="14">
        <f>IF(AND(BJ$5-$A31&gt;=0,BJ$5-$A31&lt;=19),INDEX(HU_ord,BJ$5-$A31+1)*$B31,0)</f>
        <v>0.0</v>
      </c>
      <c r="BK31" s="14">
        <f>IF(AND(BK$5-$A31&gt;=0,BK$5-$A31&lt;=19),INDEX(HU_ord,BK$5-$A31+1)*$B31,0)</f>
        <v>0.0</v>
      </c>
      <c r="BL31" s="14">
        <f>IF(AND(BL$5-$A31&gt;=0,BL$5-$A31&lt;=19),INDEX(HU_ord,BL$5-$A31+1)*$B31,0)</f>
        <v>0.0</v>
      </c>
      <c r="BM31" s="14">
        <f>IF(AND(BM$5-$A31&gt;=0,BM$5-$A31&lt;=19),INDEX(HU_ord,BM$5-$A31+1)*$B31,0)</f>
        <v>0.0</v>
      </c>
      <c r="BN31" s="14">
        <f>IF(AND(BN$5-$A31&gt;=0,BN$5-$A31&lt;=19),INDEX(HU_ord,BN$5-$A31+1)*$B31,0)</f>
        <v>0.0</v>
      </c>
      <c r="BO31" s="14">
        <f>IF(AND(BO$5-$A31&gt;=0,BO$5-$A31&lt;=19),INDEX(HU_ord,BO$5-$A31+1)*$B31,0)</f>
        <v>0.0</v>
      </c>
      <c r="BP31" s="14">
        <f>IF(AND(BP$5-$A31&gt;=0,BP$5-$A31&lt;=19),INDEX(HU_ord,BP$5-$A31+1)*$B31,0)</f>
        <v>0.0</v>
      </c>
      <c r="BQ31" s="14">
        <f>IF(AND(BQ$5-$A31&gt;=0,BQ$5-$A31&lt;=19),INDEX(HU_ord,BQ$5-$A31+1)*$B31,0)</f>
        <v>0.0</v>
      </c>
      <c r="BR31" s="14">
        <f>IF(AND(BR$5-$A31&gt;=0,BR$5-$A31&lt;=19),INDEX(HU_ord,BR$5-$A31+1)*$B31,0)</f>
        <v>0.0</v>
      </c>
      <c r="BS31" s="14">
        <f>IF(AND(BS$5-$A31&gt;=0,BS$5-$A31&lt;=19),INDEX(HU_ord,BS$5-$A31+1)*$B31,0)</f>
        <v>0.0</v>
      </c>
      <c r="BT31" s="14">
        <f>IF(AND(BT$5-$A31&gt;=0,BT$5-$A31&lt;=19),INDEX(HU_ord,BT$5-$A31+1)*$B31,0)</f>
        <v>0.0</v>
      </c>
      <c r="BU31" s="14">
        <f>IF(AND(BU$5-$A31&gt;=0,BU$5-$A31&lt;=19),INDEX(HU_ord,BU$5-$A31+1)*$B31,0)</f>
        <v>0.0</v>
      </c>
      <c r="BV31" s="14">
        <f>IF(AND(BV$5-$A31&gt;=0,BV$5-$A31&lt;=19),INDEX(HU_ord,BV$5-$A31+1)*$B31,0)</f>
        <v>0.0</v>
      </c>
      <c r="BW31" s="14">
        <f>IF(AND(BW$5-$A31&gt;=0,BW$5-$A31&lt;=19),INDEX(HU_ord,BW$5-$A31+1)*$B31,0)</f>
        <v>0.0</v>
      </c>
      <c r="BX31" s="14">
        <f>IF(AND(BX$5-$A31&gt;=0,BX$5-$A31&lt;=19),INDEX(HU_ord,BX$5-$A31+1)*$B31,0)</f>
        <v>0.0</v>
      </c>
      <c r="BY31" s="14">
        <f>IF(AND(BY$5-$A31&gt;=0,BY$5-$A31&lt;=19),INDEX(HU_ord,BY$5-$A31+1)*$B31,0)</f>
        <v>0.0</v>
      </c>
      <c r="BZ31" s="14">
        <f>IF(AND(BZ$5-$A31&gt;=0,BZ$5-$A31&lt;=19),INDEX(HU_ord,BZ$5-$A31+1)*$B31,0)</f>
        <v>0.0</v>
      </c>
      <c r="CA31" s="14">
        <f>IF(AND(CA$5-$A31&gt;=0,CA$5-$A31&lt;=19),INDEX(HU_ord,CA$5-$A31+1)*$B31,0)</f>
        <v>0.0</v>
      </c>
      <c r="CB31" s="14">
        <f>IF(AND(CB$5-$A31&gt;=0,CB$5-$A31&lt;=19),INDEX(HU_ord,CB$5-$A31+1)*$B31,0)</f>
        <v>0.0</v>
      </c>
      <c r="CC31" s="14">
        <f>IF(AND(CC$5-$A31&gt;=0,CC$5-$A31&lt;=19),INDEX(HU_ord,CC$5-$A31+1)*$B31,0)</f>
        <v>0.0</v>
      </c>
      <c r="CD31" s="14">
        <f>IF(AND(CD$5-$A31&gt;=0,CD$5-$A31&lt;=19),INDEX(HU_ord,CD$5-$A31+1)*$B31,0)</f>
        <v>0.0</v>
      </c>
      <c r="CE31" s="14">
        <f>IF(AND(CE$5-$A31&gt;=0,CE$5-$A31&lt;=19),INDEX(HU_ord,CE$5-$A31+1)*$B31,0)</f>
        <v>0.0</v>
      </c>
      <c r="CF31" s="14">
        <f>IF(AND(CF$5-$A31&gt;=0,CF$5-$A31&lt;=19),INDEX(HU_ord,CF$5-$A31+1)*$B31,0)</f>
        <v>0.0</v>
      </c>
      <c r="CG31" s="14">
        <f>IF(AND(CG$5-$A31&gt;=0,CG$5-$A31&lt;=19),INDEX(HU_ord,CG$5-$A31+1)*$B31,0)</f>
        <v>0.0</v>
      </c>
      <c r="CH31" s="14">
        <f>IF(AND(CH$5-$A31&gt;=0,CH$5-$A31&lt;=19),INDEX(HU_ord,CH$5-$A31+1)*$B31,0)</f>
        <v>0.0</v>
      </c>
      <c r="CI31" s="14">
        <f>IF(AND(CI$5-$A31&gt;=0,CI$5-$A31&lt;=19),INDEX(HU_ord,CI$5-$A31+1)*$B31,0)</f>
        <v>0.0</v>
      </c>
      <c r="CJ31" s="14">
        <f>IF(AND(CJ$5-$A31&gt;=0,CJ$5-$A31&lt;=19),INDEX(HU_ord,CJ$5-$A31+1)*$B31,0)</f>
        <v>0.0</v>
      </c>
      <c r="CK31" s="14">
        <f>IF(AND(CK$5-$A31&gt;=0,CK$5-$A31&lt;=19),INDEX(HU_ord,CK$5-$A31+1)*$B31,0)</f>
        <v>0.0</v>
      </c>
      <c r="CL31" s="14">
        <f>IF(AND(CL$5-$A31&gt;=0,CL$5-$A31&lt;=19),INDEX(HU_ord,CL$5-$A31+1)*$B31,0)</f>
        <v>0.0</v>
      </c>
      <c r="CM31" s="14">
        <f>IF(AND(CM$5-$A31&gt;=0,CM$5-$A31&lt;=19),INDEX(HU_ord,CM$5-$A31+1)*$B31,0)</f>
        <v>0.0</v>
      </c>
      <c r="CN31" s="14">
        <f>IF(AND(CN$5-$A31&gt;=0,CN$5-$A31&lt;=19),INDEX(HU_ord,CN$5-$A31+1)*$B31,0)</f>
        <v>0.0</v>
      </c>
      <c r="CO31" s="14">
        <f>IF(AND(CO$5-$A31&gt;=0,CO$5-$A31&lt;=19),INDEX(HU_ord,CO$5-$A31+1)*$B31,0)</f>
        <v>0.0</v>
      </c>
      <c r="CP31" s="14">
        <f>IF(AND(CP$5-$A31&gt;=0,CP$5-$A31&lt;=19),INDEX(HU_ord,CP$5-$A31+1)*$B31,0)</f>
        <v>0.0</v>
      </c>
      <c r="CQ31" s="14">
        <f>IF(AND(CQ$5-$A31&gt;=0,CQ$5-$A31&lt;=19),INDEX(HU_ord,CQ$5-$A31+1)*$B31,0)</f>
        <v>0.0</v>
      </c>
      <c r="CR31" s="14">
        <f>IF(AND(CR$5-$A31&gt;=0,CR$5-$A31&lt;=19),INDEX(HU_ord,CR$5-$A31+1)*$B31,0)</f>
        <v>0.0</v>
      </c>
      <c r="CS31" s="14">
        <f>IF(AND(CS$5-$A31&gt;=0,CS$5-$A31&lt;=19),INDEX(HU_ord,CS$5-$A31+1)*$B31,0)</f>
        <v>0.0</v>
      </c>
      <c r="CT31" s="14">
        <f>IF(AND(CT$5-$A31&gt;=0,CT$5-$A31&lt;=19),INDEX(HU_ord,CT$5-$A31+1)*$B31,0)</f>
        <v>0.0</v>
      </c>
      <c r="CU31" s="14">
        <f>IF(AND(CU$5-$A31&gt;=0,CU$5-$A31&lt;=19),INDEX(HU_ord,CU$5-$A31+1)*$B31,0)</f>
        <v>0.0</v>
      </c>
      <c r="CV31" s="14">
        <f>IF(AND(CV$5-$A31&gt;=0,CV$5-$A31&lt;=19),INDEX(HU_ord,CV$5-$A31+1)*$B31,0)</f>
        <v>0.0</v>
      </c>
      <c r="CW31" s="14">
        <f>IF(AND(CW$5-$A31&gt;=0,CW$5-$A31&lt;=19),INDEX(HU_ord,CW$5-$A31+1)*$B31,0)</f>
        <v>0.0</v>
      </c>
      <c r="CX31" s="14">
        <f>IF(AND(CX$5-$A31&gt;=0,CX$5-$A31&lt;=19),INDEX(HU_ord,CX$5-$A31+1)*$B31,0)</f>
        <v>0.0</v>
      </c>
      <c r="CY31" s="14">
        <f>IF(AND(CY$5-$A31&gt;=0,CY$5-$A31&lt;=19),INDEX(HU_ord,CY$5-$A31+1)*$B31,0)</f>
        <v>0.0</v>
      </c>
      <c r="CZ31" s="14">
        <f>IF(AND(CZ$5-$A31&gt;=0,CZ$5-$A31&lt;=19),INDEX(HU_ord,CZ$5-$A31+1)*$B31,0)</f>
        <v>0.0</v>
      </c>
      <c r="DA31" s="14">
        <f>IF(AND(DA$5-$A31&gt;=0,DA$5-$A31&lt;=19),INDEX(HU_ord,DA$5-$A31+1)*$B31,0)</f>
        <v>0.0</v>
      </c>
      <c r="DB31" s="14">
        <f>IF(AND(DB$5-$A31&gt;=0,DB$5-$A31&lt;=19),INDEX(HU_ord,DB$5-$A31+1)*$B31,0)</f>
        <v>0.0</v>
      </c>
      <c r="DC31" s="14">
        <f>IF(AND(DC$5-$A31&gt;=0,DC$5-$A31&lt;=19),INDEX(HU_ord,DC$5-$A31+1)*$B31,0)</f>
        <v>0.0</v>
      </c>
      <c r="DD31" s="14">
        <f>IF(AND(DD$5-$A31&gt;=0,DD$5-$A31&lt;=19),INDEX(HU_ord,DD$5-$A31+1)*$B31,0)</f>
        <v>0.0</v>
      </c>
      <c r="DE31" s="14">
        <f>IF(AND(DE$5-$A31&gt;=0,DE$5-$A31&lt;=19),INDEX(HU_ord,DE$5-$A31+1)*$B31,0)</f>
        <v>0.0</v>
      </c>
      <c r="DF31" s="14">
        <f>IF(AND(DF$5-$A31&gt;=0,DF$5-$A31&lt;=19),INDEX(HU_ord,DF$5-$A31+1)*$B31,0)</f>
        <v>0.0</v>
      </c>
      <c r="DG31" s="14">
        <f>IF(AND(DG$5-$A31&gt;=0,DG$5-$A31&lt;=19),INDEX(HU_ord,DG$5-$A31+1)*$B31,0)</f>
        <v>0.0</v>
      </c>
      <c r="DH31" s="14">
        <f>IF(AND(DH$5-$A31&gt;=0,DH$5-$A31&lt;=19),INDEX(HU_ord,DH$5-$A31+1)*$B31,0)</f>
        <v>0.0</v>
      </c>
      <c r="DI31" s="14">
        <f>IF(AND(DI$5-$A31&gt;=0,DI$5-$A31&lt;=19),INDEX(HU_ord,DI$5-$A31+1)*$B31,0)</f>
        <v>0.0</v>
      </c>
    </row>
    <row r="32" spans="1:113">
      <c r="A32">
        <v>26</v>
      </c>
      <c r="B32" s="10">
        <f>Serie_horaria!N28</f>
        <v>0.0</v>
      </c>
      <c r="C32" s="14">
        <f>IF(AND(C$5-$A32&gt;=0,C$5-$A32&lt;=19),INDEX(HU_ord,C$5-$A32+1)*$B32,0)</f>
        <v>0.0</v>
      </c>
      <c r="D32" s="14">
        <f>IF(AND(D$5-$A32&gt;=0,D$5-$A32&lt;=19),INDEX(HU_ord,D$5-$A32+1)*$B32,0)</f>
        <v>0.0</v>
      </c>
      <c r="E32" s="14">
        <f>IF(AND(E$5-$A32&gt;=0,E$5-$A32&lt;=19),INDEX(HU_ord,E$5-$A32+1)*$B32,0)</f>
        <v>0.0</v>
      </c>
      <c r="F32" s="14">
        <f>IF(AND(F$5-$A32&gt;=0,F$5-$A32&lt;=19),INDEX(HU_ord,F$5-$A32+1)*$B32,0)</f>
        <v>0.0</v>
      </c>
      <c r="G32" s="14">
        <f>IF(AND(G$5-$A32&gt;=0,G$5-$A32&lt;=19),INDEX(HU_ord,G$5-$A32+1)*$B32,0)</f>
        <v>0.0</v>
      </c>
      <c r="H32" s="14">
        <f>IF(AND(H$5-$A32&gt;=0,H$5-$A32&lt;=19),INDEX(HU_ord,H$5-$A32+1)*$B32,0)</f>
        <v>0.0</v>
      </c>
      <c r="I32" s="14">
        <f>IF(AND(I$5-$A32&gt;=0,I$5-$A32&lt;=19),INDEX(HU_ord,I$5-$A32+1)*$B32,0)</f>
        <v>0.0</v>
      </c>
      <c r="J32" s="14">
        <f>IF(AND(J$5-$A32&gt;=0,J$5-$A32&lt;=19),INDEX(HU_ord,J$5-$A32+1)*$B32,0)</f>
        <v>0.0</v>
      </c>
      <c r="K32" s="14">
        <f>IF(AND(K$5-$A32&gt;=0,K$5-$A32&lt;=19),INDEX(HU_ord,K$5-$A32+1)*$B32,0)</f>
        <v>0.0</v>
      </c>
      <c r="L32" s="14">
        <f>IF(AND(L$5-$A32&gt;=0,L$5-$A32&lt;=19),INDEX(HU_ord,L$5-$A32+1)*$B32,0)</f>
        <v>0.0</v>
      </c>
      <c r="M32" s="14">
        <f>IF(AND(M$5-$A32&gt;=0,M$5-$A32&lt;=19),INDEX(HU_ord,M$5-$A32+1)*$B32,0)</f>
        <v>0.0</v>
      </c>
      <c r="N32" s="14">
        <f>IF(AND(N$5-$A32&gt;=0,N$5-$A32&lt;=19),INDEX(HU_ord,N$5-$A32+1)*$B32,0)</f>
        <v>0.0</v>
      </c>
      <c r="O32" s="14">
        <f>IF(AND(O$5-$A32&gt;=0,O$5-$A32&lt;=19),INDEX(HU_ord,O$5-$A32+1)*$B32,0)</f>
        <v>0.0</v>
      </c>
      <c r="P32" s="14">
        <f>IF(AND(P$5-$A32&gt;=0,P$5-$A32&lt;=19),INDEX(HU_ord,P$5-$A32+1)*$B32,0)</f>
        <v>0.0</v>
      </c>
      <c r="Q32" s="14">
        <f>IF(AND(Q$5-$A32&gt;=0,Q$5-$A32&lt;=19),INDEX(HU_ord,Q$5-$A32+1)*$B32,0)</f>
        <v>0.0</v>
      </c>
      <c r="R32" s="14">
        <f>IF(AND(R$5-$A32&gt;=0,R$5-$A32&lt;=19),INDEX(HU_ord,R$5-$A32+1)*$B32,0)</f>
        <v>0.0</v>
      </c>
      <c r="S32" s="14">
        <f>IF(AND(S$5-$A32&gt;=0,S$5-$A32&lt;=19),INDEX(HU_ord,S$5-$A32+1)*$B32,0)</f>
        <v>0.0</v>
      </c>
      <c r="T32" s="14">
        <f>IF(AND(T$5-$A32&gt;=0,T$5-$A32&lt;=19),INDEX(HU_ord,T$5-$A32+1)*$B32,0)</f>
        <v>0.0</v>
      </c>
      <c r="U32" s="14">
        <f>IF(AND(U$5-$A32&gt;=0,U$5-$A32&lt;=19),INDEX(HU_ord,U$5-$A32+1)*$B32,0)</f>
        <v>0.0</v>
      </c>
      <c r="V32" s="14">
        <f>IF(AND(V$5-$A32&gt;=0,V$5-$A32&lt;=19),INDEX(HU_ord,V$5-$A32+1)*$B32,0)</f>
        <v>0.0</v>
      </c>
      <c r="W32" s="14">
        <f>IF(AND(W$5-$A32&gt;=0,W$5-$A32&lt;=19),INDEX(HU_ord,W$5-$A32+1)*$B32,0)</f>
        <v>0.0</v>
      </c>
      <c r="X32" s="14">
        <f>IF(AND(X$5-$A32&gt;=0,X$5-$A32&lt;=19),INDEX(HU_ord,X$5-$A32+1)*$B32,0)</f>
        <v>0.0</v>
      </c>
      <c r="Y32" s="14">
        <f>IF(AND(Y$5-$A32&gt;=0,Y$5-$A32&lt;=19),INDEX(HU_ord,Y$5-$A32+1)*$B32,0)</f>
        <v>0.0</v>
      </c>
      <c r="Z32" s="14">
        <f>IF(AND(Z$5-$A32&gt;=0,Z$5-$A32&lt;=19),INDEX(HU_ord,Z$5-$A32+1)*$B32,0)</f>
        <v>0.0</v>
      </c>
      <c r="AA32" s="14">
        <f>IF(AND(AA$5-$A32&gt;=0,AA$5-$A32&lt;=19),INDEX(HU_ord,AA$5-$A32+1)*$B32,0)</f>
        <v>0.0</v>
      </c>
      <c r="AB32" s="14">
        <f>IF(AND(AB$5-$A32&gt;=0,AB$5-$A32&lt;=19),INDEX(HU_ord,AB$5-$A32+1)*$B32,0)</f>
        <v>0.0</v>
      </c>
      <c r="AC32" s="14">
        <f>IF(AND(AC$5-$A32&gt;=0,AC$5-$A32&lt;=19),INDEX(HU_ord,AC$5-$A32+1)*$B32,0)</f>
        <v>0.0</v>
      </c>
      <c r="AD32" s="14">
        <f>IF(AND(AD$5-$A32&gt;=0,AD$5-$A32&lt;=19),INDEX(HU_ord,AD$5-$A32+1)*$B32,0)</f>
        <v>0.0</v>
      </c>
      <c r="AE32" s="14">
        <f>IF(AND(AE$5-$A32&gt;=0,AE$5-$A32&lt;=19),INDEX(HU_ord,AE$5-$A32+1)*$B32,0)</f>
        <v>0.0</v>
      </c>
      <c r="AF32" s="14">
        <f>IF(AND(AF$5-$A32&gt;=0,AF$5-$A32&lt;=19),INDEX(HU_ord,AF$5-$A32+1)*$B32,0)</f>
        <v>0.0</v>
      </c>
      <c r="AG32" s="14">
        <f>IF(AND(AG$5-$A32&gt;=0,AG$5-$A32&lt;=19),INDEX(HU_ord,AG$5-$A32+1)*$B32,0)</f>
        <v>0.0</v>
      </c>
      <c r="AH32" s="14">
        <f>IF(AND(AH$5-$A32&gt;=0,AH$5-$A32&lt;=19),INDEX(HU_ord,AH$5-$A32+1)*$B32,0)</f>
        <v>0.0</v>
      </c>
      <c r="AI32" s="14">
        <f>IF(AND(AI$5-$A32&gt;=0,AI$5-$A32&lt;=19),INDEX(HU_ord,AI$5-$A32+1)*$B32,0)</f>
        <v>0.0</v>
      </c>
      <c r="AJ32" s="14">
        <f>IF(AND(AJ$5-$A32&gt;=0,AJ$5-$A32&lt;=19),INDEX(HU_ord,AJ$5-$A32+1)*$B32,0)</f>
        <v>0.0</v>
      </c>
      <c r="AK32" s="14">
        <f>IF(AND(AK$5-$A32&gt;=0,AK$5-$A32&lt;=19),INDEX(HU_ord,AK$5-$A32+1)*$B32,0)</f>
        <v>0.0</v>
      </c>
      <c r="AL32" s="14">
        <f>IF(AND(AL$5-$A32&gt;=0,AL$5-$A32&lt;=19),INDEX(HU_ord,AL$5-$A32+1)*$B32,0)</f>
        <v>0.0</v>
      </c>
      <c r="AM32" s="14">
        <f>IF(AND(AM$5-$A32&gt;=0,AM$5-$A32&lt;=19),INDEX(HU_ord,AM$5-$A32+1)*$B32,0)</f>
        <v>0.0</v>
      </c>
      <c r="AN32" s="14">
        <f>IF(AND(AN$5-$A32&gt;=0,AN$5-$A32&lt;=19),INDEX(HU_ord,AN$5-$A32+1)*$B32,0)</f>
        <v>0.0</v>
      </c>
      <c r="AO32" s="14">
        <f>IF(AND(AO$5-$A32&gt;=0,AO$5-$A32&lt;=19),INDEX(HU_ord,AO$5-$A32+1)*$B32,0)</f>
        <v>0.0</v>
      </c>
      <c r="AP32" s="14">
        <f>IF(AND(AP$5-$A32&gt;=0,AP$5-$A32&lt;=19),INDEX(HU_ord,AP$5-$A32+1)*$B32,0)</f>
        <v>0.0</v>
      </c>
      <c r="AQ32" s="14">
        <f>IF(AND(AQ$5-$A32&gt;=0,AQ$5-$A32&lt;=19),INDEX(HU_ord,AQ$5-$A32+1)*$B32,0)</f>
        <v>0.0</v>
      </c>
      <c r="AR32" s="14">
        <f>IF(AND(AR$5-$A32&gt;=0,AR$5-$A32&lt;=19),INDEX(HU_ord,AR$5-$A32+1)*$B32,0)</f>
        <v>0.0</v>
      </c>
      <c r="AS32" s="14">
        <f>IF(AND(AS$5-$A32&gt;=0,AS$5-$A32&lt;=19),INDEX(HU_ord,AS$5-$A32+1)*$B32,0)</f>
        <v>0.0</v>
      </c>
      <c r="AT32" s="14">
        <f>IF(AND(AT$5-$A32&gt;=0,AT$5-$A32&lt;=19),INDEX(HU_ord,AT$5-$A32+1)*$B32,0)</f>
        <v>0.0</v>
      </c>
      <c r="AU32" s="14">
        <f>IF(AND(AU$5-$A32&gt;=0,AU$5-$A32&lt;=19),INDEX(HU_ord,AU$5-$A32+1)*$B32,0)</f>
        <v>0.0</v>
      </c>
      <c r="AV32" s="14">
        <f>IF(AND(AV$5-$A32&gt;=0,AV$5-$A32&lt;=19),INDEX(HU_ord,AV$5-$A32+1)*$B32,0)</f>
        <v>0.0</v>
      </c>
      <c r="AW32" s="14">
        <f>IF(AND(AW$5-$A32&gt;=0,AW$5-$A32&lt;=19),INDEX(HU_ord,AW$5-$A32+1)*$B32,0)</f>
        <v>0.0</v>
      </c>
      <c r="AX32" s="14">
        <f>IF(AND(AX$5-$A32&gt;=0,AX$5-$A32&lt;=19),INDEX(HU_ord,AX$5-$A32+1)*$B32,0)</f>
        <v>0.0</v>
      </c>
      <c r="AY32" s="14">
        <f>IF(AND(AY$5-$A32&gt;=0,AY$5-$A32&lt;=19),INDEX(HU_ord,AY$5-$A32+1)*$B32,0)</f>
        <v>0.0</v>
      </c>
      <c r="AZ32" s="14">
        <f>IF(AND(AZ$5-$A32&gt;=0,AZ$5-$A32&lt;=19),INDEX(HU_ord,AZ$5-$A32+1)*$B32,0)</f>
        <v>0.0</v>
      </c>
      <c r="BA32" s="14">
        <f>IF(AND(BA$5-$A32&gt;=0,BA$5-$A32&lt;=19),INDEX(HU_ord,BA$5-$A32+1)*$B32,0)</f>
        <v>0.0</v>
      </c>
      <c r="BB32" s="14">
        <f>IF(AND(BB$5-$A32&gt;=0,BB$5-$A32&lt;=19),INDEX(HU_ord,BB$5-$A32+1)*$B32,0)</f>
        <v>0.0</v>
      </c>
      <c r="BC32" s="14">
        <f>IF(AND(BC$5-$A32&gt;=0,BC$5-$A32&lt;=19),INDEX(HU_ord,BC$5-$A32+1)*$B32,0)</f>
        <v>0.0</v>
      </c>
      <c r="BD32" s="14">
        <f>IF(AND(BD$5-$A32&gt;=0,BD$5-$A32&lt;=19),INDEX(HU_ord,BD$5-$A32+1)*$B32,0)</f>
        <v>0.0</v>
      </c>
      <c r="BE32" s="14">
        <f>IF(AND(BE$5-$A32&gt;=0,BE$5-$A32&lt;=19),INDEX(HU_ord,BE$5-$A32+1)*$B32,0)</f>
        <v>0.0</v>
      </c>
      <c r="BF32" s="14">
        <f>IF(AND(BF$5-$A32&gt;=0,BF$5-$A32&lt;=19),INDEX(HU_ord,BF$5-$A32+1)*$B32,0)</f>
        <v>0.0</v>
      </c>
      <c r="BG32" s="14">
        <f>IF(AND(BG$5-$A32&gt;=0,BG$5-$A32&lt;=19),INDEX(HU_ord,BG$5-$A32+1)*$B32,0)</f>
        <v>0.0</v>
      </c>
      <c r="BH32" s="14">
        <f>IF(AND(BH$5-$A32&gt;=0,BH$5-$A32&lt;=19),INDEX(HU_ord,BH$5-$A32+1)*$B32,0)</f>
        <v>0.0</v>
      </c>
      <c r="BI32" s="14">
        <f>IF(AND(BI$5-$A32&gt;=0,BI$5-$A32&lt;=19),INDEX(HU_ord,BI$5-$A32+1)*$B32,0)</f>
        <v>0.0</v>
      </c>
      <c r="BJ32" s="14">
        <f>IF(AND(BJ$5-$A32&gt;=0,BJ$5-$A32&lt;=19),INDEX(HU_ord,BJ$5-$A32+1)*$B32,0)</f>
        <v>0.0</v>
      </c>
      <c r="BK32" s="14">
        <f>IF(AND(BK$5-$A32&gt;=0,BK$5-$A32&lt;=19),INDEX(HU_ord,BK$5-$A32+1)*$B32,0)</f>
        <v>0.0</v>
      </c>
      <c r="BL32" s="14">
        <f>IF(AND(BL$5-$A32&gt;=0,BL$5-$A32&lt;=19),INDEX(HU_ord,BL$5-$A32+1)*$B32,0)</f>
        <v>0.0</v>
      </c>
      <c r="BM32" s="14">
        <f>IF(AND(BM$5-$A32&gt;=0,BM$5-$A32&lt;=19),INDEX(HU_ord,BM$5-$A32+1)*$B32,0)</f>
        <v>0.0</v>
      </c>
      <c r="BN32" s="14">
        <f>IF(AND(BN$5-$A32&gt;=0,BN$5-$A32&lt;=19),INDEX(HU_ord,BN$5-$A32+1)*$B32,0)</f>
        <v>0.0</v>
      </c>
      <c r="BO32" s="14">
        <f>IF(AND(BO$5-$A32&gt;=0,BO$5-$A32&lt;=19),INDEX(HU_ord,BO$5-$A32+1)*$B32,0)</f>
        <v>0.0</v>
      </c>
      <c r="BP32" s="14">
        <f>IF(AND(BP$5-$A32&gt;=0,BP$5-$A32&lt;=19),INDEX(HU_ord,BP$5-$A32+1)*$B32,0)</f>
        <v>0.0</v>
      </c>
      <c r="BQ32" s="14">
        <f>IF(AND(BQ$5-$A32&gt;=0,BQ$5-$A32&lt;=19),INDEX(HU_ord,BQ$5-$A32+1)*$B32,0)</f>
        <v>0.0</v>
      </c>
      <c r="BR32" s="14">
        <f>IF(AND(BR$5-$A32&gt;=0,BR$5-$A32&lt;=19),INDEX(HU_ord,BR$5-$A32+1)*$B32,0)</f>
        <v>0.0</v>
      </c>
      <c r="BS32" s="14">
        <f>IF(AND(BS$5-$A32&gt;=0,BS$5-$A32&lt;=19),INDEX(HU_ord,BS$5-$A32+1)*$B32,0)</f>
        <v>0.0</v>
      </c>
      <c r="BT32" s="14">
        <f>IF(AND(BT$5-$A32&gt;=0,BT$5-$A32&lt;=19),INDEX(HU_ord,BT$5-$A32+1)*$B32,0)</f>
        <v>0.0</v>
      </c>
      <c r="BU32" s="14">
        <f>IF(AND(BU$5-$A32&gt;=0,BU$5-$A32&lt;=19),INDEX(HU_ord,BU$5-$A32+1)*$B32,0)</f>
        <v>0.0</v>
      </c>
      <c r="BV32" s="14">
        <f>IF(AND(BV$5-$A32&gt;=0,BV$5-$A32&lt;=19),INDEX(HU_ord,BV$5-$A32+1)*$B32,0)</f>
        <v>0.0</v>
      </c>
      <c r="BW32" s="14">
        <f>IF(AND(BW$5-$A32&gt;=0,BW$5-$A32&lt;=19),INDEX(HU_ord,BW$5-$A32+1)*$B32,0)</f>
        <v>0.0</v>
      </c>
      <c r="BX32" s="14">
        <f>IF(AND(BX$5-$A32&gt;=0,BX$5-$A32&lt;=19),INDEX(HU_ord,BX$5-$A32+1)*$B32,0)</f>
        <v>0.0</v>
      </c>
      <c r="BY32" s="14">
        <f>IF(AND(BY$5-$A32&gt;=0,BY$5-$A32&lt;=19),INDEX(HU_ord,BY$5-$A32+1)*$B32,0)</f>
        <v>0.0</v>
      </c>
      <c r="BZ32" s="14">
        <f>IF(AND(BZ$5-$A32&gt;=0,BZ$5-$A32&lt;=19),INDEX(HU_ord,BZ$5-$A32+1)*$B32,0)</f>
        <v>0.0</v>
      </c>
      <c r="CA32" s="14">
        <f>IF(AND(CA$5-$A32&gt;=0,CA$5-$A32&lt;=19),INDEX(HU_ord,CA$5-$A32+1)*$B32,0)</f>
        <v>0.0</v>
      </c>
      <c r="CB32" s="14">
        <f>IF(AND(CB$5-$A32&gt;=0,CB$5-$A32&lt;=19),INDEX(HU_ord,CB$5-$A32+1)*$B32,0)</f>
        <v>0.0</v>
      </c>
      <c r="CC32" s="14">
        <f>IF(AND(CC$5-$A32&gt;=0,CC$5-$A32&lt;=19),INDEX(HU_ord,CC$5-$A32+1)*$B32,0)</f>
        <v>0.0</v>
      </c>
      <c r="CD32" s="14">
        <f>IF(AND(CD$5-$A32&gt;=0,CD$5-$A32&lt;=19),INDEX(HU_ord,CD$5-$A32+1)*$B32,0)</f>
        <v>0.0</v>
      </c>
      <c r="CE32" s="14">
        <f>IF(AND(CE$5-$A32&gt;=0,CE$5-$A32&lt;=19),INDEX(HU_ord,CE$5-$A32+1)*$B32,0)</f>
        <v>0.0</v>
      </c>
      <c r="CF32" s="14">
        <f>IF(AND(CF$5-$A32&gt;=0,CF$5-$A32&lt;=19),INDEX(HU_ord,CF$5-$A32+1)*$B32,0)</f>
        <v>0.0</v>
      </c>
      <c r="CG32" s="14">
        <f>IF(AND(CG$5-$A32&gt;=0,CG$5-$A32&lt;=19),INDEX(HU_ord,CG$5-$A32+1)*$B32,0)</f>
        <v>0.0</v>
      </c>
      <c r="CH32" s="14">
        <f>IF(AND(CH$5-$A32&gt;=0,CH$5-$A32&lt;=19),INDEX(HU_ord,CH$5-$A32+1)*$B32,0)</f>
        <v>0.0</v>
      </c>
      <c r="CI32" s="14">
        <f>IF(AND(CI$5-$A32&gt;=0,CI$5-$A32&lt;=19),INDEX(HU_ord,CI$5-$A32+1)*$B32,0)</f>
        <v>0.0</v>
      </c>
      <c r="CJ32" s="14">
        <f>IF(AND(CJ$5-$A32&gt;=0,CJ$5-$A32&lt;=19),INDEX(HU_ord,CJ$5-$A32+1)*$B32,0)</f>
        <v>0.0</v>
      </c>
      <c r="CK32" s="14">
        <f>IF(AND(CK$5-$A32&gt;=0,CK$5-$A32&lt;=19),INDEX(HU_ord,CK$5-$A32+1)*$B32,0)</f>
        <v>0.0</v>
      </c>
      <c r="CL32" s="14">
        <f>IF(AND(CL$5-$A32&gt;=0,CL$5-$A32&lt;=19),INDEX(HU_ord,CL$5-$A32+1)*$B32,0)</f>
        <v>0.0</v>
      </c>
      <c r="CM32" s="14">
        <f>IF(AND(CM$5-$A32&gt;=0,CM$5-$A32&lt;=19),INDEX(HU_ord,CM$5-$A32+1)*$B32,0)</f>
        <v>0.0</v>
      </c>
      <c r="CN32" s="14">
        <f>IF(AND(CN$5-$A32&gt;=0,CN$5-$A32&lt;=19),INDEX(HU_ord,CN$5-$A32+1)*$B32,0)</f>
        <v>0.0</v>
      </c>
      <c r="CO32" s="14">
        <f>IF(AND(CO$5-$A32&gt;=0,CO$5-$A32&lt;=19),INDEX(HU_ord,CO$5-$A32+1)*$B32,0)</f>
        <v>0.0</v>
      </c>
      <c r="CP32" s="14">
        <f>IF(AND(CP$5-$A32&gt;=0,CP$5-$A32&lt;=19),INDEX(HU_ord,CP$5-$A32+1)*$B32,0)</f>
        <v>0.0</v>
      </c>
      <c r="CQ32" s="14">
        <f>IF(AND(CQ$5-$A32&gt;=0,CQ$5-$A32&lt;=19),INDEX(HU_ord,CQ$5-$A32+1)*$B32,0)</f>
        <v>0.0</v>
      </c>
      <c r="CR32" s="14">
        <f>IF(AND(CR$5-$A32&gt;=0,CR$5-$A32&lt;=19),INDEX(HU_ord,CR$5-$A32+1)*$B32,0)</f>
        <v>0.0</v>
      </c>
      <c r="CS32" s="14">
        <f>IF(AND(CS$5-$A32&gt;=0,CS$5-$A32&lt;=19),INDEX(HU_ord,CS$5-$A32+1)*$B32,0)</f>
        <v>0.0</v>
      </c>
      <c r="CT32" s="14">
        <f>IF(AND(CT$5-$A32&gt;=0,CT$5-$A32&lt;=19),INDEX(HU_ord,CT$5-$A32+1)*$B32,0)</f>
        <v>0.0</v>
      </c>
      <c r="CU32" s="14">
        <f>IF(AND(CU$5-$A32&gt;=0,CU$5-$A32&lt;=19),INDEX(HU_ord,CU$5-$A32+1)*$B32,0)</f>
        <v>0.0</v>
      </c>
      <c r="CV32" s="14">
        <f>IF(AND(CV$5-$A32&gt;=0,CV$5-$A32&lt;=19),INDEX(HU_ord,CV$5-$A32+1)*$B32,0)</f>
        <v>0.0</v>
      </c>
      <c r="CW32" s="14">
        <f>IF(AND(CW$5-$A32&gt;=0,CW$5-$A32&lt;=19),INDEX(HU_ord,CW$5-$A32+1)*$B32,0)</f>
        <v>0.0</v>
      </c>
      <c r="CX32" s="14">
        <f>IF(AND(CX$5-$A32&gt;=0,CX$5-$A32&lt;=19),INDEX(HU_ord,CX$5-$A32+1)*$B32,0)</f>
        <v>0.0</v>
      </c>
      <c r="CY32" s="14">
        <f>IF(AND(CY$5-$A32&gt;=0,CY$5-$A32&lt;=19),INDEX(HU_ord,CY$5-$A32+1)*$B32,0)</f>
        <v>0.0</v>
      </c>
      <c r="CZ32" s="14">
        <f>IF(AND(CZ$5-$A32&gt;=0,CZ$5-$A32&lt;=19),INDEX(HU_ord,CZ$5-$A32+1)*$B32,0)</f>
        <v>0.0</v>
      </c>
      <c r="DA32" s="14">
        <f>IF(AND(DA$5-$A32&gt;=0,DA$5-$A32&lt;=19),INDEX(HU_ord,DA$5-$A32+1)*$B32,0)</f>
        <v>0.0</v>
      </c>
      <c r="DB32" s="14">
        <f>IF(AND(DB$5-$A32&gt;=0,DB$5-$A32&lt;=19),INDEX(HU_ord,DB$5-$A32+1)*$B32,0)</f>
        <v>0.0</v>
      </c>
      <c r="DC32" s="14">
        <f>IF(AND(DC$5-$A32&gt;=0,DC$5-$A32&lt;=19),INDEX(HU_ord,DC$5-$A32+1)*$B32,0)</f>
        <v>0.0</v>
      </c>
      <c r="DD32" s="14">
        <f>IF(AND(DD$5-$A32&gt;=0,DD$5-$A32&lt;=19),INDEX(HU_ord,DD$5-$A32+1)*$B32,0)</f>
        <v>0.0</v>
      </c>
      <c r="DE32" s="14">
        <f>IF(AND(DE$5-$A32&gt;=0,DE$5-$A32&lt;=19),INDEX(HU_ord,DE$5-$A32+1)*$B32,0)</f>
        <v>0.0</v>
      </c>
      <c r="DF32" s="14">
        <f>IF(AND(DF$5-$A32&gt;=0,DF$5-$A32&lt;=19),INDEX(HU_ord,DF$5-$A32+1)*$B32,0)</f>
        <v>0.0</v>
      </c>
      <c r="DG32" s="14">
        <f>IF(AND(DG$5-$A32&gt;=0,DG$5-$A32&lt;=19),INDEX(HU_ord,DG$5-$A32+1)*$B32,0)</f>
        <v>0.0</v>
      </c>
      <c r="DH32" s="14">
        <f>IF(AND(DH$5-$A32&gt;=0,DH$5-$A32&lt;=19),INDEX(HU_ord,DH$5-$A32+1)*$B32,0)</f>
        <v>0.0</v>
      </c>
      <c r="DI32" s="14">
        <f>IF(AND(DI$5-$A32&gt;=0,DI$5-$A32&lt;=19),INDEX(HU_ord,DI$5-$A32+1)*$B32,0)</f>
        <v>0.0</v>
      </c>
    </row>
    <row r="33" spans="1:113">
      <c r="A33">
        <v>27</v>
      </c>
      <c r="B33" s="10">
        <f>Serie_horaria!N29</f>
        <v>0.0</v>
      </c>
      <c r="C33" s="14">
        <f>IF(AND(C$5-$A33&gt;=0,C$5-$A33&lt;=19),INDEX(HU_ord,C$5-$A33+1)*$B33,0)</f>
        <v>0.0</v>
      </c>
      <c r="D33" s="14">
        <f>IF(AND(D$5-$A33&gt;=0,D$5-$A33&lt;=19),INDEX(HU_ord,D$5-$A33+1)*$B33,0)</f>
        <v>0.0</v>
      </c>
      <c r="E33" s="14">
        <f>IF(AND(E$5-$A33&gt;=0,E$5-$A33&lt;=19),INDEX(HU_ord,E$5-$A33+1)*$B33,0)</f>
        <v>0.0</v>
      </c>
      <c r="F33" s="14">
        <f>IF(AND(F$5-$A33&gt;=0,F$5-$A33&lt;=19),INDEX(HU_ord,F$5-$A33+1)*$B33,0)</f>
        <v>0.0</v>
      </c>
      <c r="G33" s="14">
        <f>IF(AND(G$5-$A33&gt;=0,G$5-$A33&lt;=19),INDEX(HU_ord,G$5-$A33+1)*$B33,0)</f>
        <v>0.0</v>
      </c>
      <c r="H33" s="14">
        <f>IF(AND(H$5-$A33&gt;=0,H$5-$A33&lt;=19),INDEX(HU_ord,H$5-$A33+1)*$B33,0)</f>
        <v>0.0</v>
      </c>
      <c r="I33" s="14">
        <f>IF(AND(I$5-$A33&gt;=0,I$5-$A33&lt;=19),INDEX(HU_ord,I$5-$A33+1)*$B33,0)</f>
        <v>0.0</v>
      </c>
      <c r="J33" s="14">
        <f>IF(AND(J$5-$A33&gt;=0,J$5-$A33&lt;=19),INDEX(HU_ord,J$5-$A33+1)*$B33,0)</f>
        <v>0.0</v>
      </c>
      <c r="K33" s="14">
        <f>IF(AND(K$5-$A33&gt;=0,K$5-$A33&lt;=19),INDEX(HU_ord,K$5-$A33+1)*$B33,0)</f>
        <v>0.0</v>
      </c>
      <c r="L33" s="14">
        <f>IF(AND(L$5-$A33&gt;=0,L$5-$A33&lt;=19),INDEX(HU_ord,L$5-$A33+1)*$B33,0)</f>
        <v>0.0</v>
      </c>
      <c r="M33" s="14">
        <f>IF(AND(M$5-$A33&gt;=0,M$5-$A33&lt;=19),INDEX(HU_ord,M$5-$A33+1)*$B33,0)</f>
        <v>0.0</v>
      </c>
      <c r="N33" s="14">
        <f>IF(AND(N$5-$A33&gt;=0,N$5-$A33&lt;=19),INDEX(HU_ord,N$5-$A33+1)*$B33,0)</f>
        <v>0.0</v>
      </c>
      <c r="O33" s="14">
        <f>IF(AND(O$5-$A33&gt;=0,O$5-$A33&lt;=19),INDEX(HU_ord,O$5-$A33+1)*$B33,0)</f>
        <v>0.0</v>
      </c>
      <c r="P33" s="14">
        <f>IF(AND(P$5-$A33&gt;=0,P$5-$A33&lt;=19),INDEX(HU_ord,P$5-$A33+1)*$B33,0)</f>
        <v>0.0</v>
      </c>
      <c r="Q33" s="14">
        <f>IF(AND(Q$5-$A33&gt;=0,Q$5-$A33&lt;=19),INDEX(HU_ord,Q$5-$A33+1)*$B33,0)</f>
        <v>0.0</v>
      </c>
      <c r="R33" s="14">
        <f>IF(AND(R$5-$A33&gt;=0,R$5-$A33&lt;=19),INDEX(HU_ord,R$5-$A33+1)*$B33,0)</f>
        <v>0.0</v>
      </c>
      <c r="S33" s="14">
        <f>IF(AND(S$5-$A33&gt;=0,S$5-$A33&lt;=19),INDEX(HU_ord,S$5-$A33+1)*$B33,0)</f>
        <v>0.0</v>
      </c>
      <c r="T33" s="14">
        <f>IF(AND(T$5-$A33&gt;=0,T$5-$A33&lt;=19),INDEX(HU_ord,T$5-$A33+1)*$B33,0)</f>
        <v>0.0</v>
      </c>
      <c r="U33" s="14">
        <f>IF(AND(U$5-$A33&gt;=0,U$5-$A33&lt;=19),INDEX(HU_ord,U$5-$A33+1)*$B33,0)</f>
        <v>0.0</v>
      </c>
      <c r="V33" s="14">
        <f>IF(AND(V$5-$A33&gt;=0,V$5-$A33&lt;=19),INDEX(HU_ord,V$5-$A33+1)*$B33,0)</f>
        <v>0.0</v>
      </c>
      <c r="W33" s="14">
        <f>IF(AND(W$5-$A33&gt;=0,W$5-$A33&lt;=19),INDEX(HU_ord,W$5-$A33+1)*$B33,0)</f>
        <v>0.0</v>
      </c>
      <c r="X33" s="14">
        <f>IF(AND(X$5-$A33&gt;=0,X$5-$A33&lt;=19),INDEX(HU_ord,X$5-$A33+1)*$B33,0)</f>
        <v>0.0</v>
      </c>
      <c r="Y33" s="14">
        <f>IF(AND(Y$5-$A33&gt;=0,Y$5-$A33&lt;=19),INDEX(HU_ord,Y$5-$A33+1)*$B33,0)</f>
        <v>0.0</v>
      </c>
      <c r="Z33" s="14">
        <f>IF(AND(Z$5-$A33&gt;=0,Z$5-$A33&lt;=19),INDEX(HU_ord,Z$5-$A33+1)*$B33,0)</f>
        <v>0.0</v>
      </c>
      <c r="AA33" s="14">
        <f>IF(AND(AA$5-$A33&gt;=0,AA$5-$A33&lt;=19),INDEX(HU_ord,AA$5-$A33+1)*$B33,0)</f>
        <v>0.0</v>
      </c>
      <c r="AB33" s="14">
        <f>IF(AND(AB$5-$A33&gt;=0,AB$5-$A33&lt;=19),INDEX(HU_ord,AB$5-$A33+1)*$B33,0)</f>
        <v>0.0</v>
      </c>
      <c r="AC33" s="14">
        <f>IF(AND(AC$5-$A33&gt;=0,AC$5-$A33&lt;=19),INDEX(HU_ord,AC$5-$A33+1)*$B33,0)</f>
        <v>0.0</v>
      </c>
      <c r="AD33" s="14">
        <f>IF(AND(AD$5-$A33&gt;=0,AD$5-$A33&lt;=19),INDEX(HU_ord,AD$5-$A33+1)*$B33,0)</f>
        <v>0.0</v>
      </c>
      <c r="AE33" s="14">
        <f>IF(AND(AE$5-$A33&gt;=0,AE$5-$A33&lt;=19),INDEX(HU_ord,AE$5-$A33+1)*$B33,0)</f>
        <v>0.0</v>
      </c>
      <c r="AF33" s="14">
        <f>IF(AND(AF$5-$A33&gt;=0,AF$5-$A33&lt;=19),INDEX(HU_ord,AF$5-$A33+1)*$B33,0)</f>
        <v>0.0</v>
      </c>
      <c r="AG33" s="14">
        <f>IF(AND(AG$5-$A33&gt;=0,AG$5-$A33&lt;=19),INDEX(HU_ord,AG$5-$A33+1)*$B33,0)</f>
        <v>0.0</v>
      </c>
      <c r="AH33" s="14">
        <f>IF(AND(AH$5-$A33&gt;=0,AH$5-$A33&lt;=19),INDEX(HU_ord,AH$5-$A33+1)*$B33,0)</f>
        <v>0.0</v>
      </c>
      <c r="AI33" s="14">
        <f>IF(AND(AI$5-$A33&gt;=0,AI$5-$A33&lt;=19),INDEX(HU_ord,AI$5-$A33+1)*$B33,0)</f>
        <v>0.0</v>
      </c>
      <c r="AJ33" s="14">
        <f>IF(AND(AJ$5-$A33&gt;=0,AJ$5-$A33&lt;=19),INDEX(HU_ord,AJ$5-$A33+1)*$B33,0)</f>
        <v>0.0</v>
      </c>
      <c r="AK33" s="14">
        <f>IF(AND(AK$5-$A33&gt;=0,AK$5-$A33&lt;=19),INDEX(HU_ord,AK$5-$A33+1)*$B33,0)</f>
        <v>0.0</v>
      </c>
      <c r="AL33" s="14">
        <f>IF(AND(AL$5-$A33&gt;=0,AL$5-$A33&lt;=19),INDEX(HU_ord,AL$5-$A33+1)*$B33,0)</f>
        <v>0.0</v>
      </c>
      <c r="AM33" s="14">
        <f>IF(AND(AM$5-$A33&gt;=0,AM$5-$A33&lt;=19),INDEX(HU_ord,AM$5-$A33+1)*$B33,0)</f>
        <v>0.0</v>
      </c>
      <c r="AN33" s="14">
        <f>IF(AND(AN$5-$A33&gt;=0,AN$5-$A33&lt;=19),INDEX(HU_ord,AN$5-$A33+1)*$B33,0)</f>
        <v>0.0</v>
      </c>
      <c r="AO33" s="14">
        <f>IF(AND(AO$5-$A33&gt;=0,AO$5-$A33&lt;=19),INDEX(HU_ord,AO$5-$A33+1)*$B33,0)</f>
        <v>0.0</v>
      </c>
      <c r="AP33" s="14">
        <f>IF(AND(AP$5-$A33&gt;=0,AP$5-$A33&lt;=19),INDEX(HU_ord,AP$5-$A33+1)*$B33,0)</f>
        <v>0.0</v>
      </c>
      <c r="AQ33" s="14">
        <f>IF(AND(AQ$5-$A33&gt;=0,AQ$5-$A33&lt;=19),INDEX(HU_ord,AQ$5-$A33+1)*$B33,0)</f>
        <v>0.0</v>
      </c>
      <c r="AR33" s="14">
        <f>IF(AND(AR$5-$A33&gt;=0,AR$5-$A33&lt;=19),INDEX(HU_ord,AR$5-$A33+1)*$B33,0)</f>
        <v>0.0</v>
      </c>
      <c r="AS33" s="14">
        <f>IF(AND(AS$5-$A33&gt;=0,AS$5-$A33&lt;=19),INDEX(HU_ord,AS$5-$A33+1)*$B33,0)</f>
        <v>0.0</v>
      </c>
      <c r="AT33" s="14">
        <f>IF(AND(AT$5-$A33&gt;=0,AT$5-$A33&lt;=19),INDEX(HU_ord,AT$5-$A33+1)*$B33,0)</f>
        <v>0.0</v>
      </c>
      <c r="AU33" s="14">
        <f>IF(AND(AU$5-$A33&gt;=0,AU$5-$A33&lt;=19),INDEX(HU_ord,AU$5-$A33+1)*$B33,0)</f>
        <v>0.0</v>
      </c>
      <c r="AV33" s="14">
        <f>IF(AND(AV$5-$A33&gt;=0,AV$5-$A33&lt;=19),INDEX(HU_ord,AV$5-$A33+1)*$B33,0)</f>
        <v>0.0</v>
      </c>
      <c r="AW33" s="14">
        <f>IF(AND(AW$5-$A33&gt;=0,AW$5-$A33&lt;=19),INDEX(HU_ord,AW$5-$A33+1)*$B33,0)</f>
        <v>0.0</v>
      </c>
      <c r="AX33" s="14">
        <f>IF(AND(AX$5-$A33&gt;=0,AX$5-$A33&lt;=19),INDEX(HU_ord,AX$5-$A33+1)*$B33,0)</f>
        <v>0.0</v>
      </c>
      <c r="AY33" s="14">
        <f>IF(AND(AY$5-$A33&gt;=0,AY$5-$A33&lt;=19),INDEX(HU_ord,AY$5-$A33+1)*$B33,0)</f>
        <v>0.0</v>
      </c>
      <c r="AZ33" s="14">
        <f>IF(AND(AZ$5-$A33&gt;=0,AZ$5-$A33&lt;=19),INDEX(HU_ord,AZ$5-$A33+1)*$B33,0)</f>
        <v>0.0</v>
      </c>
      <c r="BA33" s="14">
        <f>IF(AND(BA$5-$A33&gt;=0,BA$5-$A33&lt;=19),INDEX(HU_ord,BA$5-$A33+1)*$B33,0)</f>
        <v>0.0</v>
      </c>
      <c r="BB33" s="14">
        <f>IF(AND(BB$5-$A33&gt;=0,BB$5-$A33&lt;=19),INDEX(HU_ord,BB$5-$A33+1)*$B33,0)</f>
        <v>0.0</v>
      </c>
      <c r="BC33" s="14">
        <f>IF(AND(BC$5-$A33&gt;=0,BC$5-$A33&lt;=19),INDEX(HU_ord,BC$5-$A33+1)*$B33,0)</f>
        <v>0.0</v>
      </c>
      <c r="BD33" s="14">
        <f>IF(AND(BD$5-$A33&gt;=0,BD$5-$A33&lt;=19),INDEX(HU_ord,BD$5-$A33+1)*$B33,0)</f>
        <v>0.0</v>
      </c>
      <c r="BE33" s="14">
        <f>IF(AND(BE$5-$A33&gt;=0,BE$5-$A33&lt;=19),INDEX(HU_ord,BE$5-$A33+1)*$B33,0)</f>
        <v>0.0</v>
      </c>
      <c r="BF33" s="14">
        <f>IF(AND(BF$5-$A33&gt;=0,BF$5-$A33&lt;=19),INDEX(HU_ord,BF$5-$A33+1)*$B33,0)</f>
        <v>0.0</v>
      </c>
      <c r="BG33" s="14">
        <f>IF(AND(BG$5-$A33&gt;=0,BG$5-$A33&lt;=19),INDEX(HU_ord,BG$5-$A33+1)*$B33,0)</f>
        <v>0.0</v>
      </c>
      <c r="BH33" s="14">
        <f>IF(AND(BH$5-$A33&gt;=0,BH$5-$A33&lt;=19),INDEX(HU_ord,BH$5-$A33+1)*$B33,0)</f>
        <v>0.0</v>
      </c>
      <c r="BI33" s="14">
        <f>IF(AND(BI$5-$A33&gt;=0,BI$5-$A33&lt;=19),INDEX(HU_ord,BI$5-$A33+1)*$B33,0)</f>
        <v>0.0</v>
      </c>
      <c r="BJ33" s="14">
        <f>IF(AND(BJ$5-$A33&gt;=0,BJ$5-$A33&lt;=19),INDEX(HU_ord,BJ$5-$A33+1)*$B33,0)</f>
        <v>0.0</v>
      </c>
      <c r="BK33" s="14">
        <f>IF(AND(BK$5-$A33&gt;=0,BK$5-$A33&lt;=19),INDEX(HU_ord,BK$5-$A33+1)*$B33,0)</f>
        <v>0.0</v>
      </c>
      <c r="BL33" s="14">
        <f>IF(AND(BL$5-$A33&gt;=0,BL$5-$A33&lt;=19),INDEX(HU_ord,BL$5-$A33+1)*$B33,0)</f>
        <v>0.0</v>
      </c>
      <c r="BM33" s="14">
        <f>IF(AND(BM$5-$A33&gt;=0,BM$5-$A33&lt;=19),INDEX(HU_ord,BM$5-$A33+1)*$B33,0)</f>
        <v>0.0</v>
      </c>
      <c r="BN33" s="14">
        <f>IF(AND(BN$5-$A33&gt;=0,BN$5-$A33&lt;=19),INDEX(HU_ord,BN$5-$A33+1)*$B33,0)</f>
        <v>0.0</v>
      </c>
      <c r="BO33" s="14">
        <f>IF(AND(BO$5-$A33&gt;=0,BO$5-$A33&lt;=19),INDEX(HU_ord,BO$5-$A33+1)*$B33,0)</f>
        <v>0.0</v>
      </c>
      <c r="BP33" s="14">
        <f>IF(AND(BP$5-$A33&gt;=0,BP$5-$A33&lt;=19),INDEX(HU_ord,BP$5-$A33+1)*$B33,0)</f>
        <v>0.0</v>
      </c>
      <c r="BQ33" s="14">
        <f>IF(AND(BQ$5-$A33&gt;=0,BQ$5-$A33&lt;=19),INDEX(HU_ord,BQ$5-$A33+1)*$B33,0)</f>
        <v>0.0</v>
      </c>
      <c r="BR33" s="14">
        <f>IF(AND(BR$5-$A33&gt;=0,BR$5-$A33&lt;=19),INDEX(HU_ord,BR$5-$A33+1)*$B33,0)</f>
        <v>0.0</v>
      </c>
      <c r="BS33" s="14">
        <f>IF(AND(BS$5-$A33&gt;=0,BS$5-$A33&lt;=19),INDEX(HU_ord,BS$5-$A33+1)*$B33,0)</f>
        <v>0.0</v>
      </c>
      <c r="BT33" s="14">
        <f>IF(AND(BT$5-$A33&gt;=0,BT$5-$A33&lt;=19),INDEX(HU_ord,BT$5-$A33+1)*$B33,0)</f>
        <v>0.0</v>
      </c>
      <c r="BU33" s="14">
        <f>IF(AND(BU$5-$A33&gt;=0,BU$5-$A33&lt;=19),INDEX(HU_ord,BU$5-$A33+1)*$B33,0)</f>
        <v>0.0</v>
      </c>
      <c r="BV33" s="14">
        <f>IF(AND(BV$5-$A33&gt;=0,BV$5-$A33&lt;=19),INDEX(HU_ord,BV$5-$A33+1)*$B33,0)</f>
        <v>0.0</v>
      </c>
      <c r="BW33" s="14">
        <f>IF(AND(BW$5-$A33&gt;=0,BW$5-$A33&lt;=19),INDEX(HU_ord,BW$5-$A33+1)*$B33,0)</f>
        <v>0.0</v>
      </c>
      <c r="BX33" s="14">
        <f>IF(AND(BX$5-$A33&gt;=0,BX$5-$A33&lt;=19),INDEX(HU_ord,BX$5-$A33+1)*$B33,0)</f>
        <v>0.0</v>
      </c>
      <c r="BY33" s="14">
        <f>IF(AND(BY$5-$A33&gt;=0,BY$5-$A33&lt;=19),INDEX(HU_ord,BY$5-$A33+1)*$B33,0)</f>
        <v>0.0</v>
      </c>
      <c r="BZ33" s="14">
        <f>IF(AND(BZ$5-$A33&gt;=0,BZ$5-$A33&lt;=19),INDEX(HU_ord,BZ$5-$A33+1)*$B33,0)</f>
        <v>0.0</v>
      </c>
      <c r="CA33" s="14">
        <f>IF(AND(CA$5-$A33&gt;=0,CA$5-$A33&lt;=19),INDEX(HU_ord,CA$5-$A33+1)*$B33,0)</f>
        <v>0.0</v>
      </c>
      <c r="CB33" s="14">
        <f>IF(AND(CB$5-$A33&gt;=0,CB$5-$A33&lt;=19),INDEX(HU_ord,CB$5-$A33+1)*$B33,0)</f>
        <v>0.0</v>
      </c>
      <c r="CC33" s="14">
        <f>IF(AND(CC$5-$A33&gt;=0,CC$5-$A33&lt;=19),INDEX(HU_ord,CC$5-$A33+1)*$B33,0)</f>
        <v>0.0</v>
      </c>
      <c r="CD33" s="14">
        <f>IF(AND(CD$5-$A33&gt;=0,CD$5-$A33&lt;=19),INDEX(HU_ord,CD$5-$A33+1)*$B33,0)</f>
        <v>0.0</v>
      </c>
      <c r="CE33" s="14">
        <f>IF(AND(CE$5-$A33&gt;=0,CE$5-$A33&lt;=19),INDEX(HU_ord,CE$5-$A33+1)*$B33,0)</f>
        <v>0.0</v>
      </c>
      <c r="CF33" s="14">
        <f>IF(AND(CF$5-$A33&gt;=0,CF$5-$A33&lt;=19),INDEX(HU_ord,CF$5-$A33+1)*$B33,0)</f>
        <v>0.0</v>
      </c>
      <c r="CG33" s="14">
        <f>IF(AND(CG$5-$A33&gt;=0,CG$5-$A33&lt;=19),INDEX(HU_ord,CG$5-$A33+1)*$B33,0)</f>
        <v>0.0</v>
      </c>
      <c r="CH33" s="14">
        <f>IF(AND(CH$5-$A33&gt;=0,CH$5-$A33&lt;=19),INDEX(HU_ord,CH$5-$A33+1)*$B33,0)</f>
        <v>0.0</v>
      </c>
      <c r="CI33" s="14">
        <f>IF(AND(CI$5-$A33&gt;=0,CI$5-$A33&lt;=19),INDEX(HU_ord,CI$5-$A33+1)*$B33,0)</f>
        <v>0.0</v>
      </c>
      <c r="CJ33" s="14">
        <f>IF(AND(CJ$5-$A33&gt;=0,CJ$5-$A33&lt;=19),INDEX(HU_ord,CJ$5-$A33+1)*$B33,0)</f>
        <v>0.0</v>
      </c>
      <c r="CK33" s="14">
        <f>IF(AND(CK$5-$A33&gt;=0,CK$5-$A33&lt;=19),INDEX(HU_ord,CK$5-$A33+1)*$B33,0)</f>
        <v>0.0</v>
      </c>
      <c r="CL33" s="14">
        <f>IF(AND(CL$5-$A33&gt;=0,CL$5-$A33&lt;=19),INDEX(HU_ord,CL$5-$A33+1)*$B33,0)</f>
        <v>0.0</v>
      </c>
      <c r="CM33" s="14">
        <f>IF(AND(CM$5-$A33&gt;=0,CM$5-$A33&lt;=19),INDEX(HU_ord,CM$5-$A33+1)*$B33,0)</f>
        <v>0.0</v>
      </c>
      <c r="CN33" s="14">
        <f>IF(AND(CN$5-$A33&gt;=0,CN$5-$A33&lt;=19),INDEX(HU_ord,CN$5-$A33+1)*$B33,0)</f>
        <v>0.0</v>
      </c>
      <c r="CO33" s="14">
        <f>IF(AND(CO$5-$A33&gt;=0,CO$5-$A33&lt;=19),INDEX(HU_ord,CO$5-$A33+1)*$B33,0)</f>
        <v>0.0</v>
      </c>
      <c r="CP33" s="14">
        <f>IF(AND(CP$5-$A33&gt;=0,CP$5-$A33&lt;=19),INDEX(HU_ord,CP$5-$A33+1)*$B33,0)</f>
        <v>0.0</v>
      </c>
      <c r="CQ33" s="14">
        <f>IF(AND(CQ$5-$A33&gt;=0,CQ$5-$A33&lt;=19),INDEX(HU_ord,CQ$5-$A33+1)*$B33,0)</f>
        <v>0.0</v>
      </c>
      <c r="CR33" s="14">
        <f>IF(AND(CR$5-$A33&gt;=0,CR$5-$A33&lt;=19),INDEX(HU_ord,CR$5-$A33+1)*$B33,0)</f>
        <v>0.0</v>
      </c>
      <c r="CS33" s="14">
        <f>IF(AND(CS$5-$A33&gt;=0,CS$5-$A33&lt;=19),INDEX(HU_ord,CS$5-$A33+1)*$B33,0)</f>
        <v>0.0</v>
      </c>
      <c r="CT33" s="14">
        <f>IF(AND(CT$5-$A33&gt;=0,CT$5-$A33&lt;=19),INDEX(HU_ord,CT$5-$A33+1)*$B33,0)</f>
        <v>0.0</v>
      </c>
      <c r="CU33" s="14">
        <f>IF(AND(CU$5-$A33&gt;=0,CU$5-$A33&lt;=19),INDEX(HU_ord,CU$5-$A33+1)*$B33,0)</f>
        <v>0.0</v>
      </c>
      <c r="CV33" s="14">
        <f>IF(AND(CV$5-$A33&gt;=0,CV$5-$A33&lt;=19),INDEX(HU_ord,CV$5-$A33+1)*$B33,0)</f>
        <v>0.0</v>
      </c>
      <c r="CW33" s="14">
        <f>IF(AND(CW$5-$A33&gt;=0,CW$5-$A33&lt;=19),INDEX(HU_ord,CW$5-$A33+1)*$B33,0)</f>
        <v>0.0</v>
      </c>
      <c r="CX33" s="14">
        <f>IF(AND(CX$5-$A33&gt;=0,CX$5-$A33&lt;=19),INDEX(HU_ord,CX$5-$A33+1)*$B33,0)</f>
        <v>0.0</v>
      </c>
      <c r="CY33" s="14">
        <f>IF(AND(CY$5-$A33&gt;=0,CY$5-$A33&lt;=19),INDEX(HU_ord,CY$5-$A33+1)*$B33,0)</f>
        <v>0.0</v>
      </c>
      <c r="CZ33" s="14">
        <f>IF(AND(CZ$5-$A33&gt;=0,CZ$5-$A33&lt;=19),INDEX(HU_ord,CZ$5-$A33+1)*$B33,0)</f>
        <v>0.0</v>
      </c>
      <c r="DA33" s="14">
        <f>IF(AND(DA$5-$A33&gt;=0,DA$5-$A33&lt;=19),INDEX(HU_ord,DA$5-$A33+1)*$B33,0)</f>
        <v>0.0</v>
      </c>
      <c r="DB33" s="14">
        <f>IF(AND(DB$5-$A33&gt;=0,DB$5-$A33&lt;=19),INDEX(HU_ord,DB$5-$A33+1)*$B33,0)</f>
        <v>0.0</v>
      </c>
      <c r="DC33" s="14">
        <f>IF(AND(DC$5-$A33&gt;=0,DC$5-$A33&lt;=19),INDEX(HU_ord,DC$5-$A33+1)*$B33,0)</f>
        <v>0.0</v>
      </c>
      <c r="DD33" s="14">
        <f>IF(AND(DD$5-$A33&gt;=0,DD$5-$A33&lt;=19),INDEX(HU_ord,DD$5-$A33+1)*$B33,0)</f>
        <v>0.0</v>
      </c>
      <c r="DE33" s="14">
        <f>IF(AND(DE$5-$A33&gt;=0,DE$5-$A33&lt;=19),INDEX(HU_ord,DE$5-$A33+1)*$B33,0)</f>
        <v>0.0</v>
      </c>
      <c r="DF33" s="14">
        <f>IF(AND(DF$5-$A33&gt;=0,DF$5-$A33&lt;=19),INDEX(HU_ord,DF$5-$A33+1)*$B33,0)</f>
        <v>0.0</v>
      </c>
      <c r="DG33" s="14">
        <f>IF(AND(DG$5-$A33&gt;=0,DG$5-$A33&lt;=19),INDEX(HU_ord,DG$5-$A33+1)*$B33,0)</f>
        <v>0.0</v>
      </c>
      <c r="DH33" s="14">
        <f>IF(AND(DH$5-$A33&gt;=0,DH$5-$A33&lt;=19),INDEX(HU_ord,DH$5-$A33+1)*$B33,0)</f>
        <v>0.0</v>
      </c>
      <c r="DI33" s="14">
        <f>IF(AND(DI$5-$A33&gt;=0,DI$5-$A33&lt;=19),INDEX(HU_ord,DI$5-$A33+1)*$B33,0)</f>
        <v>0.0</v>
      </c>
    </row>
    <row r="34" spans="1:113">
      <c r="A34">
        <v>28</v>
      </c>
      <c r="B34" s="10">
        <f>Serie_horaria!N30</f>
        <v>0.0</v>
      </c>
      <c r="C34" s="14">
        <f>IF(AND(C$5-$A34&gt;=0,C$5-$A34&lt;=19),INDEX(HU_ord,C$5-$A34+1)*$B34,0)</f>
        <v>0.0</v>
      </c>
      <c r="D34" s="14">
        <f>IF(AND(D$5-$A34&gt;=0,D$5-$A34&lt;=19),INDEX(HU_ord,D$5-$A34+1)*$B34,0)</f>
        <v>0.0</v>
      </c>
      <c r="E34" s="14">
        <f>IF(AND(E$5-$A34&gt;=0,E$5-$A34&lt;=19),INDEX(HU_ord,E$5-$A34+1)*$B34,0)</f>
        <v>0.0</v>
      </c>
      <c r="F34" s="14">
        <f>IF(AND(F$5-$A34&gt;=0,F$5-$A34&lt;=19),INDEX(HU_ord,F$5-$A34+1)*$B34,0)</f>
        <v>0.0</v>
      </c>
      <c r="G34" s="14">
        <f>IF(AND(G$5-$A34&gt;=0,G$5-$A34&lt;=19),INDEX(HU_ord,G$5-$A34+1)*$B34,0)</f>
        <v>0.0</v>
      </c>
      <c r="H34" s="14">
        <f>IF(AND(H$5-$A34&gt;=0,H$5-$A34&lt;=19),INDEX(HU_ord,H$5-$A34+1)*$B34,0)</f>
        <v>0.0</v>
      </c>
      <c r="I34" s="14">
        <f>IF(AND(I$5-$A34&gt;=0,I$5-$A34&lt;=19),INDEX(HU_ord,I$5-$A34+1)*$B34,0)</f>
        <v>0.0</v>
      </c>
      <c r="J34" s="14">
        <f>IF(AND(J$5-$A34&gt;=0,J$5-$A34&lt;=19),INDEX(HU_ord,J$5-$A34+1)*$B34,0)</f>
        <v>0.0</v>
      </c>
      <c r="K34" s="14">
        <f>IF(AND(K$5-$A34&gt;=0,K$5-$A34&lt;=19),INDEX(HU_ord,K$5-$A34+1)*$B34,0)</f>
        <v>0.0</v>
      </c>
      <c r="L34" s="14">
        <f>IF(AND(L$5-$A34&gt;=0,L$5-$A34&lt;=19),INDEX(HU_ord,L$5-$A34+1)*$B34,0)</f>
        <v>0.0</v>
      </c>
      <c r="M34" s="14">
        <f>IF(AND(M$5-$A34&gt;=0,M$5-$A34&lt;=19),INDEX(HU_ord,M$5-$A34+1)*$B34,0)</f>
        <v>0.0</v>
      </c>
      <c r="N34" s="14">
        <f>IF(AND(N$5-$A34&gt;=0,N$5-$A34&lt;=19),INDEX(HU_ord,N$5-$A34+1)*$B34,0)</f>
        <v>0.0</v>
      </c>
      <c r="O34" s="14">
        <f>IF(AND(O$5-$A34&gt;=0,O$5-$A34&lt;=19),INDEX(HU_ord,O$5-$A34+1)*$B34,0)</f>
        <v>0.0</v>
      </c>
      <c r="P34" s="14">
        <f>IF(AND(P$5-$A34&gt;=0,P$5-$A34&lt;=19),INDEX(HU_ord,P$5-$A34+1)*$B34,0)</f>
        <v>0.0</v>
      </c>
      <c r="Q34" s="14">
        <f>IF(AND(Q$5-$A34&gt;=0,Q$5-$A34&lt;=19),INDEX(HU_ord,Q$5-$A34+1)*$B34,0)</f>
        <v>0.0</v>
      </c>
      <c r="R34" s="14">
        <f>IF(AND(R$5-$A34&gt;=0,R$5-$A34&lt;=19),INDEX(HU_ord,R$5-$A34+1)*$B34,0)</f>
        <v>0.0</v>
      </c>
      <c r="S34" s="14">
        <f>IF(AND(S$5-$A34&gt;=0,S$5-$A34&lt;=19),INDEX(HU_ord,S$5-$A34+1)*$B34,0)</f>
        <v>0.0</v>
      </c>
      <c r="T34" s="14">
        <f>IF(AND(T$5-$A34&gt;=0,T$5-$A34&lt;=19),INDEX(HU_ord,T$5-$A34+1)*$B34,0)</f>
        <v>0.0</v>
      </c>
      <c r="U34" s="14">
        <f>IF(AND(U$5-$A34&gt;=0,U$5-$A34&lt;=19),INDEX(HU_ord,U$5-$A34+1)*$B34,0)</f>
        <v>0.0</v>
      </c>
      <c r="V34" s="14">
        <f>IF(AND(V$5-$A34&gt;=0,V$5-$A34&lt;=19),INDEX(HU_ord,V$5-$A34+1)*$B34,0)</f>
        <v>0.0</v>
      </c>
      <c r="W34" s="14">
        <f>IF(AND(W$5-$A34&gt;=0,W$5-$A34&lt;=19),INDEX(HU_ord,W$5-$A34+1)*$B34,0)</f>
        <v>0.0</v>
      </c>
      <c r="X34" s="14">
        <f>IF(AND(X$5-$A34&gt;=0,X$5-$A34&lt;=19),INDEX(HU_ord,X$5-$A34+1)*$B34,0)</f>
        <v>0.0</v>
      </c>
      <c r="Y34" s="14">
        <f>IF(AND(Y$5-$A34&gt;=0,Y$5-$A34&lt;=19),INDEX(HU_ord,Y$5-$A34+1)*$B34,0)</f>
        <v>0.0</v>
      </c>
      <c r="Z34" s="14">
        <f>IF(AND(Z$5-$A34&gt;=0,Z$5-$A34&lt;=19),INDEX(HU_ord,Z$5-$A34+1)*$B34,0)</f>
        <v>0.0</v>
      </c>
      <c r="AA34" s="14">
        <f>IF(AND(AA$5-$A34&gt;=0,AA$5-$A34&lt;=19),INDEX(HU_ord,AA$5-$A34+1)*$B34,0)</f>
        <v>0.0</v>
      </c>
      <c r="AB34" s="14">
        <f>IF(AND(AB$5-$A34&gt;=0,AB$5-$A34&lt;=19),INDEX(HU_ord,AB$5-$A34+1)*$B34,0)</f>
        <v>0.0</v>
      </c>
      <c r="AC34" s="14">
        <f>IF(AND(AC$5-$A34&gt;=0,AC$5-$A34&lt;=19),INDEX(HU_ord,AC$5-$A34+1)*$B34,0)</f>
        <v>0.0</v>
      </c>
      <c r="AD34" s="14">
        <f>IF(AND(AD$5-$A34&gt;=0,AD$5-$A34&lt;=19),INDEX(HU_ord,AD$5-$A34+1)*$B34,0)</f>
        <v>0.0</v>
      </c>
      <c r="AE34" s="14">
        <f>IF(AND(AE$5-$A34&gt;=0,AE$5-$A34&lt;=19),INDEX(HU_ord,AE$5-$A34+1)*$B34,0)</f>
        <v>0.0</v>
      </c>
      <c r="AF34" s="14">
        <f>IF(AND(AF$5-$A34&gt;=0,AF$5-$A34&lt;=19),INDEX(HU_ord,AF$5-$A34+1)*$B34,0)</f>
        <v>0.0</v>
      </c>
      <c r="AG34" s="14">
        <f>IF(AND(AG$5-$A34&gt;=0,AG$5-$A34&lt;=19),INDEX(HU_ord,AG$5-$A34+1)*$B34,0)</f>
        <v>0.0</v>
      </c>
      <c r="AH34" s="14">
        <f>IF(AND(AH$5-$A34&gt;=0,AH$5-$A34&lt;=19),INDEX(HU_ord,AH$5-$A34+1)*$B34,0)</f>
        <v>0.0</v>
      </c>
      <c r="AI34" s="14">
        <f>IF(AND(AI$5-$A34&gt;=0,AI$5-$A34&lt;=19),INDEX(HU_ord,AI$5-$A34+1)*$B34,0)</f>
        <v>0.0</v>
      </c>
      <c r="AJ34" s="14">
        <f>IF(AND(AJ$5-$A34&gt;=0,AJ$5-$A34&lt;=19),INDEX(HU_ord,AJ$5-$A34+1)*$B34,0)</f>
        <v>0.0</v>
      </c>
      <c r="AK34" s="14">
        <f>IF(AND(AK$5-$A34&gt;=0,AK$5-$A34&lt;=19),INDEX(HU_ord,AK$5-$A34+1)*$B34,0)</f>
        <v>0.0</v>
      </c>
      <c r="AL34" s="14">
        <f>IF(AND(AL$5-$A34&gt;=0,AL$5-$A34&lt;=19),INDEX(HU_ord,AL$5-$A34+1)*$B34,0)</f>
        <v>0.0</v>
      </c>
      <c r="AM34" s="14">
        <f>IF(AND(AM$5-$A34&gt;=0,AM$5-$A34&lt;=19),INDEX(HU_ord,AM$5-$A34+1)*$B34,0)</f>
        <v>0.0</v>
      </c>
      <c r="AN34" s="14">
        <f>IF(AND(AN$5-$A34&gt;=0,AN$5-$A34&lt;=19),INDEX(HU_ord,AN$5-$A34+1)*$B34,0)</f>
        <v>0.0</v>
      </c>
      <c r="AO34" s="14">
        <f>IF(AND(AO$5-$A34&gt;=0,AO$5-$A34&lt;=19),INDEX(HU_ord,AO$5-$A34+1)*$B34,0)</f>
        <v>0.0</v>
      </c>
      <c r="AP34" s="14">
        <f>IF(AND(AP$5-$A34&gt;=0,AP$5-$A34&lt;=19),INDEX(HU_ord,AP$5-$A34+1)*$B34,0)</f>
        <v>0.0</v>
      </c>
      <c r="AQ34" s="14">
        <f>IF(AND(AQ$5-$A34&gt;=0,AQ$5-$A34&lt;=19),INDEX(HU_ord,AQ$5-$A34+1)*$B34,0)</f>
        <v>0.0</v>
      </c>
      <c r="AR34" s="14">
        <f>IF(AND(AR$5-$A34&gt;=0,AR$5-$A34&lt;=19),INDEX(HU_ord,AR$5-$A34+1)*$B34,0)</f>
        <v>0.0</v>
      </c>
      <c r="AS34" s="14">
        <f>IF(AND(AS$5-$A34&gt;=0,AS$5-$A34&lt;=19),INDEX(HU_ord,AS$5-$A34+1)*$B34,0)</f>
        <v>0.0</v>
      </c>
      <c r="AT34" s="14">
        <f>IF(AND(AT$5-$A34&gt;=0,AT$5-$A34&lt;=19),INDEX(HU_ord,AT$5-$A34+1)*$B34,0)</f>
        <v>0.0</v>
      </c>
      <c r="AU34" s="14">
        <f>IF(AND(AU$5-$A34&gt;=0,AU$5-$A34&lt;=19),INDEX(HU_ord,AU$5-$A34+1)*$B34,0)</f>
        <v>0.0</v>
      </c>
      <c r="AV34" s="14">
        <f>IF(AND(AV$5-$A34&gt;=0,AV$5-$A34&lt;=19),INDEX(HU_ord,AV$5-$A34+1)*$B34,0)</f>
        <v>0.0</v>
      </c>
      <c r="AW34" s="14">
        <f>IF(AND(AW$5-$A34&gt;=0,AW$5-$A34&lt;=19),INDEX(HU_ord,AW$5-$A34+1)*$B34,0)</f>
        <v>0.0</v>
      </c>
      <c r="AX34" s="14">
        <f>IF(AND(AX$5-$A34&gt;=0,AX$5-$A34&lt;=19),INDEX(HU_ord,AX$5-$A34+1)*$B34,0)</f>
        <v>0.0</v>
      </c>
      <c r="AY34" s="14">
        <f>IF(AND(AY$5-$A34&gt;=0,AY$5-$A34&lt;=19),INDEX(HU_ord,AY$5-$A34+1)*$B34,0)</f>
        <v>0.0</v>
      </c>
      <c r="AZ34" s="14">
        <f>IF(AND(AZ$5-$A34&gt;=0,AZ$5-$A34&lt;=19),INDEX(HU_ord,AZ$5-$A34+1)*$B34,0)</f>
        <v>0.0</v>
      </c>
      <c r="BA34" s="14">
        <f>IF(AND(BA$5-$A34&gt;=0,BA$5-$A34&lt;=19),INDEX(HU_ord,BA$5-$A34+1)*$B34,0)</f>
        <v>0.0</v>
      </c>
      <c r="BB34" s="14">
        <f>IF(AND(BB$5-$A34&gt;=0,BB$5-$A34&lt;=19),INDEX(HU_ord,BB$5-$A34+1)*$B34,0)</f>
        <v>0.0</v>
      </c>
      <c r="BC34" s="14">
        <f>IF(AND(BC$5-$A34&gt;=0,BC$5-$A34&lt;=19),INDEX(HU_ord,BC$5-$A34+1)*$B34,0)</f>
        <v>0.0</v>
      </c>
      <c r="BD34" s="14">
        <f>IF(AND(BD$5-$A34&gt;=0,BD$5-$A34&lt;=19),INDEX(HU_ord,BD$5-$A34+1)*$B34,0)</f>
        <v>0.0</v>
      </c>
      <c r="BE34" s="14">
        <f>IF(AND(BE$5-$A34&gt;=0,BE$5-$A34&lt;=19),INDEX(HU_ord,BE$5-$A34+1)*$B34,0)</f>
        <v>0.0</v>
      </c>
      <c r="BF34" s="14">
        <f>IF(AND(BF$5-$A34&gt;=0,BF$5-$A34&lt;=19),INDEX(HU_ord,BF$5-$A34+1)*$B34,0)</f>
        <v>0.0</v>
      </c>
      <c r="BG34" s="14">
        <f>IF(AND(BG$5-$A34&gt;=0,BG$5-$A34&lt;=19),INDEX(HU_ord,BG$5-$A34+1)*$B34,0)</f>
        <v>0.0</v>
      </c>
      <c r="BH34" s="14">
        <f>IF(AND(BH$5-$A34&gt;=0,BH$5-$A34&lt;=19),INDEX(HU_ord,BH$5-$A34+1)*$B34,0)</f>
        <v>0.0</v>
      </c>
      <c r="BI34" s="14">
        <f>IF(AND(BI$5-$A34&gt;=0,BI$5-$A34&lt;=19),INDEX(HU_ord,BI$5-$A34+1)*$B34,0)</f>
        <v>0.0</v>
      </c>
      <c r="BJ34" s="14">
        <f>IF(AND(BJ$5-$A34&gt;=0,BJ$5-$A34&lt;=19),INDEX(HU_ord,BJ$5-$A34+1)*$B34,0)</f>
        <v>0.0</v>
      </c>
      <c r="BK34" s="14">
        <f>IF(AND(BK$5-$A34&gt;=0,BK$5-$A34&lt;=19),INDEX(HU_ord,BK$5-$A34+1)*$B34,0)</f>
        <v>0.0</v>
      </c>
      <c r="BL34" s="14">
        <f>IF(AND(BL$5-$A34&gt;=0,BL$5-$A34&lt;=19),INDEX(HU_ord,BL$5-$A34+1)*$B34,0)</f>
        <v>0.0</v>
      </c>
      <c r="BM34" s="14">
        <f>IF(AND(BM$5-$A34&gt;=0,BM$5-$A34&lt;=19),INDEX(HU_ord,BM$5-$A34+1)*$B34,0)</f>
        <v>0.0</v>
      </c>
      <c r="BN34" s="14">
        <f>IF(AND(BN$5-$A34&gt;=0,BN$5-$A34&lt;=19),INDEX(HU_ord,BN$5-$A34+1)*$B34,0)</f>
        <v>0.0</v>
      </c>
      <c r="BO34" s="14">
        <f>IF(AND(BO$5-$A34&gt;=0,BO$5-$A34&lt;=19),INDEX(HU_ord,BO$5-$A34+1)*$B34,0)</f>
        <v>0.0</v>
      </c>
      <c r="BP34" s="14">
        <f>IF(AND(BP$5-$A34&gt;=0,BP$5-$A34&lt;=19),INDEX(HU_ord,BP$5-$A34+1)*$B34,0)</f>
        <v>0.0</v>
      </c>
      <c r="BQ34" s="14">
        <f>IF(AND(BQ$5-$A34&gt;=0,BQ$5-$A34&lt;=19),INDEX(HU_ord,BQ$5-$A34+1)*$B34,0)</f>
        <v>0.0</v>
      </c>
      <c r="BR34" s="14">
        <f>IF(AND(BR$5-$A34&gt;=0,BR$5-$A34&lt;=19),INDEX(HU_ord,BR$5-$A34+1)*$B34,0)</f>
        <v>0.0</v>
      </c>
      <c r="BS34" s="14">
        <f>IF(AND(BS$5-$A34&gt;=0,BS$5-$A34&lt;=19),INDEX(HU_ord,BS$5-$A34+1)*$B34,0)</f>
        <v>0.0</v>
      </c>
      <c r="BT34" s="14">
        <f>IF(AND(BT$5-$A34&gt;=0,BT$5-$A34&lt;=19),INDEX(HU_ord,BT$5-$A34+1)*$B34,0)</f>
        <v>0.0</v>
      </c>
      <c r="BU34" s="14">
        <f>IF(AND(BU$5-$A34&gt;=0,BU$5-$A34&lt;=19),INDEX(HU_ord,BU$5-$A34+1)*$B34,0)</f>
        <v>0.0</v>
      </c>
      <c r="BV34" s="14">
        <f>IF(AND(BV$5-$A34&gt;=0,BV$5-$A34&lt;=19),INDEX(HU_ord,BV$5-$A34+1)*$B34,0)</f>
        <v>0.0</v>
      </c>
      <c r="BW34" s="14">
        <f>IF(AND(BW$5-$A34&gt;=0,BW$5-$A34&lt;=19),INDEX(HU_ord,BW$5-$A34+1)*$B34,0)</f>
        <v>0.0</v>
      </c>
      <c r="BX34" s="14">
        <f>IF(AND(BX$5-$A34&gt;=0,BX$5-$A34&lt;=19),INDEX(HU_ord,BX$5-$A34+1)*$B34,0)</f>
        <v>0.0</v>
      </c>
      <c r="BY34" s="14">
        <f>IF(AND(BY$5-$A34&gt;=0,BY$5-$A34&lt;=19),INDEX(HU_ord,BY$5-$A34+1)*$B34,0)</f>
        <v>0.0</v>
      </c>
      <c r="BZ34" s="14">
        <f>IF(AND(BZ$5-$A34&gt;=0,BZ$5-$A34&lt;=19),INDEX(HU_ord,BZ$5-$A34+1)*$B34,0)</f>
        <v>0.0</v>
      </c>
      <c r="CA34" s="14">
        <f>IF(AND(CA$5-$A34&gt;=0,CA$5-$A34&lt;=19),INDEX(HU_ord,CA$5-$A34+1)*$B34,0)</f>
        <v>0.0</v>
      </c>
      <c r="CB34" s="14">
        <f>IF(AND(CB$5-$A34&gt;=0,CB$5-$A34&lt;=19),INDEX(HU_ord,CB$5-$A34+1)*$B34,0)</f>
        <v>0.0</v>
      </c>
      <c r="CC34" s="14">
        <f>IF(AND(CC$5-$A34&gt;=0,CC$5-$A34&lt;=19),INDEX(HU_ord,CC$5-$A34+1)*$B34,0)</f>
        <v>0.0</v>
      </c>
      <c r="CD34" s="14">
        <f>IF(AND(CD$5-$A34&gt;=0,CD$5-$A34&lt;=19),INDEX(HU_ord,CD$5-$A34+1)*$B34,0)</f>
        <v>0.0</v>
      </c>
      <c r="CE34" s="14">
        <f>IF(AND(CE$5-$A34&gt;=0,CE$5-$A34&lt;=19),INDEX(HU_ord,CE$5-$A34+1)*$B34,0)</f>
        <v>0.0</v>
      </c>
      <c r="CF34" s="14">
        <f>IF(AND(CF$5-$A34&gt;=0,CF$5-$A34&lt;=19),INDEX(HU_ord,CF$5-$A34+1)*$B34,0)</f>
        <v>0.0</v>
      </c>
      <c r="CG34" s="14">
        <f>IF(AND(CG$5-$A34&gt;=0,CG$5-$A34&lt;=19),INDEX(HU_ord,CG$5-$A34+1)*$B34,0)</f>
        <v>0.0</v>
      </c>
      <c r="CH34" s="14">
        <f>IF(AND(CH$5-$A34&gt;=0,CH$5-$A34&lt;=19),INDEX(HU_ord,CH$5-$A34+1)*$B34,0)</f>
        <v>0.0</v>
      </c>
      <c r="CI34" s="14">
        <f>IF(AND(CI$5-$A34&gt;=0,CI$5-$A34&lt;=19),INDEX(HU_ord,CI$5-$A34+1)*$B34,0)</f>
        <v>0.0</v>
      </c>
      <c r="CJ34" s="14">
        <f>IF(AND(CJ$5-$A34&gt;=0,CJ$5-$A34&lt;=19),INDEX(HU_ord,CJ$5-$A34+1)*$B34,0)</f>
        <v>0.0</v>
      </c>
      <c r="CK34" s="14">
        <f>IF(AND(CK$5-$A34&gt;=0,CK$5-$A34&lt;=19),INDEX(HU_ord,CK$5-$A34+1)*$B34,0)</f>
        <v>0.0</v>
      </c>
      <c r="CL34" s="14">
        <f>IF(AND(CL$5-$A34&gt;=0,CL$5-$A34&lt;=19),INDEX(HU_ord,CL$5-$A34+1)*$B34,0)</f>
        <v>0.0</v>
      </c>
      <c r="CM34" s="14">
        <f>IF(AND(CM$5-$A34&gt;=0,CM$5-$A34&lt;=19),INDEX(HU_ord,CM$5-$A34+1)*$B34,0)</f>
        <v>0.0</v>
      </c>
      <c r="CN34" s="14">
        <f>IF(AND(CN$5-$A34&gt;=0,CN$5-$A34&lt;=19),INDEX(HU_ord,CN$5-$A34+1)*$B34,0)</f>
        <v>0.0</v>
      </c>
      <c r="CO34" s="14">
        <f>IF(AND(CO$5-$A34&gt;=0,CO$5-$A34&lt;=19),INDEX(HU_ord,CO$5-$A34+1)*$B34,0)</f>
        <v>0.0</v>
      </c>
      <c r="CP34" s="14">
        <f>IF(AND(CP$5-$A34&gt;=0,CP$5-$A34&lt;=19),INDEX(HU_ord,CP$5-$A34+1)*$B34,0)</f>
        <v>0.0</v>
      </c>
      <c r="CQ34" s="14">
        <f>IF(AND(CQ$5-$A34&gt;=0,CQ$5-$A34&lt;=19),INDEX(HU_ord,CQ$5-$A34+1)*$B34,0)</f>
        <v>0.0</v>
      </c>
      <c r="CR34" s="14">
        <f>IF(AND(CR$5-$A34&gt;=0,CR$5-$A34&lt;=19),INDEX(HU_ord,CR$5-$A34+1)*$B34,0)</f>
        <v>0.0</v>
      </c>
      <c r="CS34" s="14">
        <f>IF(AND(CS$5-$A34&gt;=0,CS$5-$A34&lt;=19),INDEX(HU_ord,CS$5-$A34+1)*$B34,0)</f>
        <v>0.0</v>
      </c>
      <c r="CT34" s="14">
        <f>IF(AND(CT$5-$A34&gt;=0,CT$5-$A34&lt;=19),INDEX(HU_ord,CT$5-$A34+1)*$B34,0)</f>
        <v>0.0</v>
      </c>
      <c r="CU34" s="14">
        <f>IF(AND(CU$5-$A34&gt;=0,CU$5-$A34&lt;=19),INDEX(HU_ord,CU$5-$A34+1)*$B34,0)</f>
        <v>0.0</v>
      </c>
      <c r="CV34" s="14">
        <f>IF(AND(CV$5-$A34&gt;=0,CV$5-$A34&lt;=19),INDEX(HU_ord,CV$5-$A34+1)*$B34,0)</f>
        <v>0.0</v>
      </c>
      <c r="CW34" s="14">
        <f>IF(AND(CW$5-$A34&gt;=0,CW$5-$A34&lt;=19),INDEX(HU_ord,CW$5-$A34+1)*$B34,0)</f>
        <v>0.0</v>
      </c>
      <c r="CX34" s="14">
        <f>IF(AND(CX$5-$A34&gt;=0,CX$5-$A34&lt;=19),INDEX(HU_ord,CX$5-$A34+1)*$B34,0)</f>
        <v>0.0</v>
      </c>
      <c r="CY34" s="14">
        <f>IF(AND(CY$5-$A34&gt;=0,CY$5-$A34&lt;=19),INDEX(HU_ord,CY$5-$A34+1)*$B34,0)</f>
        <v>0.0</v>
      </c>
      <c r="CZ34" s="14">
        <f>IF(AND(CZ$5-$A34&gt;=0,CZ$5-$A34&lt;=19),INDEX(HU_ord,CZ$5-$A34+1)*$B34,0)</f>
        <v>0.0</v>
      </c>
      <c r="DA34" s="14">
        <f>IF(AND(DA$5-$A34&gt;=0,DA$5-$A34&lt;=19),INDEX(HU_ord,DA$5-$A34+1)*$B34,0)</f>
        <v>0.0</v>
      </c>
      <c r="DB34" s="14">
        <f>IF(AND(DB$5-$A34&gt;=0,DB$5-$A34&lt;=19),INDEX(HU_ord,DB$5-$A34+1)*$B34,0)</f>
        <v>0.0</v>
      </c>
      <c r="DC34" s="14">
        <f>IF(AND(DC$5-$A34&gt;=0,DC$5-$A34&lt;=19),INDEX(HU_ord,DC$5-$A34+1)*$B34,0)</f>
        <v>0.0</v>
      </c>
      <c r="DD34" s="14">
        <f>IF(AND(DD$5-$A34&gt;=0,DD$5-$A34&lt;=19),INDEX(HU_ord,DD$5-$A34+1)*$B34,0)</f>
        <v>0.0</v>
      </c>
      <c r="DE34" s="14">
        <f>IF(AND(DE$5-$A34&gt;=0,DE$5-$A34&lt;=19),INDEX(HU_ord,DE$5-$A34+1)*$B34,0)</f>
        <v>0.0</v>
      </c>
      <c r="DF34" s="14">
        <f>IF(AND(DF$5-$A34&gt;=0,DF$5-$A34&lt;=19),INDEX(HU_ord,DF$5-$A34+1)*$B34,0)</f>
        <v>0.0</v>
      </c>
      <c r="DG34" s="14">
        <f>IF(AND(DG$5-$A34&gt;=0,DG$5-$A34&lt;=19),INDEX(HU_ord,DG$5-$A34+1)*$B34,0)</f>
        <v>0.0</v>
      </c>
      <c r="DH34" s="14">
        <f>IF(AND(DH$5-$A34&gt;=0,DH$5-$A34&lt;=19),INDEX(HU_ord,DH$5-$A34+1)*$B34,0)</f>
        <v>0.0</v>
      </c>
      <c r="DI34" s="14">
        <f>IF(AND(DI$5-$A34&gt;=0,DI$5-$A34&lt;=19),INDEX(HU_ord,DI$5-$A34+1)*$B34,0)</f>
        <v>0.0</v>
      </c>
    </row>
    <row r="35" spans="1:113">
      <c r="A35">
        <v>29</v>
      </c>
      <c r="B35" s="10">
        <f>Serie_horaria!N31</f>
        <v>0.0</v>
      </c>
      <c r="C35" s="14">
        <f>IF(AND(C$5-$A35&gt;=0,C$5-$A35&lt;=19),INDEX(HU_ord,C$5-$A35+1)*$B35,0)</f>
        <v>0.0</v>
      </c>
      <c r="D35" s="14">
        <f>IF(AND(D$5-$A35&gt;=0,D$5-$A35&lt;=19),INDEX(HU_ord,D$5-$A35+1)*$B35,0)</f>
        <v>0.0</v>
      </c>
      <c r="E35" s="14">
        <f>IF(AND(E$5-$A35&gt;=0,E$5-$A35&lt;=19),INDEX(HU_ord,E$5-$A35+1)*$B35,0)</f>
        <v>0.0</v>
      </c>
      <c r="F35" s="14">
        <f>IF(AND(F$5-$A35&gt;=0,F$5-$A35&lt;=19),INDEX(HU_ord,F$5-$A35+1)*$B35,0)</f>
        <v>0.0</v>
      </c>
      <c r="G35" s="14">
        <f>IF(AND(G$5-$A35&gt;=0,G$5-$A35&lt;=19),INDEX(HU_ord,G$5-$A35+1)*$B35,0)</f>
        <v>0.0</v>
      </c>
      <c r="H35" s="14">
        <f>IF(AND(H$5-$A35&gt;=0,H$5-$A35&lt;=19),INDEX(HU_ord,H$5-$A35+1)*$B35,0)</f>
        <v>0.0</v>
      </c>
      <c r="I35" s="14">
        <f>IF(AND(I$5-$A35&gt;=0,I$5-$A35&lt;=19),INDEX(HU_ord,I$5-$A35+1)*$B35,0)</f>
        <v>0.0</v>
      </c>
      <c r="J35" s="14">
        <f>IF(AND(J$5-$A35&gt;=0,J$5-$A35&lt;=19),INDEX(HU_ord,J$5-$A35+1)*$B35,0)</f>
        <v>0.0</v>
      </c>
      <c r="K35" s="14">
        <f>IF(AND(K$5-$A35&gt;=0,K$5-$A35&lt;=19),INDEX(HU_ord,K$5-$A35+1)*$B35,0)</f>
        <v>0.0</v>
      </c>
      <c r="L35" s="14">
        <f>IF(AND(L$5-$A35&gt;=0,L$5-$A35&lt;=19),INDEX(HU_ord,L$5-$A35+1)*$B35,0)</f>
        <v>0.0</v>
      </c>
      <c r="M35" s="14">
        <f>IF(AND(M$5-$A35&gt;=0,M$5-$A35&lt;=19),INDEX(HU_ord,M$5-$A35+1)*$B35,0)</f>
        <v>0.0</v>
      </c>
      <c r="N35" s="14">
        <f>IF(AND(N$5-$A35&gt;=0,N$5-$A35&lt;=19),INDEX(HU_ord,N$5-$A35+1)*$B35,0)</f>
        <v>0.0</v>
      </c>
      <c r="O35" s="14">
        <f>IF(AND(O$5-$A35&gt;=0,O$5-$A35&lt;=19),INDEX(HU_ord,O$5-$A35+1)*$B35,0)</f>
        <v>0.0</v>
      </c>
      <c r="P35" s="14">
        <f>IF(AND(P$5-$A35&gt;=0,P$5-$A35&lt;=19),INDEX(HU_ord,P$5-$A35+1)*$B35,0)</f>
        <v>0.0</v>
      </c>
      <c r="Q35" s="14">
        <f>IF(AND(Q$5-$A35&gt;=0,Q$5-$A35&lt;=19),INDEX(HU_ord,Q$5-$A35+1)*$B35,0)</f>
        <v>0.0</v>
      </c>
      <c r="R35" s="14">
        <f>IF(AND(R$5-$A35&gt;=0,R$5-$A35&lt;=19),INDEX(HU_ord,R$5-$A35+1)*$B35,0)</f>
        <v>0.0</v>
      </c>
      <c r="S35" s="14">
        <f>IF(AND(S$5-$A35&gt;=0,S$5-$A35&lt;=19),INDEX(HU_ord,S$5-$A35+1)*$B35,0)</f>
        <v>0.0</v>
      </c>
      <c r="T35" s="14">
        <f>IF(AND(T$5-$A35&gt;=0,T$5-$A35&lt;=19),INDEX(HU_ord,T$5-$A35+1)*$B35,0)</f>
        <v>0.0</v>
      </c>
      <c r="U35" s="14">
        <f>IF(AND(U$5-$A35&gt;=0,U$5-$A35&lt;=19),INDEX(HU_ord,U$5-$A35+1)*$B35,0)</f>
        <v>0.0</v>
      </c>
      <c r="V35" s="14">
        <f>IF(AND(V$5-$A35&gt;=0,V$5-$A35&lt;=19),INDEX(HU_ord,V$5-$A35+1)*$B35,0)</f>
        <v>0.0</v>
      </c>
      <c r="W35" s="14">
        <f>IF(AND(W$5-$A35&gt;=0,W$5-$A35&lt;=19),INDEX(HU_ord,W$5-$A35+1)*$B35,0)</f>
        <v>0.0</v>
      </c>
      <c r="X35" s="14">
        <f>IF(AND(X$5-$A35&gt;=0,X$5-$A35&lt;=19),INDEX(HU_ord,X$5-$A35+1)*$B35,0)</f>
        <v>0.0</v>
      </c>
      <c r="Y35" s="14">
        <f>IF(AND(Y$5-$A35&gt;=0,Y$5-$A35&lt;=19),INDEX(HU_ord,Y$5-$A35+1)*$B35,0)</f>
        <v>0.0</v>
      </c>
      <c r="Z35" s="14">
        <f>IF(AND(Z$5-$A35&gt;=0,Z$5-$A35&lt;=19),INDEX(HU_ord,Z$5-$A35+1)*$B35,0)</f>
        <v>0.0</v>
      </c>
      <c r="AA35" s="14">
        <f>IF(AND(AA$5-$A35&gt;=0,AA$5-$A35&lt;=19),INDEX(HU_ord,AA$5-$A35+1)*$B35,0)</f>
        <v>0.0</v>
      </c>
      <c r="AB35" s="14">
        <f>IF(AND(AB$5-$A35&gt;=0,AB$5-$A35&lt;=19),INDEX(HU_ord,AB$5-$A35+1)*$B35,0)</f>
        <v>0.0</v>
      </c>
      <c r="AC35" s="14">
        <f>IF(AND(AC$5-$A35&gt;=0,AC$5-$A35&lt;=19),INDEX(HU_ord,AC$5-$A35+1)*$B35,0)</f>
        <v>0.0</v>
      </c>
      <c r="AD35" s="14">
        <f>IF(AND(AD$5-$A35&gt;=0,AD$5-$A35&lt;=19),INDEX(HU_ord,AD$5-$A35+1)*$B35,0)</f>
        <v>0.0</v>
      </c>
      <c r="AE35" s="14">
        <f>IF(AND(AE$5-$A35&gt;=0,AE$5-$A35&lt;=19),INDEX(HU_ord,AE$5-$A35+1)*$B35,0)</f>
        <v>0.0</v>
      </c>
      <c r="AF35" s="14">
        <f>IF(AND(AF$5-$A35&gt;=0,AF$5-$A35&lt;=19),INDEX(HU_ord,AF$5-$A35+1)*$B35,0)</f>
        <v>0.0</v>
      </c>
      <c r="AG35" s="14">
        <f>IF(AND(AG$5-$A35&gt;=0,AG$5-$A35&lt;=19),INDEX(HU_ord,AG$5-$A35+1)*$B35,0)</f>
        <v>0.0</v>
      </c>
      <c r="AH35" s="14">
        <f>IF(AND(AH$5-$A35&gt;=0,AH$5-$A35&lt;=19),INDEX(HU_ord,AH$5-$A35+1)*$B35,0)</f>
        <v>0.0</v>
      </c>
      <c r="AI35" s="14">
        <f>IF(AND(AI$5-$A35&gt;=0,AI$5-$A35&lt;=19),INDEX(HU_ord,AI$5-$A35+1)*$B35,0)</f>
        <v>0.0</v>
      </c>
      <c r="AJ35" s="14">
        <f>IF(AND(AJ$5-$A35&gt;=0,AJ$5-$A35&lt;=19),INDEX(HU_ord,AJ$5-$A35+1)*$B35,0)</f>
        <v>0.0</v>
      </c>
      <c r="AK35" s="14">
        <f>IF(AND(AK$5-$A35&gt;=0,AK$5-$A35&lt;=19),INDEX(HU_ord,AK$5-$A35+1)*$B35,0)</f>
        <v>0.0</v>
      </c>
      <c r="AL35" s="14">
        <f>IF(AND(AL$5-$A35&gt;=0,AL$5-$A35&lt;=19),INDEX(HU_ord,AL$5-$A35+1)*$B35,0)</f>
        <v>0.0</v>
      </c>
      <c r="AM35" s="14">
        <f>IF(AND(AM$5-$A35&gt;=0,AM$5-$A35&lt;=19),INDEX(HU_ord,AM$5-$A35+1)*$B35,0)</f>
        <v>0.0</v>
      </c>
      <c r="AN35" s="14">
        <f>IF(AND(AN$5-$A35&gt;=0,AN$5-$A35&lt;=19),INDEX(HU_ord,AN$5-$A35+1)*$B35,0)</f>
        <v>0.0</v>
      </c>
      <c r="AO35" s="14">
        <f>IF(AND(AO$5-$A35&gt;=0,AO$5-$A35&lt;=19),INDEX(HU_ord,AO$5-$A35+1)*$B35,0)</f>
        <v>0.0</v>
      </c>
      <c r="AP35" s="14">
        <f>IF(AND(AP$5-$A35&gt;=0,AP$5-$A35&lt;=19),INDEX(HU_ord,AP$5-$A35+1)*$B35,0)</f>
        <v>0.0</v>
      </c>
      <c r="AQ35" s="14">
        <f>IF(AND(AQ$5-$A35&gt;=0,AQ$5-$A35&lt;=19),INDEX(HU_ord,AQ$5-$A35+1)*$B35,0)</f>
        <v>0.0</v>
      </c>
      <c r="AR35" s="14">
        <f>IF(AND(AR$5-$A35&gt;=0,AR$5-$A35&lt;=19),INDEX(HU_ord,AR$5-$A35+1)*$B35,0)</f>
        <v>0.0</v>
      </c>
      <c r="AS35" s="14">
        <f>IF(AND(AS$5-$A35&gt;=0,AS$5-$A35&lt;=19),INDEX(HU_ord,AS$5-$A35+1)*$B35,0)</f>
        <v>0.0</v>
      </c>
      <c r="AT35" s="14">
        <f>IF(AND(AT$5-$A35&gt;=0,AT$5-$A35&lt;=19),INDEX(HU_ord,AT$5-$A35+1)*$B35,0)</f>
        <v>0.0</v>
      </c>
      <c r="AU35" s="14">
        <f>IF(AND(AU$5-$A35&gt;=0,AU$5-$A35&lt;=19),INDEX(HU_ord,AU$5-$A35+1)*$B35,0)</f>
        <v>0.0</v>
      </c>
      <c r="AV35" s="14">
        <f>IF(AND(AV$5-$A35&gt;=0,AV$5-$A35&lt;=19),INDEX(HU_ord,AV$5-$A35+1)*$B35,0)</f>
        <v>0.0</v>
      </c>
      <c r="AW35" s="14">
        <f>IF(AND(AW$5-$A35&gt;=0,AW$5-$A35&lt;=19),INDEX(HU_ord,AW$5-$A35+1)*$B35,0)</f>
        <v>0.0</v>
      </c>
      <c r="AX35" s="14">
        <f>IF(AND(AX$5-$A35&gt;=0,AX$5-$A35&lt;=19),INDEX(HU_ord,AX$5-$A35+1)*$B35,0)</f>
        <v>0.0</v>
      </c>
      <c r="AY35" s="14">
        <f>IF(AND(AY$5-$A35&gt;=0,AY$5-$A35&lt;=19),INDEX(HU_ord,AY$5-$A35+1)*$B35,0)</f>
        <v>0.0</v>
      </c>
      <c r="AZ35" s="14">
        <f>IF(AND(AZ$5-$A35&gt;=0,AZ$5-$A35&lt;=19),INDEX(HU_ord,AZ$5-$A35+1)*$B35,0)</f>
        <v>0.0</v>
      </c>
      <c r="BA35" s="14">
        <f>IF(AND(BA$5-$A35&gt;=0,BA$5-$A35&lt;=19),INDEX(HU_ord,BA$5-$A35+1)*$B35,0)</f>
        <v>0.0</v>
      </c>
      <c r="BB35" s="14">
        <f>IF(AND(BB$5-$A35&gt;=0,BB$5-$A35&lt;=19),INDEX(HU_ord,BB$5-$A35+1)*$B35,0)</f>
        <v>0.0</v>
      </c>
      <c r="BC35" s="14">
        <f>IF(AND(BC$5-$A35&gt;=0,BC$5-$A35&lt;=19),INDEX(HU_ord,BC$5-$A35+1)*$B35,0)</f>
        <v>0.0</v>
      </c>
      <c r="BD35" s="14">
        <f>IF(AND(BD$5-$A35&gt;=0,BD$5-$A35&lt;=19),INDEX(HU_ord,BD$5-$A35+1)*$B35,0)</f>
        <v>0.0</v>
      </c>
      <c r="BE35" s="14">
        <f>IF(AND(BE$5-$A35&gt;=0,BE$5-$A35&lt;=19),INDEX(HU_ord,BE$5-$A35+1)*$B35,0)</f>
        <v>0.0</v>
      </c>
      <c r="BF35" s="14">
        <f>IF(AND(BF$5-$A35&gt;=0,BF$5-$A35&lt;=19),INDEX(HU_ord,BF$5-$A35+1)*$B35,0)</f>
        <v>0.0</v>
      </c>
      <c r="BG35" s="14">
        <f>IF(AND(BG$5-$A35&gt;=0,BG$5-$A35&lt;=19),INDEX(HU_ord,BG$5-$A35+1)*$B35,0)</f>
        <v>0.0</v>
      </c>
      <c r="BH35" s="14">
        <f>IF(AND(BH$5-$A35&gt;=0,BH$5-$A35&lt;=19),INDEX(HU_ord,BH$5-$A35+1)*$B35,0)</f>
        <v>0.0</v>
      </c>
      <c r="BI35" s="14">
        <f>IF(AND(BI$5-$A35&gt;=0,BI$5-$A35&lt;=19),INDEX(HU_ord,BI$5-$A35+1)*$B35,0)</f>
        <v>0.0</v>
      </c>
      <c r="BJ35" s="14">
        <f>IF(AND(BJ$5-$A35&gt;=0,BJ$5-$A35&lt;=19),INDEX(HU_ord,BJ$5-$A35+1)*$B35,0)</f>
        <v>0.0</v>
      </c>
      <c r="BK35" s="14">
        <f>IF(AND(BK$5-$A35&gt;=0,BK$5-$A35&lt;=19),INDEX(HU_ord,BK$5-$A35+1)*$B35,0)</f>
        <v>0.0</v>
      </c>
      <c r="BL35" s="14">
        <f>IF(AND(BL$5-$A35&gt;=0,BL$5-$A35&lt;=19),INDEX(HU_ord,BL$5-$A35+1)*$B35,0)</f>
        <v>0.0</v>
      </c>
      <c r="BM35" s="14">
        <f>IF(AND(BM$5-$A35&gt;=0,BM$5-$A35&lt;=19),INDEX(HU_ord,BM$5-$A35+1)*$B35,0)</f>
        <v>0.0</v>
      </c>
      <c r="BN35" s="14">
        <f>IF(AND(BN$5-$A35&gt;=0,BN$5-$A35&lt;=19),INDEX(HU_ord,BN$5-$A35+1)*$B35,0)</f>
        <v>0.0</v>
      </c>
      <c r="BO35" s="14">
        <f>IF(AND(BO$5-$A35&gt;=0,BO$5-$A35&lt;=19),INDEX(HU_ord,BO$5-$A35+1)*$B35,0)</f>
        <v>0.0</v>
      </c>
      <c r="BP35" s="14">
        <f>IF(AND(BP$5-$A35&gt;=0,BP$5-$A35&lt;=19),INDEX(HU_ord,BP$5-$A35+1)*$B35,0)</f>
        <v>0.0</v>
      </c>
      <c r="BQ35" s="14">
        <f>IF(AND(BQ$5-$A35&gt;=0,BQ$5-$A35&lt;=19),INDEX(HU_ord,BQ$5-$A35+1)*$B35,0)</f>
        <v>0.0</v>
      </c>
      <c r="BR35" s="14">
        <f>IF(AND(BR$5-$A35&gt;=0,BR$5-$A35&lt;=19),INDEX(HU_ord,BR$5-$A35+1)*$B35,0)</f>
        <v>0.0</v>
      </c>
      <c r="BS35" s="14">
        <f>IF(AND(BS$5-$A35&gt;=0,BS$5-$A35&lt;=19),INDEX(HU_ord,BS$5-$A35+1)*$B35,0)</f>
        <v>0.0</v>
      </c>
      <c r="BT35" s="14">
        <f>IF(AND(BT$5-$A35&gt;=0,BT$5-$A35&lt;=19),INDEX(HU_ord,BT$5-$A35+1)*$B35,0)</f>
        <v>0.0</v>
      </c>
      <c r="BU35" s="14">
        <f>IF(AND(BU$5-$A35&gt;=0,BU$5-$A35&lt;=19),INDEX(HU_ord,BU$5-$A35+1)*$B35,0)</f>
        <v>0.0</v>
      </c>
      <c r="BV35" s="14">
        <f>IF(AND(BV$5-$A35&gt;=0,BV$5-$A35&lt;=19),INDEX(HU_ord,BV$5-$A35+1)*$B35,0)</f>
        <v>0.0</v>
      </c>
      <c r="BW35" s="14">
        <f>IF(AND(BW$5-$A35&gt;=0,BW$5-$A35&lt;=19),INDEX(HU_ord,BW$5-$A35+1)*$B35,0)</f>
        <v>0.0</v>
      </c>
      <c r="BX35" s="14">
        <f>IF(AND(BX$5-$A35&gt;=0,BX$5-$A35&lt;=19),INDEX(HU_ord,BX$5-$A35+1)*$B35,0)</f>
        <v>0.0</v>
      </c>
      <c r="BY35" s="14">
        <f>IF(AND(BY$5-$A35&gt;=0,BY$5-$A35&lt;=19),INDEX(HU_ord,BY$5-$A35+1)*$B35,0)</f>
        <v>0.0</v>
      </c>
      <c r="BZ35" s="14">
        <f>IF(AND(BZ$5-$A35&gt;=0,BZ$5-$A35&lt;=19),INDEX(HU_ord,BZ$5-$A35+1)*$B35,0)</f>
        <v>0.0</v>
      </c>
      <c r="CA35" s="14">
        <f>IF(AND(CA$5-$A35&gt;=0,CA$5-$A35&lt;=19),INDEX(HU_ord,CA$5-$A35+1)*$B35,0)</f>
        <v>0.0</v>
      </c>
      <c r="CB35" s="14">
        <f>IF(AND(CB$5-$A35&gt;=0,CB$5-$A35&lt;=19),INDEX(HU_ord,CB$5-$A35+1)*$B35,0)</f>
        <v>0.0</v>
      </c>
      <c r="CC35" s="14">
        <f>IF(AND(CC$5-$A35&gt;=0,CC$5-$A35&lt;=19),INDEX(HU_ord,CC$5-$A35+1)*$B35,0)</f>
        <v>0.0</v>
      </c>
      <c r="CD35" s="14">
        <f>IF(AND(CD$5-$A35&gt;=0,CD$5-$A35&lt;=19),INDEX(HU_ord,CD$5-$A35+1)*$B35,0)</f>
        <v>0.0</v>
      </c>
      <c r="CE35" s="14">
        <f>IF(AND(CE$5-$A35&gt;=0,CE$5-$A35&lt;=19),INDEX(HU_ord,CE$5-$A35+1)*$B35,0)</f>
        <v>0.0</v>
      </c>
      <c r="CF35" s="14">
        <f>IF(AND(CF$5-$A35&gt;=0,CF$5-$A35&lt;=19),INDEX(HU_ord,CF$5-$A35+1)*$B35,0)</f>
        <v>0.0</v>
      </c>
      <c r="CG35" s="14">
        <f>IF(AND(CG$5-$A35&gt;=0,CG$5-$A35&lt;=19),INDEX(HU_ord,CG$5-$A35+1)*$B35,0)</f>
        <v>0.0</v>
      </c>
      <c r="CH35" s="14">
        <f>IF(AND(CH$5-$A35&gt;=0,CH$5-$A35&lt;=19),INDEX(HU_ord,CH$5-$A35+1)*$B35,0)</f>
        <v>0.0</v>
      </c>
      <c r="CI35" s="14">
        <f>IF(AND(CI$5-$A35&gt;=0,CI$5-$A35&lt;=19),INDEX(HU_ord,CI$5-$A35+1)*$B35,0)</f>
        <v>0.0</v>
      </c>
      <c r="CJ35" s="14">
        <f>IF(AND(CJ$5-$A35&gt;=0,CJ$5-$A35&lt;=19),INDEX(HU_ord,CJ$5-$A35+1)*$B35,0)</f>
        <v>0.0</v>
      </c>
      <c r="CK35" s="14">
        <f>IF(AND(CK$5-$A35&gt;=0,CK$5-$A35&lt;=19),INDEX(HU_ord,CK$5-$A35+1)*$B35,0)</f>
        <v>0.0</v>
      </c>
      <c r="CL35" s="14">
        <f>IF(AND(CL$5-$A35&gt;=0,CL$5-$A35&lt;=19),INDEX(HU_ord,CL$5-$A35+1)*$B35,0)</f>
        <v>0.0</v>
      </c>
      <c r="CM35" s="14">
        <f>IF(AND(CM$5-$A35&gt;=0,CM$5-$A35&lt;=19),INDEX(HU_ord,CM$5-$A35+1)*$B35,0)</f>
        <v>0.0</v>
      </c>
      <c r="CN35" s="14">
        <f>IF(AND(CN$5-$A35&gt;=0,CN$5-$A35&lt;=19),INDEX(HU_ord,CN$5-$A35+1)*$B35,0)</f>
        <v>0.0</v>
      </c>
      <c r="CO35" s="14">
        <f>IF(AND(CO$5-$A35&gt;=0,CO$5-$A35&lt;=19),INDEX(HU_ord,CO$5-$A35+1)*$B35,0)</f>
        <v>0.0</v>
      </c>
      <c r="CP35" s="14">
        <f>IF(AND(CP$5-$A35&gt;=0,CP$5-$A35&lt;=19),INDEX(HU_ord,CP$5-$A35+1)*$B35,0)</f>
        <v>0.0</v>
      </c>
      <c r="CQ35" s="14">
        <f>IF(AND(CQ$5-$A35&gt;=0,CQ$5-$A35&lt;=19),INDEX(HU_ord,CQ$5-$A35+1)*$B35,0)</f>
        <v>0.0</v>
      </c>
      <c r="CR35" s="14">
        <f>IF(AND(CR$5-$A35&gt;=0,CR$5-$A35&lt;=19),INDEX(HU_ord,CR$5-$A35+1)*$B35,0)</f>
        <v>0.0</v>
      </c>
      <c r="CS35" s="14">
        <f>IF(AND(CS$5-$A35&gt;=0,CS$5-$A35&lt;=19),INDEX(HU_ord,CS$5-$A35+1)*$B35,0)</f>
        <v>0.0</v>
      </c>
      <c r="CT35" s="14">
        <f>IF(AND(CT$5-$A35&gt;=0,CT$5-$A35&lt;=19),INDEX(HU_ord,CT$5-$A35+1)*$B35,0)</f>
        <v>0.0</v>
      </c>
      <c r="CU35" s="14">
        <f>IF(AND(CU$5-$A35&gt;=0,CU$5-$A35&lt;=19),INDEX(HU_ord,CU$5-$A35+1)*$B35,0)</f>
        <v>0.0</v>
      </c>
      <c r="CV35" s="14">
        <f>IF(AND(CV$5-$A35&gt;=0,CV$5-$A35&lt;=19),INDEX(HU_ord,CV$5-$A35+1)*$B35,0)</f>
        <v>0.0</v>
      </c>
      <c r="CW35" s="14">
        <f>IF(AND(CW$5-$A35&gt;=0,CW$5-$A35&lt;=19),INDEX(HU_ord,CW$5-$A35+1)*$B35,0)</f>
        <v>0.0</v>
      </c>
      <c r="CX35" s="14">
        <f>IF(AND(CX$5-$A35&gt;=0,CX$5-$A35&lt;=19),INDEX(HU_ord,CX$5-$A35+1)*$B35,0)</f>
        <v>0.0</v>
      </c>
      <c r="CY35" s="14">
        <f>IF(AND(CY$5-$A35&gt;=0,CY$5-$A35&lt;=19),INDEX(HU_ord,CY$5-$A35+1)*$B35,0)</f>
        <v>0.0</v>
      </c>
      <c r="CZ35" s="14">
        <f>IF(AND(CZ$5-$A35&gt;=0,CZ$5-$A35&lt;=19),INDEX(HU_ord,CZ$5-$A35+1)*$B35,0)</f>
        <v>0.0</v>
      </c>
      <c r="DA35" s="14">
        <f>IF(AND(DA$5-$A35&gt;=0,DA$5-$A35&lt;=19),INDEX(HU_ord,DA$5-$A35+1)*$B35,0)</f>
        <v>0.0</v>
      </c>
      <c r="DB35" s="14">
        <f>IF(AND(DB$5-$A35&gt;=0,DB$5-$A35&lt;=19),INDEX(HU_ord,DB$5-$A35+1)*$B35,0)</f>
        <v>0.0</v>
      </c>
      <c r="DC35" s="14">
        <f>IF(AND(DC$5-$A35&gt;=0,DC$5-$A35&lt;=19),INDEX(HU_ord,DC$5-$A35+1)*$B35,0)</f>
        <v>0.0</v>
      </c>
      <c r="DD35" s="14">
        <f>IF(AND(DD$5-$A35&gt;=0,DD$5-$A35&lt;=19),INDEX(HU_ord,DD$5-$A35+1)*$B35,0)</f>
        <v>0.0</v>
      </c>
      <c r="DE35" s="14">
        <f>IF(AND(DE$5-$A35&gt;=0,DE$5-$A35&lt;=19),INDEX(HU_ord,DE$5-$A35+1)*$B35,0)</f>
        <v>0.0</v>
      </c>
      <c r="DF35" s="14">
        <f>IF(AND(DF$5-$A35&gt;=0,DF$5-$A35&lt;=19),INDEX(HU_ord,DF$5-$A35+1)*$B35,0)</f>
        <v>0.0</v>
      </c>
      <c r="DG35" s="14">
        <f>IF(AND(DG$5-$A35&gt;=0,DG$5-$A35&lt;=19),INDEX(HU_ord,DG$5-$A35+1)*$B35,0)</f>
        <v>0.0</v>
      </c>
      <c r="DH35" s="14">
        <f>IF(AND(DH$5-$A35&gt;=0,DH$5-$A35&lt;=19),INDEX(HU_ord,DH$5-$A35+1)*$B35,0)</f>
        <v>0.0</v>
      </c>
      <c r="DI35" s="14">
        <f>IF(AND(DI$5-$A35&gt;=0,DI$5-$A35&lt;=19),INDEX(HU_ord,DI$5-$A35+1)*$B35,0)</f>
        <v>0.0</v>
      </c>
    </row>
    <row r="36" spans="1:113">
      <c r="A36">
        <v>30</v>
      </c>
      <c r="B36" s="10">
        <f>Serie_horaria!N32</f>
        <v>0.0</v>
      </c>
      <c r="C36" s="14">
        <f>IF(AND(C$5-$A36&gt;=0,C$5-$A36&lt;=19),INDEX(HU_ord,C$5-$A36+1)*$B36,0)</f>
        <v>0.0</v>
      </c>
      <c r="D36" s="14">
        <f>IF(AND(D$5-$A36&gt;=0,D$5-$A36&lt;=19),INDEX(HU_ord,D$5-$A36+1)*$B36,0)</f>
        <v>0.0</v>
      </c>
      <c r="E36" s="14">
        <f>IF(AND(E$5-$A36&gt;=0,E$5-$A36&lt;=19),INDEX(HU_ord,E$5-$A36+1)*$B36,0)</f>
        <v>0.0</v>
      </c>
      <c r="F36" s="14">
        <f>IF(AND(F$5-$A36&gt;=0,F$5-$A36&lt;=19),INDEX(HU_ord,F$5-$A36+1)*$B36,0)</f>
        <v>0.0</v>
      </c>
      <c r="G36" s="14">
        <f>IF(AND(G$5-$A36&gt;=0,G$5-$A36&lt;=19),INDEX(HU_ord,G$5-$A36+1)*$B36,0)</f>
        <v>0.0</v>
      </c>
      <c r="H36" s="14">
        <f>IF(AND(H$5-$A36&gt;=0,H$5-$A36&lt;=19),INDEX(HU_ord,H$5-$A36+1)*$B36,0)</f>
        <v>0.0</v>
      </c>
      <c r="I36" s="14">
        <f>IF(AND(I$5-$A36&gt;=0,I$5-$A36&lt;=19),INDEX(HU_ord,I$5-$A36+1)*$B36,0)</f>
        <v>0.0</v>
      </c>
      <c r="J36" s="14">
        <f>IF(AND(J$5-$A36&gt;=0,J$5-$A36&lt;=19),INDEX(HU_ord,J$5-$A36+1)*$B36,0)</f>
        <v>0.0</v>
      </c>
      <c r="K36" s="14">
        <f>IF(AND(K$5-$A36&gt;=0,K$5-$A36&lt;=19),INDEX(HU_ord,K$5-$A36+1)*$B36,0)</f>
        <v>0.0</v>
      </c>
      <c r="L36" s="14">
        <f>IF(AND(L$5-$A36&gt;=0,L$5-$A36&lt;=19),INDEX(HU_ord,L$5-$A36+1)*$B36,0)</f>
        <v>0.0</v>
      </c>
      <c r="M36" s="14">
        <f>IF(AND(M$5-$A36&gt;=0,M$5-$A36&lt;=19),INDEX(HU_ord,M$5-$A36+1)*$B36,0)</f>
        <v>0.0</v>
      </c>
      <c r="N36" s="14">
        <f>IF(AND(N$5-$A36&gt;=0,N$5-$A36&lt;=19),INDEX(HU_ord,N$5-$A36+1)*$B36,0)</f>
        <v>0.0</v>
      </c>
      <c r="O36" s="14">
        <f>IF(AND(O$5-$A36&gt;=0,O$5-$A36&lt;=19),INDEX(HU_ord,O$5-$A36+1)*$B36,0)</f>
        <v>0.0</v>
      </c>
      <c r="P36" s="14">
        <f>IF(AND(P$5-$A36&gt;=0,P$5-$A36&lt;=19),INDEX(HU_ord,P$5-$A36+1)*$B36,0)</f>
        <v>0.0</v>
      </c>
      <c r="Q36" s="14">
        <f>IF(AND(Q$5-$A36&gt;=0,Q$5-$A36&lt;=19),INDEX(HU_ord,Q$5-$A36+1)*$B36,0)</f>
        <v>0.0</v>
      </c>
      <c r="R36" s="14">
        <f>IF(AND(R$5-$A36&gt;=0,R$5-$A36&lt;=19),INDEX(HU_ord,R$5-$A36+1)*$B36,0)</f>
        <v>0.0</v>
      </c>
      <c r="S36" s="14">
        <f>IF(AND(S$5-$A36&gt;=0,S$5-$A36&lt;=19),INDEX(HU_ord,S$5-$A36+1)*$B36,0)</f>
        <v>0.0</v>
      </c>
      <c r="T36" s="14">
        <f>IF(AND(T$5-$A36&gt;=0,T$5-$A36&lt;=19),INDEX(HU_ord,T$5-$A36+1)*$B36,0)</f>
        <v>0.0</v>
      </c>
      <c r="U36" s="14">
        <f>IF(AND(U$5-$A36&gt;=0,U$5-$A36&lt;=19),INDEX(HU_ord,U$5-$A36+1)*$B36,0)</f>
        <v>0.0</v>
      </c>
      <c r="V36" s="14">
        <f>IF(AND(V$5-$A36&gt;=0,V$5-$A36&lt;=19),INDEX(HU_ord,V$5-$A36+1)*$B36,0)</f>
        <v>0.0</v>
      </c>
      <c r="W36" s="14">
        <f>IF(AND(W$5-$A36&gt;=0,W$5-$A36&lt;=19),INDEX(HU_ord,W$5-$A36+1)*$B36,0)</f>
        <v>0.0</v>
      </c>
      <c r="X36" s="14">
        <f>IF(AND(X$5-$A36&gt;=0,X$5-$A36&lt;=19),INDEX(HU_ord,X$5-$A36+1)*$B36,0)</f>
        <v>0.0</v>
      </c>
      <c r="Y36" s="14">
        <f>IF(AND(Y$5-$A36&gt;=0,Y$5-$A36&lt;=19),INDEX(HU_ord,Y$5-$A36+1)*$B36,0)</f>
        <v>0.0</v>
      </c>
      <c r="Z36" s="14">
        <f>IF(AND(Z$5-$A36&gt;=0,Z$5-$A36&lt;=19),INDEX(HU_ord,Z$5-$A36+1)*$B36,0)</f>
        <v>0.0</v>
      </c>
      <c r="AA36" s="14">
        <f>IF(AND(AA$5-$A36&gt;=0,AA$5-$A36&lt;=19),INDEX(HU_ord,AA$5-$A36+1)*$B36,0)</f>
        <v>0.0</v>
      </c>
      <c r="AB36" s="14">
        <f>IF(AND(AB$5-$A36&gt;=0,AB$5-$A36&lt;=19),INDEX(HU_ord,AB$5-$A36+1)*$B36,0)</f>
        <v>0.0</v>
      </c>
      <c r="AC36" s="14">
        <f>IF(AND(AC$5-$A36&gt;=0,AC$5-$A36&lt;=19),INDEX(HU_ord,AC$5-$A36+1)*$B36,0)</f>
        <v>0.0</v>
      </c>
      <c r="AD36" s="14">
        <f>IF(AND(AD$5-$A36&gt;=0,AD$5-$A36&lt;=19),INDEX(HU_ord,AD$5-$A36+1)*$B36,0)</f>
        <v>0.0</v>
      </c>
      <c r="AE36" s="14">
        <f>IF(AND(AE$5-$A36&gt;=0,AE$5-$A36&lt;=19),INDEX(HU_ord,AE$5-$A36+1)*$B36,0)</f>
        <v>0.0</v>
      </c>
      <c r="AF36" s="14">
        <f>IF(AND(AF$5-$A36&gt;=0,AF$5-$A36&lt;=19),INDEX(HU_ord,AF$5-$A36+1)*$B36,0)</f>
        <v>0.0</v>
      </c>
      <c r="AG36" s="14">
        <f>IF(AND(AG$5-$A36&gt;=0,AG$5-$A36&lt;=19),INDEX(HU_ord,AG$5-$A36+1)*$B36,0)</f>
        <v>0.0</v>
      </c>
      <c r="AH36" s="14">
        <f>IF(AND(AH$5-$A36&gt;=0,AH$5-$A36&lt;=19),INDEX(HU_ord,AH$5-$A36+1)*$B36,0)</f>
        <v>0.0</v>
      </c>
      <c r="AI36" s="14">
        <f>IF(AND(AI$5-$A36&gt;=0,AI$5-$A36&lt;=19),INDEX(HU_ord,AI$5-$A36+1)*$B36,0)</f>
        <v>0.0</v>
      </c>
      <c r="AJ36" s="14">
        <f>IF(AND(AJ$5-$A36&gt;=0,AJ$5-$A36&lt;=19),INDEX(HU_ord,AJ$5-$A36+1)*$B36,0)</f>
        <v>0.0</v>
      </c>
      <c r="AK36" s="14">
        <f>IF(AND(AK$5-$A36&gt;=0,AK$5-$A36&lt;=19),INDEX(HU_ord,AK$5-$A36+1)*$B36,0)</f>
        <v>0.0</v>
      </c>
      <c r="AL36" s="14">
        <f>IF(AND(AL$5-$A36&gt;=0,AL$5-$A36&lt;=19),INDEX(HU_ord,AL$5-$A36+1)*$B36,0)</f>
        <v>0.0</v>
      </c>
      <c r="AM36" s="14">
        <f>IF(AND(AM$5-$A36&gt;=0,AM$5-$A36&lt;=19),INDEX(HU_ord,AM$5-$A36+1)*$B36,0)</f>
        <v>0.0</v>
      </c>
      <c r="AN36" s="14">
        <f>IF(AND(AN$5-$A36&gt;=0,AN$5-$A36&lt;=19),INDEX(HU_ord,AN$5-$A36+1)*$B36,0)</f>
        <v>0.0</v>
      </c>
      <c r="AO36" s="14">
        <f>IF(AND(AO$5-$A36&gt;=0,AO$5-$A36&lt;=19),INDEX(HU_ord,AO$5-$A36+1)*$B36,0)</f>
        <v>0.0</v>
      </c>
      <c r="AP36" s="14">
        <f>IF(AND(AP$5-$A36&gt;=0,AP$5-$A36&lt;=19),INDEX(HU_ord,AP$5-$A36+1)*$B36,0)</f>
        <v>0.0</v>
      </c>
      <c r="AQ36" s="14">
        <f>IF(AND(AQ$5-$A36&gt;=0,AQ$5-$A36&lt;=19),INDEX(HU_ord,AQ$5-$A36+1)*$B36,0)</f>
        <v>0.0</v>
      </c>
      <c r="AR36" s="14">
        <f>IF(AND(AR$5-$A36&gt;=0,AR$5-$A36&lt;=19),INDEX(HU_ord,AR$5-$A36+1)*$B36,0)</f>
        <v>0.0</v>
      </c>
      <c r="AS36" s="14">
        <f>IF(AND(AS$5-$A36&gt;=0,AS$5-$A36&lt;=19),INDEX(HU_ord,AS$5-$A36+1)*$B36,0)</f>
        <v>0.0</v>
      </c>
      <c r="AT36" s="14">
        <f>IF(AND(AT$5-$A36&gt;=0,AT$5-$A36&lt;=19),INDEX(HU_ord,AT$5-$A36+1)*$B36,0)</f>
        <v>0.0</v>
      </c>
      <c r="AU36" s="14">
        <f>IF(AND(AU$5-$A36&gt;=0,AU$5-$A36&lt;=19),INDEX(HU_ord,AU$5-$A36+1)*$B36,0)</f>
        <v>0.0</v>
      </c>
      <c r="AV36" s="14">
        <f>IF(AND(AV$5-$A36&gt;=0,AV$5-$A36&lt;=19),INDEX(HU_ord,AV$5-$A36+1)*$B36,0)</f>
        <v>0.0</v>
      </c>
      <c r="AW36" s="14">
        <f>IF(AND(AW$5-$A36&gt;=0,AW$5-$A36&lt;=19),INDEX(HU_ord,AW$5-$A36+1)*$B36,0)</f>
        <v>0.0</v>
      </c>
      <c r="AX36" s="14">
        <f>IF(AND(AX$5-$A36&gt;=0,AX$5-$A36&lt;=19),INDEX(HU_ord,AX$5-$A36+1)*$B36,0)</f>
        <v>0.0</v>
      </c>
      <c r="AY36" s="14">
        <f>IF(AND(AY$5-$A36&gt;=0,AY$5-$A36&lt;=19),INDEX(HU_ord,AY$5-$A36+1)*$B36,0)</f>
        <v>0.0</v>
      </c>
      <c r="AZ36" s="14">
        <f>IF(AND(AZ$5-$A36&gt;=0,AZ$5-$A36&lt;=19),INDEX(HU_ord,AZ$5-$A36+1)*$B36,0)</f>
        <v>0.0</v>
      </c>
      <c r="BA36" s="14">
        <f>IF(AND(BA$5-$A36&gt;=0,BA$5-$A36&lt;=19),INDEX(HU_ord,BA$5-$A36+1)*$B36,0)</f>
        <v>0.0</v>
      </c>
      <c r="BB36" s="14">
        <f>IF(AND(BB$5-$A36&gt;=0,BB$5-$A36&lt;=19),INDEX(HU_ord,BB$5-$A36+1)*$B36,0)</f>
        <v>0.0</v>
      </c>
      <c r="BC36" s="14">
        <f>IF(AND(BC$5-$A36&gt;=0,BC$5-$A36&lt;=19),INDEX(HU_ord,BC$5-$A36+1)*$B36,0)</f>
        <v>0.0</v>
      </c>
      <c r="BD36" s="14">
        <f>IF(AND(BD$5-$A36&gt;=0,BD$5-$A36&lt;=19),INDEX(HU_ord,BD$5-$A36+1)*$B36,0)</f>
        <v>0.0</v>
      </c>
      <c r="BE36" s="14">
        <f>IF(AND(BE$5-$A36&gt;=0,BE$5-$A36&lt;=19),INDEX(HU_ord,BE$5-$A36+1)*$B36,0)</f>
        <v>0.0</v>
      </c>
      <c r="BF36" s="14">
        <f>IF(AND(BF$5-$A36&gt;=0,BF$5-$A36&lt;=19),INDEX(HU_ord,BF$5-$A36+1)*$B36,0)</f>
        <v>0.0</v>
      </c>
      <c r="BG36" s="14">
        <f>IF(AND(BG$5-$A36&gt;=0,BG$5-$A36&lt;=19),INDEX(HU_ord,BG$5-$A36+1)*$B36,0)</f>
        <v>0.0</v>
      </c>
      <c r="BH36" s="14">
        <f>IF(AND(BH$5-$A36&gt;=0,BH$5-$A36&lt;=19),INDEX(HU_ord,BH$5-$A36+1)*$B36,0)</f>
        <v>0.0</v>
      </c>
      <c r="BI36" s="14">
        <f>IF(AND(BI$5-$A36&gt;=0,BI$5-$A36&lt;=19),INDEX(HU_ord,BI$5-$A36+1)*$B36,0)</f>
        <v>0.0</v>
      </c>
      <c r="BJ36" s="14">
        <f>IF(AND(BJ$5-$A36&gt;=0,BJ$5-$A36&lt;=19),INDEX(HU_ord,BJ$5-$A36+1)*$B36,0)</f>
        <v>0.0</v>
      </c>
      <c r="BK36" s="14">
        <f>IF(AND(BK$5-$A36&gt;=0,BK$5-$A36&lt;=19),INDEX(HU_ord,BK$5-$A36+1)*$B36,0)</f>
        <v>0.0</v>
      </c>
      <c r="BL36" s="14">
        <f>IF(AND(BL$5-$A36&gt;=0,BL$5-$A36&lt;=19),INDEX(HU_ord,BL$5-$A36+1)*$B36,0)</f>
        <v>0.0</v>
      </c>
      <c r="BM36" s="14">
        <f>IF(AND(BM$5-$A36&gt;=0,BM$5-$A36&lt;=19),INDEX(HU_ord,BM$5-$A36+1)*$B36,0)</f>
        <v>0.0</v>
      </c>
      <c r="BN36" s="14">
        <f>IF(AND(BN$5-$A36&gt;=0,BN$5-$A36&lt;=19),INDEX(HU_ord,BN$5-$A36+1)*$B36,0)</f>
        <v>0.0</v>
      </c>
      <c r="BO36" s="14">
        <f>IF(AND(BO$5-$A36&gt;=0,BO$5-$A36&lt;=19),INDEX(HU_ord,BO$5-$A36+1)*$B36,0)</f>
        <v>0.0</v>
      </c>
      <c r="BP36" s="14">
        <f>IF(AND(BP$5-$A36&gt;=0,BP$5-$A36&lt;=19),INDEX(HU_ord,BP$5-$A36+1)*$B36,0)</f>
        <v>0.0</v>
      </c>
      <c r="BQ36" s="14">
        <f>IF(AND(BQ$5-$A36&gt;=0,BQ$5-$A36&lt;=19),INDEX(HU_ord,BQ$5-$A36+1)*$B36,0)</f>
        <v>0.0</v>
      </c>
      <c r="BR36" s="14">
        <f>IF(AND(BR$5-$A36&gt;=0,BR$5-$A36&lt;=19),INDEX(HU_ord,BR$5-$A36+1)*$B36,0)</f>
        <v>0.0</v>
      </c>
      <c r="BS36" s="14">
        <f>IF(AND(BS$5-$A36&gt;=0,BS$5-$A36&lt;=19),INDEX(HU_ord,BS$5-$A36+1)*$B36,0)</f>
        <v>0.0</v>
      </c>
      <c r="BT36" s="14">
        <f>IF(AND(BT$5-$A36&gt;=0,BT$5-$A36&lt;=19),INDEX(HU_ord,BT$5-$A36+1)*$B36,0)</f>
        <v>0.0</v>
      </c>
      <c r="BU36" s="14">
        <f>IF(AND(BU$5-$A36&gt;=0,BU$5-$A36&lt;=19),INDEX(HU_ord,BU$5-$A36+1)*$B36,0)</f>
        <v>0.0</v>
      </c>
      <c r="BV36" s="14">
        <f>IF(AND(BV$5-$A36&gt;=0,BV$5-$A36&lt;=19),INDEX(HU_ord,BV$5-$A36+1)*$B36,0)</f>
        <v>0.0</v>
      </c>
      <c r="BW36" s="14">
        <f>IF(AND(BW$5-$A36&gt;=0,BW$5-$A36&lt;=19),INDEX(HU_ord,BW$5-$A36+1)*$B36,0)</f>
        <v>0.0</v>
      </c>
      <c r="BX36" s="14">
        <f>IF(AND(BX$5-$A36&gt;=0,BX$5-$A36&lt;=19),INDEX(HU_ord,BX$5-$A36+1)*$B36,0)</f>
        <v>0.0</v>
      </c>
      <c r="BY36" s="14">
        <f>IF(AND(BY$5-$A36&gt;=0,BY$5-$A36&lt;=19),INDEX(HU_ord,BY$5-$A36+1)*$B36,0)</f>
        <v>0.0</v>
      </c>
      <c r="BZ36" s="14">
        <f>IF(AND(BZ$5-$A36&gt;=0,BZ$5-$A36&lt;=19),INDEX(HU_ord,BZ$5-$A36+1)*$B36,0)</f>
        <v>0.0</v>
      </c>
      <c r="CA36" s="14">
        <f>IF(AND(CA$5-$A36&gt;=0,CA$5-$A36&lt;=19),INDEX(HU_ord,CA$5-$A36+1)*$B36,0)</f>
        <v>0.0</v>
      </c>
      <c r="CB36" s="14">
        <f>IF(AND(CB$5-$A36&gt;=0,CB$5-$A36&lt;=19),INDEX(HU_ord,CB$5-$A36+1)*$B36,0)</f>
        <v>0.0</v>
      </c>
      <c r="CC36" s="14">
        <f>IF(AND(CC$5-$A36&gt;=0,CC$5-$A36&lt;=19),INDEX(HU_ord,CC$5-$A36+1)*$B36,0)</f>
        <v>0.0</v>
      </c>
      <c r="CD36" s="14">
        <f>IF(AND(CD$5-$A36&gt;=0,CD$5-$A36&lt;=19),INDEX(HU_ord,CD$5-$A36+1)*$B36,0)</f>
        <v>0.0</v>
      </c>
      <c r="CE36" s="14">
        <f>IF(AND(CE$5-$A36&gt;=0,CE$5-$A36&lt;=19),INDEX(HU_ord,CE$5-$A36+1)*$B36,0)</f>
        <v>0.0</v>
      </c>
      <c r="CF36" s="14">
        <f>IF(AND(CF$5-$A36&gt;=0,CF$5-$A36&lt;=19),INDEX(HU_ord,CF$5-$A36+1)*$B36,0)</f>
        <v>0.0</v>
      </c>
      <c r="CG36" s="14">
        <f>IF(AND(CG$5-$A36&gt;=0,CG$5-$A36&lt;=19),INDEX(HU_ord,CG$5-$A36+1)*$B36,0)</f>
        <v>0.0</v>
      </c>
      <c r="CH36" s="14">
        <f>IF(AND(CH$5-$A36&gt;=0,CH$5-$A36&lt;=19),INDEX(HU_ord,CH$5-$A36+1)*$B36,0)</f>
        <v>0.0</v>
      </c>
      <c r="CI36" s="14">
        <f>IF(AND(CI$5-$A36&gt;=0,CI$5-$A36&lt;=19),INDEX(HU_ord,CI$5-$A36+1)*$B36,0)</f>
        <v>0.0</v>
      </c>
      <c r="CJ36" s="14">
        <f>IF(AND(CJ$5-$A36&gt;=0,CJ$5-$A36&lt;=19),INDEX(HU_ord,CJ$5-$A36+1)*$B36,0)</f>
        <v>0.0</v>
      </c>
      <c r="CK36" s="14">
        <f>IF(AND(CK$5-$A36&gt;=0,CK$5-$A36&lt;=19),INDEX(HU_ord,CK$5-$A36+1)*$B36,0)</f>
        <v>0.0</v>
      </c>
      <c r="CL36" s="14">
        <f>IF(AND(CL$5-$A36&gt;=0,CL$5-$A36&lt;=19),INDEX(HU_ord,CL$5-$A36+1)*$B36,0)</f>
        <v>0.0</v>
      </c>
      <c r="CM36" s="14">
        <f>IF(AND(CM$5-$A36&gt;=0,CM$5-$A36&lt;=19),INDEX(HU_ord,CM$5-$A36+1)*$B36,0)</f>
        <v>0.0</v>
      </c>
      <c r="CN36" s="14">
        <f>IF(AND(CN$5-$A36&gt;=0,CN$5-$A36&lt;=19),INDEX(HU_ord,CN$5-$A36+1)*$B36,0)</f>
        <v>0.0</v>
      </c>
      <c r="CO36" s="14">
        <f>IF(AND(CO$5-$A36&gt;=0,CO$5-$A36&lt;=19),INDEX(HU_ord,CO$5-$A36+1)*$B36,0)</f>
        <v>0.0</v>
      </c>
      <c r="CP36" s="14">
        <f>IF(AND(CP$5-$A36&gt;=0,CP$5-$A36&lt;=19),INDEX(HU_ord,CP$5-$A36+1)*$B36,0)</f>
        <v>0.0</v>
      </c>
      <c r="CQ36" s="14">
        <f>IF(AND(CQ$5-$A36&gt;=0,CQ$5-$A36&lt;=19),INDEX(HU_ord,CQ$5-$A36+1)*$B36,0)</f>
        <v>0.0</v>
      </c>
      <c r="CR36" s="14">
        <f>IF(AND(CR$5-$A36&gt;=0,CR$5-$A36&lt;=19),INDEX(HU_ord,CR$5-$A36+1)*$B36,0)</f>
        <v>0.0</v>
      </c>
      <c r="CS36" s="14">
        <f>IF(AND(CS$5-$A36&gt;=0,CS$5-$A36&lt;=19),INDEX(HU_ord,CS$5-$A36+1)*$B36,0)</f>
        <v>0.0</v>
      </c>
      <c r="CT36" s="14">
        <f>IF(AND(CT$5-$A36&gt;=0,CT$5-$A36&lt;=19),INDEX(HU_ord,CT$5-$A36+1)*$B36,0)</f>
        <v>0.0</v>
      </c>
      <c r="CU36" s="14">
        <f>IF(AND(CU$5-$A36&gt;=0,CU$5-$A36&lt;=19),INDEX(HU_ord,CU$5-$A36+1)*$B36,0)</f>
        <v>0.0</v>
      </c>
      <c r="CV36" s="14">
        <f>IF(AND(CV$5-$A36&gt;=0,CV$5-$A36&lt;=19),INDEX(HU_ord,CV$5-$A36+1)*$B36,0)</f>
        <v>0.0</v>
      </c>
      <c r="CW36" s="14">
        <f>IF(AND(CW$5-$A36&gt;=0,CW$5-$A36&lt;=19),INDEX(HU_ord,CW$5-$A36+1)*$B36,0)</f>
        <v>0.0</v>
      </c>
      <c r="CX36" s="14">
        <f>IF(AND(CX$5-$A36&gt;=0,CX$5-$A36&lt;=19),INDEX(HU_ord,CX$5-$A36+1)*$B36,0)</f>
        <v>0.0</v>
      </c>
      <c r="CY36" s="14">
        <f>IF(AND(CY$5-$A36&gt;=0,CY$5-$A36&lt;=19),INDEX(HU_ord,CY$5-$A36+1)*$B36,0)</f>
        <v>0.0</v>
      </c>
      <c r="CZ36" s="14">
        <f>IF(AND(CZ$5-$A36&gt;=0,CZ$5-$A36&lt;=19),INDEX(HU_ord,CZ$5-$A36+1)*$B36,0)</f>
        <v>0.0</v>
      </c>
      <c r="DA36" s="14">
        <f>IF(AND(DA$5-$A36&gt;=0,DA$5-$A36&lt;=19),INDEX(HU_ord,DA$5-$A36+1)*$B36,0)</f>
        <v>0.0</v>
      </c>
      <c r="DB36" s="14">
        <f>IF(AND(DB$5-$A36&gt;=0,DB$5-$A36&lt;=19),INDEX(HU_ord,DB$5-$A36+1)*$B36,0)</f>
        <v>0.0</v>
      </c>
      <c r="DC36" s="14">
        <f>IF(AND(DC$5-$A36&gt;=0,DC$5-$A36&lt;=19),INDEX(HU_ord,DC$5-$A36+1)*$B36,0)</f>
        <v>0.0</v>
      </c>
      <c r="DD36" s="14">
        <f>IF(AND(DD$5-$A36&gt;=0,DD$5-$A36&lt;=19),INDEX(HU_ord,DD$5-$A36+1)*$B36,0)</f>
        <v>0.0</v>
      </c>
      <c r="DE36" s="14">
        <f>IF(AND(DE$5-$A36&gt;=0,DE$5-$A36&lt;=19),INDEX(HU_ord,DE$5-$A36+1)*$B36,0)</f>
        <v>0.0</v>
      </c>
      <c r="DF36" s="14">
        <f>IF(AND(DF$5-$A36&gt;=0,DF$5-$A36&lt;=19),INDEX(HU_ord,DF$5-$A36+1)*$B36,0)</f>
        <v>0.0</v>
      </c>
      <c r="DG36" s="14">
        <f>IF(AND(DG$5-$A36&gt;=0,DG$5-$A36&lt;=19),INDEX(HU_ord,DG$5-$A36+1)*$B36,0)</f>
        <v>0.0</v>
      </c>
      <c r="DH36" s="14">
        <f>IF(AND(DH$5-$A36&gt;=0,DH$5-$A36&lt;=19),INDEX(HU_ord,DH$5-$A36+1)*$B36,0)</f>
        <v>0.0</v>
      </c>
      <c r="DI36" s="14">
        <f>IF(AND(DI$5-$A36&gt;=0,DI$5-$A36&lt;=19),INDEX(HU_ord,DI$5-$A36+1)*$B36,0)</f>
        <v>0.0</v>
      </c>
    </row>
    <row r="37" spans="1:113">
      <c r="A37">
        <v>31</v>
      </c>
      <c r="B37" s="10">
        <f>Serie_horaria!N33</f>
        <v>0.0</v>
      </c>
      <c r="C37" s="14">
        <f>IF(AND(C$5-$A37&gt;=0,C$5-$A37&lt;=19),INDEX(HU_ord,C$5-$A37+1)*$B37,0)</f>
        <v>0.0</v>
      </c>
      <c r="D37" s="14">
        <f>IF(AND(D$5-$A37&gt;=0,D$5-$A37&lt;=19),INDEX(HU_ord,D$5-$A37+1)*$B37,0)</f>
        <v>0.0</v>
      </c>
      <c r="E37" s="14">
        <f>IF(AND(E$5-$A37&gt;=0,E$5-$A37&lt;=19),INDEX(HU_ord,E$5-$A37+1)*$B37,0)</f>
        <v>0.0</v>
      </c>
      <c r="F37" s="14">
        <f>IF(AND(F$5-$A37&gt;=0,F$5-$A37&lt;=19),INDEX(HU_ord,F$5-$A37+1)*$B37,0)</f>
        <v>0.0</v>
      </c>
      <c r="G37" s="14">
        <f>IF(AND(G$5-$A37&gt;=0,G$5-$A37&lt;=19),INDEX(HU_ord,G$5-$A37+1)*$B37,0)</f>
        <v>0.0</v>
      </c>
      <c r="H37" s="14">
        <f>IF(AND(H$5-$A37&gt;=0,H$5-$A37&lt;=19),INDEX(HU_ord,H$5-$A37+1)*$B37,0)</f>
        <v>0.0</v>
      </c>
      <c r="I37" s="14">
        <f>IF(AND(I$5-$A37&gt;=0,I$5-$A37&lt;=19),INDEX(HU_ord,I$5-$A37+1)*$B37,0)</f>
        <v>0.0</v>
      </c>
      <c r="J37" s="14">
        <f>IF(AND(J$5-$A37&gt;=0,J$5-$A37&lt;=19),INDEX(HU_ord,J$5-$A37+1)*$B37,0)</f>
        <v>0.0</v>
      </c>
      <c r="K37" s="14">
        <f>IF(AND(K$5-$A37&gt;=0,K$5-$A37&lt;=19),INDEX(HU_ord,K$5-$A37+1)*$B37,0)</f>
        <v>0.0</v>
      </c>
      <c r="L37" s="14">
        <f>IF(AND(L$5-$A37&gt;=0,L$5-$A37&lt;=19),INDEX(HU_ord,L$5-$A37+1)*$B37,0)</f>
        <v>0.0</v>
      </c>
      <c r="M37" s="14">
        <f>IF(AND(M$5-$A37&gt;=0,M$5-$A37&lt;=19),INDEX(HU_ord,M$5-$A37+1)*$B37,0)</f>
        <v>0.0</v>
      </c>
      <c r="N37" s="14">
        <f>IF(AND(N$5-$A37&gt;=0,N$5-$A37&lt;=19),INDEX(HU_ord,N$5-$A37+1)*$B37,0)</f>
        <v>0.0</v>
      </c>
      <c r="O37" s="14">
        <f>IF(AND(O$5-$A37&gt;=0,O$5-$A37&lt;=19),INDEX(HU_ord,O$5-$A37+1)*$B37,0)</f>
        <v>0.0</v>
      </c>
      <c r="P37" s="14">
        <f>IF(AND(P$5-$A37&gt;=0,P$5-$A37&lt;=19),INDEX(HU_ord,P$5-$A37+1)*$B37,0)</f>
        <v>0.0</v>
      </c>
      <c r="Q37" s="14">
        <f>IF(AND(Q$5-$A37&gt;=0,Q$5-$A37&lt;=19),INDEX(HU_ord,Q$5-$A37+1)*$B37,0)</f>
        <v>0.0</v>
      </c>
      <c r="R37" s="14">
        <f>IF(AND(R$5-$A37&gt;=0,R$5-$A37&lt;=19),INDEX(HU_ord,R$5-$A37+1)*$B37,0)</f>
        <v>0.0</v>
      </c>
      <c r="S37" s="14">
        <f>IF(AND(S$5-$A37&gt;=0,S$5-$A37&lt;=19),INDEX(HU_ord,S$5-$A37+1)*$B37,0)</f>
        <v>0.0</v>
      </c>
      <c r="T37" s="14">
        <f>IF(AND(T$5-$A37&gt;=0,T$5-$A37&lt;=19),INDEX(HU_ord,T$5-$A37+1)*$B37,0)</f>
        <v>0.0</v>
      </c>
      <c r="U37" s="14">
        <f>IF(AND(U$5-$A37&gt;=0,U$5-$A37&lt;=19),INDEX(HU_ord,U$5-$A37+1)*$B37,0)</f>
        <v>0.0</v>
      </c>
      <c r="V37" s="14">
        <f>IF(AND(V$5-$A37&gt;=0,V$5-$A37&lt;=19),INDEX(HU_ord,V$5-$A37+1)*$B37,0)</f>
        <v>0.0</v>
      </c>
      <c r="W37" s="14">
        <f>IF(AND(W$5-$A37&gt;=0,W$5-$A37&lt;=19),INDEX(HU_ord,W$5-$A37+1)*$B37,0)</f>
        <v>0.0</v>
      </c>
      <c r="X37" s="14">
        <f>IF(AND(X$5-$A37&gt;=0,X$5-$A37&lt;=19),INDEX(HU_ord,X$5-$A37+1)*$B37,0)</f>
        <v>0.0</v>
      </c>
      <c r="Y37" s="14">
        <f>IF(AND(Y$5-$A37&gt;=0,Y$5-$A37&lt;=19),INDEX(HU_ord,Y$5-$A37+1)*$B37,0)</f>
        <v>0.0</v>
      </c>
      <c r="Z37" s="14">
        <f>IF(AND(Z$5-$A37&gt;=0,Z$5-$A37&lt;=19),INDEX(HU_ord,Z$5-$A37+1)*$B37,0)</f>
        <v>0.0</v>
      </c>
      <c r="AA37" s="14">
        <f>IF(AND(AA$5-$A37&gt;=0,AA$5-$A37&lt;=19),INDEX(HU_ord,AA$5-$A37+1)*$B37,0)</f>
        <v>0.0</v>
      </c>
      <c r="AB37" s="14">
        <f>IF(AND(AB$5-$A37&gt;=0,AB$5-$A37&lt;=19),INDEX(HU_ord,AB$5-$A37+1)*$B37,0)</f>
        <v>0.0</v>
      </c>
      <c r="AC37" s="14">
        <f>IF(AND(AC$5-$A37&gt;=0,AC$5-$A37&lt;=19),INDEX(HU_ord,AC$5-$A37+1)*$B37,0)</f>
        <v>0.0</v>
      </c>
      <c r="AD37" s="14">
        <f>IF(AND(AD$5-$A37&gt;=0,AD$5-$A37&lt;=19),INDEX(HU_ord,AD$5-$A37+1)*$B37,0)</f>
        <v>0.0</v>
      </c>
      <c r="AE37" s="14">
        <f>IF(AND(AE$5-$A37&gt;=0,AE$5-$A37&lt;=19),INDEX(HU_ord,AE$5-$A37+1)*$B37,0)</f>
        <v>0.0</v>
      </c>
      <c r="AF37" s="14">
        <f>IF(AND(AF$5-$A37&gt;=0,AF$5-$A37&lt;=19),INDEX(HU_ord,AF$5-$A37+1)*$B37,0)</f>
        <v>0.0</v>
      </c>
      <c r="AG37" s="14">
        <f>IF(AND(AG$5-$A37&gt;=0,AG$5-$A37&lt;=19),INDEX(HU_ord,AG$5-$A37+1)*$B37,0)</f>
        <v>0.0</v>
      </c>
      <c r="AH37" s="14">
        <f>IF(AND(AH$5-$A37&gt;=0,AH$5-$A37&lt;=19),INDEX(HU_ord,AH$5-$A37+1)*$B37,0)</f>
        <v>0.0</v>
      </c>
      <c r="AI37" s="14">
        <f>IF(AND(AI$5-$A37&gt;=0,AI$5-$A37&lt;=19),INDEX(HU_ord,AI$5-$A37+1)*$B37,0)</f>
        <v>0.0</v>
      </c>
      <c r="AJ37" s="14">
        <f>IF(AND(AJ$5-$A37&gt;=0,AJ$5-$A37&lt;=19),INDEX(HU_ord,AJ$5-$A37+1)*$B37,0)</f>
        <v>0.0</v>
      </c>
      <c r="AK37" s="14">
        <f>IF(AND(AK$5-$A37&gt;=0,AK$5-$A37&lt;=19),INDEX(HU_ord,AK$5-$A37+1)*$B37,0)</f>
        <v>0.0</v>
      </c>
      <c r="AL37" s="14">
        <f>IF(AND(AL$5-$A37&gt;=0,AL$5-$A37&lt;=19),INDEX(HU_ord,AL$5-$A37+1)*$B37,0)</f>
        <v>0.0</v>
      </c>
      <c r="AM37" s="14">
        <f>IF(AND(AM$5-$A37&gt;=0,AM$5-$A37&lt;=19),INDEX(HU_ord,AM$5-$A37+1)*$B37,0)</f>
        <v>0.0</v>
      </c>
      <c r="AN37" s="14">
        <f>IF(AND(AN$5-$A37&gt;=0,AN$5-$A37&lt;=19),INDEX(HU_ord,AN$5-$A37+1)*$B37,0)</f>
        <v>0.0</v>
      </c>
      <c r="AO37" s="14">
        <f>IF(AND(AO$5-$A37&gt;=0,AO$5-$A37&lt;=19),INDEX(HU_ord,AO$5-$A37+1)*$B37,0)</f>
        <v>0.0</v>
      </c>
      <c r="AP37" s="14">
        <f>IF(AND(AP$5-$A37&gt;=0,AP$5-$A37&lt;=19),INDEX(HU_ord,AP$5-$A37+1)*$B37,0)</f>
        <v>0.0</v>
      </c>
      <c r="AQ37" s="14">
        <f>IF(AND(AQ$5-$A37&gt;=0,AQ$5-$A37&lt;=19),INDEX(HU_ord,AQ$5-$A37+1)*$B37,0)</f>
        <v>0.0</v>
      </c>
      <c r="AR37" s="14">
        <f>IF(AND(AR$5-$A37&gt;=0,AR$5-$A37&lt;=19),INDEX(HU_ord,AR$5-$A37+1)*$B37,0)</f>
        <v>0.0</v>
      </c>
      <c r="AS37" s="14">
        <f>IF(AND(AS$5-$A37&gt;=0,AS$5-$A37&lt;=19),INDEX(HU_ord,AS$5-$A37+1)*$B37,0)</f>
        <v>0.0</v>
      </c>
      <c r="AT37" s="14">
        <f>IF(AND(AT$5-$A37&gt;=0,AT$5-$A37&lt;=19),INDEX(HU_ord,AT$5-$A37+1)*$B37,0)</f>
        <v>0.0</v>
      </c>
      <c r="AU37" s="14">
        <f>IF(AND(AU$5-$A37&gt;=0,AU$5-$A37&lt;=19),INDEX(HU_ord,AU$5-$A37+1)*$B37,0)</f>
        <v>0.0</v>
      </c>
      <c r="AV37" s="14">
        <f>IF(AND(AV$5-$A37&gt;=0,AV$5-$A37&lt;=19),INDEX(HU_ord,AV$5-$A37+1)*$B37,0)</f>
        <v>0.0</v>
      </c>
      <c r="AW37" s="14">
        <f>IF(AND(AW$5-$A37&gt;=0,AW$5-$A37&lt;=19),INDEX(HU_ord,AW$5-$A37+1)*$B37,0)</f>
        <v>0.0</v>
      </c>
      <c r="AX37" s="14">
        <f>IF(AND(AX$5-$A37&gt;=0,AX$5-$A37&lt;=19),INDEX(HU_ord,AX$5-$A37+1)*$B37,0)</f>
        <v>0.0</v>
      </c>
      <c r="AY37" s="14">
        <f>IF(AND(AY$5-$A37&gt;=0,AY$5-$A37&lt;=19),INDEX(HU_ord,AY$5-$A37+1)*$B37,0)</f>
        <v>0.0</v>
      </c>
      <c r="AZ37" s="14">
        <f>IF(AND(AZ$5-$A37&gt;=0,AZ$5-$A37&lt;=19),INDEX(HU_ord,AZ$5-$A37+1)*$B37,0)</f>
        <v>0.0</v>
      </c>
      <c r="BA37" s="14">
        <f>IF(AND(BA$5-$A37&gt;=0,BA$5-$A37&lt;=19),INDEX(HU_ord,BA$5-$A37+1)*$B37,0)</f>
        <v>0.0</v>
      </c>
      <c r="BB37" s="14">
        <f>IF(AND(BB$5-$A37&gt;=0,BB$5-$A37&lt;=19),INDEX(HU_ord,BB$5-$A37+1)*$B37,0)</f>
        <v>0.0</v>
      </c>
      <c r="BC37" s="14">
        <f>IF(AND(BC$5-$A37&gt;=0,BC$5-$A37&lt;=19),INDEX(HU_ord,BC$5-$A37+1)*$B37,0)</f>
        <v>0.0</v>
      </c>
      <c r="BD37" s="14">
        <f>IF(AND(BD$5-$A37&gt;=0,BD$5-$A37&lt;=19),INDEX(HU_ord,BD$5-$A37+1)*$B37,0)</f>
        <v>0.0</v>
      </c>
      <c r="BE37" s="14">
        <f>IF(AND(BE$5-$A37&gt;=0,BE$5-$A37&lt;=19),INDEX(HU_ord,BE$5-$A37+1)*$B37,0)</f>
        <v>0.0</v>
      </c>
      <c r="BF37" s="14">
        <f>IF(AND(BF$5-$A37&gt;=0,BF$5-$A37&lt;=19),INDEX(HU_ord,BF$5-$A37+1)*$B37,0)</f>
        <v>0.0</v>
      </c>
      <c r="BG37" s="14">
        <f>IF(AND(BG$5-$A37&gt;=0,BG$5-$A37&lt;=19),INDEX(HU_ord,BG$5-$A37+1)*$B37,0)</f>
        <v>0.0</v>
      </c>
      <c r="BH37" s="14">
        <f>IF(AND(BH$5-$A37&gt;=0,BH$5-$A37&lt;=19),INDEX(HU_ord,BH$5-$A37+1)*$B37,0)</f>
        <v>0.0</v>
      </c>
      <c r="BI37" s="14">
        <f>IF(AND(BI$5-$A37&gt;=0,BI$5-$A37&lt;=19),INDEX(HU_ord,BI$5-$A37+1)*$B37,0)</f>
        <v>0.0</v>
      </c>
      <c r="BJ37" s="14">
        <f>IF(AND(BJ$5-$A37&gt;=0,BJ$5-$A37&lt;=19),INDEX(HU_ord,BJ$5-$A37+1)*$B37,0)</f>
        <v>0.0</v>
      </c>
      <c r="BK37" s="14">
        <f>IF(AND(BK$5-$A37&gt;=0,BK$5-$A37&lt;=19),INDEX(HU_ord,BK$5-$A37+1)*$B37,0)</f>
        <v>0.0</v>
      </c>
      <c r="BL37" s="14">
        <f>IF(AND(BL$5-$A37&gt;=0,BL$5-$A37&lt;=19),INDEX(HU_ord,BL$5-$A37+1)*$B37,0)</f>
        <v>0.0</v>
      </c>
      <c r="BM37" s="14">
        <f>IF(AND(BM$5-$A37&gt;=0,BM$5-$A37&lt;=19),INDEX(HU_ord,BM$5-$A37+1)*$B37,0)</f>
        <v>0.0</v>
      </c>
      <c r="BN37" s="14">
        <f>IF(AND(BN$5-$A37&gt;=0,BN$5-$A37&lt;=19),INDEX(HU_ord,BN$5-$A37+1)*$B37,0)</f>
        <v>0.0</v>
      </c>
      <c r="BO37" s="14">
        <f>IF(AND(BO$5-$A37&gt;=0,BO$5-$A37&lt;=19),INDEX(HU_ord,BO$5-$A37+1)*$B37,0)</f>
        <v>0.0</v>
      </c>
      <c r="BP37" s="14">
        <f>IF(AND(BP$5-$A37&gt;=0,BP$5-$A37&lt;=19),INDEX(HU_ord,BP$5-$A37+1)*$B37,0)</f>
        <v>0.0</v>
      </c>
      <c r="BQ37" s="14">
        <f>IF(AND(BQ$5-$A37&gt;=0,BQ$5-$A37&lt;=19),INDEX(HU_ord,BQ$5-$A37+1)*$B37,0)</f>
        <v>0.0</v>
      </c>
      <c r="BR37" s="14">
        <f>IF(AND(BR$5-$A37&gt;=0,BR$5-$A37&lt;=19),INDEX(HU_ord,BR$5-$A37+1)*$B37,0)</f>
        <v>0.0</v>
      </c>
      <c r="BS37" s="14">
        <f>IF(AND(BS$5-$A37&gt;=0,BS$5-$A37&lt;=19),INDEX(HU_ord,BS$5-$A37+1)*$B37,0)</f>
        <v>0.0</v>
      </c>
      <c r="BT37" s="14">
        <f>IF(AND(BT$5-$A37&gt;=0,BT$5-$A37&lt;=19),INDEX(HU_ord,BT$5-$A37+1)*$B37,0)</f>
        <v>0.0</v>
      </c>
      <c r="BU37" s="14">
        <f>IF(AND(BU$5-$A37&gt;=0,BU$5-$A37&lt;=19),INDEX(HU_ord,BU$5-$A37+1)*$B37,0)</f>
        <v>0.0</v>
      </c>
      <c r="BV37" s="14">
        <f>IF(AND(BV$5-$A37&gt;=0,BV$5-$A37&lt;=19),INDEX(HU_ord,BV$5-$A37+1)*$B37,0)</f>
        <v>0.0</v>
      </c>
      <c r="BW37" s="14">
        <f>IF(AND(BW$5-$A37&gt;=0,BW$5-$A37&lt;=19),INDEX(HU_ord,BW$5-$A37+1)*$B37,0)</f>
        <v>0.0</v>
      </c>
      <c r="BX37" s="14">
        <f>IF(AND(BX$5-$A37&gt;=0,BX$5-$A37&lt;=19),INDEX(HU_ord,BX$5-$A37+1)*$B37,0)</f>
        <v>0.0</v>
      </c>
      <c r="BY37" s="14">
        <f>IF(AND(BY$5-$A37&gt;=0,BY$5-$A37&lt;=19),INDEX(HU_ord,BY$5-$A37+1)*$B37,0)</f>
        <v>0.0</v>
      </c>
      <c r="BZ37" s="14">
        <f>IF(AND(BZ$5-$A37&gt;=0,BZ$5-$A37&lt;=19),INDEX(HU_ord,BZ$5-$A37+1)*$B37,0)</f>
        <v>0.0</v>
      </c>
      <c r="CA37" s="14">
        <f>IF(AND(CA$5-$A37&gt;=0,CA$5-$A37&lt;=19),INDEX(HU_ord,CA$5-$A37+1)*$B37,0)</f>
        <v>0.0</v>
      </c>
      <c r="CB37" s="14">
        <f>IF(AND(CB$5-$A37&gt;=0,CB$5-$A37&lt;=19),INDEX(HU_ord,CB$5-$A37+1)*$B37,0)</f>
        <v>0.0</v>
      </c>
      <c r="CC37" s="14">
        <f>IF(AND(CC$5-$A37&gt;=0,CC$5-$A37&lt;=19),INDEX(HU_ord,CC$5-$A37+1)*$B37,0)</f>
        <v>0.0</v>
      </c>
      <c r="CD37" s="14">
        <f>IF(AND(CD$5-$A37&gt;=0,CD$5-$A37&lt;=19),INDEX(HU_ord,CD$5-$A37+1)*$B37,0)</f>
        <v>0.0</v>
      </c>
      <c r="CE37" s="14">
        <f>IF(AND(CE$5-$A37&gt;=0,CE$5-$A37&lt;=19),INDEX(HU_ord,CE$5-$A37+1)*$B37,0)</f>
        <v>0.0</v>
      </c>
      <c r="CF37" s="14">
        <f>IF(AND(CF$5-$A37&gt;=0,CF$5-$A37&lt;=19),INDEX(HU_ord,CF$5-$A37+1)*$B37,0)</f>
        <v>0.0</v>
      </c>
      <c r="CG37" s="14">
        <f>IF(AND(CG$5-$A37&gt;=0,CG$5-$A37&lt;=19),INDEX(HU_ord,CG$5-$A37+1)*$B37,0)</f>
        <v>0.0</v>
      </c>
      <c r="CH37" s="14">
        <f>IF(AND(CH$5-$A37&gt;=0,CH$5-$A37&lt;=19),INDEX(HU_ord,CH$5-$A37+1)*$B37,0)</f>
        <v>0.0</v>
      </c>
      <c r="CI37" s="14">
        <f>IF(AND(CI$5-$A37&gt;=0,CI$5-$A37&lt;=19),INDEX(HU_ord,CI$5-$A37+1)*$B37,0)</f>
        <v>0.0</v>
      </c>
      <c r="CJ37" s="14">
        <f>IF(AND(CJ$5-$A37&gt;=0,CJ$5-$A37&lt;=19),INDEX(HU_ord,CJ$5-$A37+1)*$B37,0)</f>
        <v>0.0</v>
      </c>
      <c r="CK37" s="14">
        <f>IF(AND(CK$5-$A37&gt;=0,CK$5-$A37&lt;=19),INDEX(HU_ord,CK$5-$A37+1)*$B37,0)</f>
        <v>0.0</v>
      </c>
      <c r="CL37" s="14">
        <f>IF(AND(CL$5-$A37&gt;=0,CL$5-$A37&lt;=19),INDEX(HU_ord,CL$5-$A37+1)*$B37,0)</f>
        <v>0.0</v>
      </c>
      <c r="CM37" s="14">
        <f>IF(AND(CM$5-$A37&gt;=0,CM$5-$A37&lt;=19),INDEX(HU_ord,CM$5-$A37+1)*$B37,0)</f>
        <v>0.0</v>
      </c>
      <c r="CN37" s="14">
        <f>IF(AND(CN$5-$A37&gt;=0,CN$5-$A37&lt;=19),INDEX(HU_ord,CN$5-$A37+1)*$B37,0)</f>
        <v>0.0</v>
      </c>
      <c r="CO37" s="14">
        <f>IF(AND(CO$5-$A37&gt;=0,CO$5-$A37&lt;=19),INDEX(HU_ord,CO$5-$A37+1)*$B37,0)</f>
        <v>0.0</v>
      </c>
      <c r="CP37" s="14">
        <f>IF(AND(CP$5-$A37&gt;=0,CP$5-$A37&lt;=19),INDEX(HU_ord,CP$5-$A37+1)*$B37,0)</f>
        <v>0.0</v>
      </c>
      <c r="CQ37" s="14">
        <f>IF(AND(CQ$5-$A37&gt;=0,CQ$5-$A37&lt;=19),INDEX(HU_ord,CQ$5-$A37+1)*$B37,0)</f>
        <v>0.0</v>
      </c>
      <c r="CR37" s="14">
        <f>IF(AND(CR$5-$A37&gt;=0,CR$5-$A37&lt;=19),INDEX(HU_ord,CR$5-$A37+1)*$B37,0)</f>
        <v>0.0</v>
      </c>
      <c r="CS37" s="14">
        <f>IF(AND(CS$5-$A37&gt;=0,CS$5-$A37&lt;=19),INDEX(HU_ord,CS$5-$A37+1)*$B37,0)</f>
        <v>0.0</v>
      </c>
      <c r="CT37" s="14">
        <f>IF(AND(CT$5-$A37&gt;=0,CT$5-$A37&lt;=19),INDEX(HU_ord,CT$5-$A37+1)*$B37,0)</f>
        <v>0.0</v>
      </c>
      <c r="CU37" s="14">
        <f>IF(AND(CU$5-$A37&gt;=0,CU$5-$A37&lt;=19),INDEX(HU_ord,CU$5-$A37+1)*$B37,0)</f>
        <v>0.0</v>
      </c>
      <c r="CV37" s="14">
        <f>IF(AND(CV$5-$A37&gt;=0,CV$5-$A37&lt;=19),INDEX(HU_ord,CV$5-$A37+1)*$B37,0)</f>
        <v>0.0</v>
      </c>
      <c r="CW37" s="14">
        <f>IF(AND(CW$5-$A37&gt;=0,CW$5-$A37&lt;=19),INDEX(HU_ord,CW$5-$A37+1)*$B37,0)</f>
        <v>0.0</v>
      </c>
      <c r="CX37" s="14">
        <f>IF(AND(CX$5-$A37&gt;=0,CX$5-$A37&lt;=19),INDEX(HU_ord,CX$5-$A37+1)*$B37,0)</f>
        <v>0.0</v>
      </c>
      <c r="CY37" s="14">
        <f>IF(AND(CY$5-$A37&gt;=0,CY$5-$A37&lt;=19),INDEX(HU_ord,CY$5-$A37+1)*$B37,0)</f>
        <v>0.0</v>
      </c>
      <c r="CZ37" s="14">
        <f>IF(AND(CZ$5-$A37&gt;=0,CZ$5-$A37&lt;=19),INDEX(HU_ord,CZ$5-$A37+1)*$B37,0)</f>
        <v>0.0</v>
      </c>
      <c r="DA37" s="14">
        <f>IF(AND(DA$5-$A37&gt;=0,DA$5-$A37&lt;=19),INDEX(HU_ord,DA$5-$A37+1)*$B37,0)</f>
        <v>0.0</v>
      </c>
      <c r="DB37" s="14">
        <f>IF(AND(DB$5-$A37&gt;=0,DB$5-$A37&lt;=19),INDEX(HU_ord,DB$5-$A37+1)*$B37,0)</f>
        <v>0.0</v>
      </c>
      <c r="DC37" s="14">
        <f>IF(AND(DC$5-$A37&gt;=0,DC$5-$A37&lt;=19),INDEX(HU_ord,DC$5-$A37+1)*$B37,0)</f>
        <v>0.0</v>
      </c>
      <c r="DD37" s="14">
        <f>IF(AND(DD$5-$A37&gt;=0,DD$5-$A37&lt;=19),INDEX(HU_ord,DD$5-$A37+1)*$B37,0)</f>
        <v>0.0</v>
      </c>
      <c r="DE37" s="14">
        <f>IF(AND(DE$5-$A37&gt;=0,DE$5-$A37&lt;=19),INDEX(HU_ord,DE$5-$A37+1)*$B37,0)</f>
        <v>0.0</v>
      </c>
      <c r="DF37" s="14">
        <f>IF(AND(DF$5-$A37&gt;=0,DF$5-$A37&lt;=19),INDEX(HU_ord,DF$5-$A37+1)*$B37,0)</f>
        <v>0.0</v>
      </c>
      <c r="DG37" s="14">
        <f>IF(AND(DG$5-$A37&gt;=0,DG$5-$A37&lt;=19),INDEX(HU_ord,DG$5-$A37+1)*$B37,0)</f>
        <v>0.0</v>
      </c>
      <c r="DH37" s="14">
        <f>IF(AND(DH$5-$A37&gt;=0,DH$5-$A37&lt;=19),INDEX(HU_ord,DH$5-$A37+1)*$B37,0)</f>
        <v>0.0</v>
      </c>
      <c r="DI37" s="14">
        <f>IF(AND(DI$5-$A37&gt;=0,DI$5-$A37&lt;=19),INDEX(HU_ord,DI$5-$A37+1)*$B37,0)</f>
        <v>0.0</v>
      </c>
    </row>
    <row r="38" spans="1:113">
      <c r="A38">
        <v>32</v>
      </c>
      <c r="B38" s="10">
        <f>Serie_horaria!N34</f>
        <v>0.0</v>
      </c>
      <c r="C38" s="14">
        <f>IF(AND(C$5-$A38&gt;=0,C$5-$A38&lt;=19),INDEX(HU_ord,C$5-$A38+1)*$B38,0)</f>
        <v>0.0</v>
      </c>
      <c r="D38" s="14">
        <f>IF(AND(D$5-$A38&gt;=0,D$5-$A38&lt;=19),INDEX(HU_ord,D$5-$A38+1)*$B38,0)</f>
        <v>0.0</v>
      </c>
      <c r="E38" s="14">
        <f>IF(AND(E$5-$A38&gt;=0,E$5-$A38&lt;=19),INDEX(HU_ord,E$5-$A38+1)*$B38,0)</f>
        <v>0.0</v>
      </c>
      <c r="F38" s="14">
        <f>IF(AND(F$5-$A38&gt;=0,F$5-$A38&lt;=19),INDEX(HU_ord,F$5-$A38+1)*$B38,0)</f>
        <v>0.0</v>
      </c>
      <c r="G38" s="14">
        <f>IF(AND(G$5-$A38&gt;=0,G$5-$A38&lt;=19),INDEX(HU_ord,G$5-$A38+1)*$B38,0)</f>
        <v>0.0</v>
      </c>
      <c r="H38" s="14">
        <f>IF(AND(H$5-$A38&gt;=0,H$5-$A38&lt;=19),INDEX(HU_ord,H$5-$A38+1)*$B38,0)</f>
        <v>0.0</v>
      </c>
      <c r="I38" s="14">
        <f>IF(AND(I$5-$A38&gt;=0,I$5-$A38&lt;=19),INDEX(HU_ord,I$5-$A38+1)*$B38,0)</f>
        <v>0.0</v>
      </c>
      <c r="J38" s="14">
        <f>IF(AND(J$5-$A38&gt;=0,J$5-$A38&lt;=19),INDEX(HU_ord,J$5-$A38+1)*$B38,0)</f>
        <v>0.0</v>
      </c>
      <c r="K38" s="14">
        <f>IF(AND(K$5-$A38&gt;=0,K$5-$A38&lt;=19),INDEX(HU_ord,K$5-$A38+1)*$B38,0)</f>
        <v>0.0</v>
      </c>
      <c r="L38" s="14">
        <f>IF(AND(L$5-$A38&gt;=0,L$5-$A38&lt;=19),INDEX(HU_ord,L$5-$A38+1)*$B38,0)</f>
        <v>0.0</v>
      </c>
      <c r="M38" s="14">
        <f>IF(AND(M$5-$A38&gt;=0,M$5-$A38&lt;=19),INDEX(HU_ord,M$5-$A38+1)*$B38,0)</f>
        <v>0.0</v>
      </c>
      <c r="N38" s="14">
        <f>IF(AND(N$5-$A38&gt;=0,N$5-$A38&lt;=19),INDEX(HU_ord,N$5-$A38+1)*$B38,0)</f>
        <v>0.0</v>
      </c>
      <c r="O38" s="14">
        <f>IF(AND(O$5-$A38&gt;=0,O$5-$A38&lt;=19),INDEX(HU_ord,O$5-$A38+1)*$B38,0)</f>
        <v>0.0</v>
      </c>
      <c r="P38" s="14">
        <f>IF(AND(P$5-$A38&gt;=0,P$5-$A38&lt;=19),INDEX(HU_ord,P$5-$A38+1)*$B38,0)</f>
        <v>0.0</v>
      </c>
      <c r="Q38" s="14">
        <f>IF(AND(Q$5-$A38&gt;=0,Q$5-$A38&lt;=19),INDEX(HU_ord,Q$5-$A38+1)*$B38,0)</f>
        <v>0.0</v>
      </c>
      <c r="R38" s="14">
        <f>IF(AND(R$5-$A38&gt;=0,R$5-$A38&lt;=19),INDEX(HU_ord,R$5-$A38+1)*$B38,0)</f>
        <v>0.0</v>
      </c>
      <c r="S38" s="14">
        <f>IF(AND(S$5-$A38&gt;=0,S$5-$A38&lt;=19),INDEX(HU_ord,S$5-$A38+1)*$B38,0)</f>
        <v>0.0</v>
      </c>
      <c r="T38" s="14">
        <f>IF(AND(T$5-$A38&gt;=0,T$5-$A38&lt;=19),INDEX(HU_ord,T$5-$A38+1)*$B38,0)</f>
        <v>0.0</v>
      </c>
      <c r="U38" s="14">
        <f>IF(AND(U$5-$A38&gt;=0,U$5-$A38&lt;=19),INDEX(HU_ord,U$5-$A38+1)*$B38,0)</f>
        <v>0.0</v>
      </c>
      <c r="V38" s="14">
        <f>IF(AND(V$5-$A38&gt;=0,V$5-$A38&lt;=19),INDEX(HU_ord,V$5-$A38+1)*$B38,0)</f>
        <v>0.0</v>
      </c>
      <c r="W38" s="14">
        <f>IF(AND(W$5-$A38&gt;=0,W$5-$A38&lt;=19),INDEX(HU_ord,W$5-$A38+1)*$B38,0)</f>
        <v>0.0</v>
      </c>
      <c r="X38" s="14">
        <f>IF(AND(X$5-$A38&gt;=0,X$5-$A38&lt;=19),INDEX(HU_ord,X$5-$A38+1)*$B38,0)</f>
        <v>0.0</v>
      </c>
      <c r="Y38" s="14">
        <f>IF(AND(Y$5-$A38&gt;=0,Y$5-$A38&lt;=19),INDEX(HU_ord,Y$5-$A38+1)*$B38,0)</f>
        <v>0.0</v>
      </c>
      <c r="Z38" s="14">
        <f>IF(AND(Z$5-$A38&gt;=0,Z$5-$A38&lt;=19),INDEX(HU_ord,Z$5-$A38+1)*$B38,0)</f>
        <v>0.0</v>
      </c>
      <c r="AA38" s="14">
        <f>IF(AND(AA$5-$A38&gt;=0,AA$5-$A38&lt;=19),INDEX(HU_ord,AA$5-$A38+1)*$B38,0)</f>
        <v>0.0</v>
      </c>
      <c r="AB38" s="14">
        <f>IF(AND(AB$5-$A38&gt;=0,AB$5-$A38&lt;=19),INDEX(HU_ord,AB$5-$A38+1)*$B38,0)</f>
        <v>0.0</v>
      </c>
      <c r="AC38" s="14">
        <f>IF(AND(AC$5-$A38&gt;=0,AC$5-$A38&lt;=19),INDEX(HU_ord,AC$5-$A38+1)*$B38,0)</f>
        <v>0.0</v>
      </c>
      <c r="AD38" s="14">
        <f>IF(AND(AD$5-$A38&gt;=0,AD$5-$A38&lt;=19),INDEX(HU_ord,AD$5-$A38+1)*$B38,0)</f>
        <v>0.0</v>
      </c>
      <c r="AE38" s="14">
        <f>IF(AND(AE$5-$A38&gt;=0,AE$5-$A38&lt;=19),INDEX(HU_ord,AE$5-$A38+1)*$B38,0)</f>
        <v>0.0</v>
      </c>
      <c r="AF38" s="14">
        <f>IF(AND(AF$5-$A38&gt;=0,AF$5-$A38&lt;=19),INDEX(HU_ord,AF$5-$A38+1)*$B38,0)</f>
        <v>0.0</v>
      </c>
      <c r="AG38" s="14">
        <f>IF(AND(AG$5-$A38&gt;=0,AG$5-$A38&lt;=19),INDEX(HU_ord,AG$5-$A38+1)*$B38,0)</f>
        <v>0.0</v>
      </c>
      <c r="AH38" s="14">
        <f>IF(AND(AH$5-$A38&gt;=0,AH$5-$A38&lt;=19),INDEX(HU_ord,AH$5-$A38+1)*$B38,0)</f>
        <v>0.0</v>
      </c>
      <c r="AI38" s="14">
        <f>IF(AND(AI$5-$A38&gt;=0,AI$5-$A38&lt;=19),INDEX(HU_ord,AI$5-$A38+1)*$B38,0)</f>
        <v>0.0</v>
      </c>
      <c r="AJ38" s="14">
        <f>IF(AND(AJ$5-$A38&gt;=0,AJ$5-$A38&lt;=19),INDEX(HU_ord,AJ$5-$A38+1)*$B38,0)</f>
        <v>0.0</v>
      </c>
      <c r="AK38" s="14">
        <f>IF(AND(AK$5-$A38&gt;=0,AK$5-$A38&lt;=19),INDEX(HU_ord,AK$5-$A38+1)*$B38,0)</f>
        <v>0.0</v>
      </c>
      <c r="AL38" s="14">
        <f>IF(AND(AL$5-$A38&gt;=0,AL$5-$A38&lt;=19),INDEX(HU_ord,AL$5-$A38+1)*$B38,0)</f>
        <v>0.0</v>
      </c>
      <c r="AM38" s="14">
        <f>IF(AND(AM$5-$A38&gt;=0,AM$5-$A38&lt;=19),INDEX(HU_ord,AM$5-$A38+1)*$B38,0)</f>
        <v>0.0</v>
      </c>
      <c r="AN38" s="14">
        <f>IF(AND(AN$5-$A38&gt;=0,AN$5-$A38&lt;=19),INDEX(HU_ord,AN$5-$A38+1)*$B38,0)</f>
        <v>0.0</v>
      </c>
      <c r="AO38" s="14">
        <f>IF(AND(AO$5-$A38&gt;=0,AO$5-$A38&lt;=19),INDEX(HU_ord,AO$5-$A38+1)*$B38,0)</f>
        <v>0.0</v>
      </c>
      <c r="AP38" s="14">
        <f>IF(AND(AP$5-$A38&gt;=0,AP$5-$A38&lt;=19),INDEX(HU_ord,AP$5-$A38+1)*$B38,0)</f>
        <v>0.0</v>
      </c>
      <c r="AQ38" s="14">
        <f>IF(AND(AQ$5-$A38&gt;=0,AQ$5-$A38&lt;=19),INDEX(HU_ord,AQ$5-$A38+1)*$B38,0)</f>
        <v>0.0</v>
      </c>
      <c r="AR38" s="14">
        <f>IF(AND(AR$5-$A38&gt;=0,AR$5-$A38&lt;=19),INDEX(HU_ord,AR$5-$A38+1)*$B38,0)</f>
        <v>0.0</v>
      </c>
      <c r="AS38" s="14">
        <f>IF(AND(AS$5-$A38&gt;=0,AS$5-$A38&lt;=19),INDEX(HU_ord,AS$5-$A38+1)*$B38,0)</f>
        <v>0.0</v>
      </c>
      <c r="AT38" s="14">
        <f>IF(AND(AT$5-$A38&gt;=0,AT$5-$A38&lt;=19),INDEX(HU_ord,AT$5-$A38+1)*$B38,0)</f>
        <v>0.0</v>
      </c>
      <c r="AU38" s="14">
        <f>IF(AND(AU$5-$A38&gt;=0,AU$5-$A38&lt;=19),INDEX(HU_ord,AU$5-$A38+1)*$B38,0)</f>
        <v>0.0</v>
      </c>
      <c r="AV38" s="14">
        <f>IF(AND(AV$5-$A38&gt;=0,AV$5-$A38&lt;=19),INDEX(HU_ord,AV$5-$A38+1)*$B38,0)</f>
        <v>0.0</v>
      </c>
      <c r="AW38" s="14">
        <f>IF(AND(AW$5-$A38&gt;=0,AW$5-$A38&lt;=19),INDEX(HU_ord,AW$5-$A38+1)*$B38,0)</f>
        <v>0.0</v>
      </c>
      <c r="AX38" s="14">
        <f>IF(AND(AX$5-$A38&gt;=0,AX$5-$A38&lt;=19),INDEX(HU_ord,AX$5-$A38+1)*$B38,0)</f>
        <v>0.0</v>
      </c>
      <c r="AY38" s="14">
        <f>IF(AND(AY$5-$A38&gt;=0,AY$5-$A38&lt;=19),INDEX(HU_ord,AY$5-$A38+1)*$B38,0)</f>
        <v>0.0</v>
      </c>
      <c r="AZ38" s="14">
        <f>IF(AND(AZ$5-$A38&gt;=0,AZ$5-$A38&lt;=19),INDEX(HU_ord,AZ$5-$A38+1)*$B38,0)</f>
        <v>0.0</v>
      </c>
      <c r="BA38" s="14">
        <f>IF(AND(BA$5-$A38&gt;=0,BA$5-$A38&lt;=19),INDEX(HU_ord,BA$5-$A38+1)*$B38,0)</f>
        <v>0.0</v>
      </c>
      <c r="BB38" s="14">
        <f>IF(AND(BB$5-$A38&gt;=0,BB$5-$A38&lt;=19),INDEX(HU_ord,BB$5-$A38+1)*$B38,0)</f>
        <v>0.0</v>
      </c>
      <c r="BC38" s="14">
        <f>IF(AND(BC$5-$A38&gt;=0,BC$5-$A38&lt;=19),INDEX(HU_ord,BC$5-$A38+1)*$B38,0)</f>
        <v>0.0</v>
      </c>
      <c r="BD38" s="14">
        <f>IF(AND(BD$5-$A38&gt;=0,BD$5-$A38&lt;=19),INDEX(HU_ord,BD$5-$A38+1)*$B38,0)</f>
        <v>0.0</v>
      </c>
      <c r="BE38" s="14">
        <f>IF(AND(BE$5-$A38&gt;=0,BE$5-$A38&lt;=19),INDEX(HU_ord,BE$5-$A38+1)*$B38,0)</f>
        <v>0.0</v>
      </c>
      <c r="BF38" s="14">
        <f>IF(AND(BF$5-$A38&gt;=0,BF$5-$A38&lt;=19),INDEX(HU_ord,BF$5-$A38+1)*$B38,0)</f>
        <v>0.0</v>
      </c>
      <c r="BG38" s="14">
        <f>IF(AND(BG$5-$A38&gt;=0,BG$5-$A38&lt;=19),INDEX(HU_ord,BG$5-$A38+1)*$B38,0)</f>
        <v>0.0</v>
      </c>
      <c r="BH38" s="14">
        <f>IF(AND(BH$5-$A38&gt;=0,BH$5-$A38&lt;=19),INDEX(HU_ord,BH$5-$A38+1)*$B38,0)</f>
        <v>0.0</v>
      </c>
      <c r="BI38" s="14">
        <f>IF(AND(BI$5-$A38&gt;=0,BI$5-$A38&lt;=19),INDEX(HU_ord,BI$5-$A38+1)*$B38,0)</f>
        <v>0.0</v>
      </c>
      <c r="BJ38" s="14">
        <f>IF(AND(BJ$5-$A38&gt;=0,BJ$5-$A38&lt;=19),INDEX(HU_ord,BJ$5-$A38+1)*$B38,0)</f>
        <v>0.0</v>
      </c>
      <c r="BK38" s="14">
        <f>IF(AND(BK$5-$A38&gt;=0,BK$5-$A38&lt;=19),INDEX(HU_ord,BK$5-$A38+1)*$B38,0)</f>
        <v>0.0</v>
      </c>
      <c r="BL38" s="14">
        <f>IF(AND(BL$5-$A38&gt;=0,BL$5-$A38&lt;=19),INDEX(HU_ord,BL$5-$A38+1)*$B38,0)</f>
        <v>0.0</v>
      </c>
      <c r="BM38" s="14">
        <f>IF(AND(BM$5-$A38&gt;=0,BM$5-$A38&lt;=19),INDEX(HU_ord,BM$5-$A38+1)*$B38,0)</f>
        <v>0.0</v>
      </c>
      <c r="BN38" s="14">
        <f>IF(AND(BN$5-$A38&gt;=0,BN$5-$A38&lt;=19),INDEX(HU_ord,BN$5-$A38+1)*$B38,0)</f>
        <v>0.0</v>
      </c>
      <c r="BO38" s="14">
        <f>IF(AND(BO$5-$A38&gt;=0,BO$5-$A38&lt;=19),INDEX(HU_ord,BO$5-$A38+1)*$B38,0)</f>
        <v>0.0</v>
      </c>
      <c r="BP38" s="14">
        <f>IF(AND(BP$5-$A38&gt;=0,BP$5-$A38&lt;=19),INDEX(HU_ord,BP$5-$A38+1)*$B38,0)</f>
        <v>0.0</v>
      </c>
      <c r="BQ38" s="14">
        <f>IF(AND(BQ$5-$A38&gt;=0,BQ$5-$A38&lt;=19),INDEX(HU_ord,BQ$5-$A38+1)*$B38,0)</f>
        <v>0.0</v>
      </c>
      <c r="BR38" s="14">
        <f>IF(AND(BR$5-$A38&gt;=0,BR$5-$A38&lt;=19),INDEX(HU_ord,BR$5-$A38+1)*$B38,0)</f>
        <v>0.0</v>
      </c>
      <c r="BS38" s="14">
        <f>IF(AND(BS$5-$A38&gt;=0,BS$5-$A38&lt;=19),INDEX(HU_ord,BS$5-$A38+1)*$B38,0)</f>
        <v>0.0</v>
      </c>
      <c r="BT38" s="14">
        <f>IF(AND(BT$5-$A38&gt;=0,BT$5-$A38&lt;=19),INDEX(HU_ord,BT$5-$A38+1)*$B38,0)</f>
        <v>0.0</v>
      </c>
      <c r="BU38" s="14">
        <f>IF(AND(BU$5-$A38&gt;=0,BU$5-$A38&lt;=19),INDEX(HU_ord,BU$5-$A38+1)*$B38,0)</f>
        <v>0.0</v>
      </c>
      <c r="BV38" s="14">
        <f>IF(AND(BV$5-$A38&gt;=0,BV$5-$A38&lt;=19),INDEX(HU_ord,BV$5-$A38+1)*$B38,0)</f>
        <v>0.0</v>
      </c>
      <c r="BW38" s="14">
        <f>IF(AND(BW$5-$A38&gt;=0,BW$5-$A38&lt;=19),INDEX(HU_ord,BW$5-$A38+1)*$B38,0)</f>
        <v>0.0</v>
      </c>
      <c r="BX38" s="14">
        <f>IF(AND(BX$5-$A38&gt;=0,BX$5-$A38&lt;=19),INDEX(HU_ord,BX$5-$A38+1)*$B38,0)</f>
        <v>0.0</v>
      </c>
      <c r="BY38" s="14">
        <f>IF(AND(BY$5-$A38&gt;=0,BY$5-$A38&lt;=19),INDEX(HU_ord,BY$5-$A38+1)*$B38,0)</f>
        <v>0.0</v>
      </c>
      <c r="BZ38" s="14">
        <f>IF(AND(BZ$5-$A38&gt;=0,BZ$5-$A38&lt;=19),INDEX(HU_ord,BZ$5-$A38+1)*$B38,0)</f>
        <v>0.0</v>
      </c>
      <c r="CA38" s="14">
        <f>IF(AND(CA$5-$A38&gt;=0,CA$5-$A38&lt;=19),INDEX(HU_ord,CA$5-$A38+1)*$B38,0)</f>
        <v>0.0</v>
      </c>
      <c r="CB38" s="14">
        <f>IF(AND(CB$5-$A38&gt;=0,CB$5-$A38&lt;=19),INDEX(HU_ord,CB$5-$A38+1)*$B38,0)</f>
        <v>0.0</v>
      </c>
      <c r="CC38" s="14">
        <f>IF(AND(CC$5-$A38&gt;=0,CC$5-$A38&lt;=19),INDEX(HU_ord,CC$5-$A38+1)*$B38,0)</f>
        <v>0.0</v>
      </c>
      <c r="CD38" s="14">
        <f>IF(AND(CD$5-$A38&gt;=0,CD$5-$A38&lt;=19),INDEX(HU_ord,CD$5-$A38+1)*$B38,0)</f>
        <v>0.0</v>
      </c>
      <c r="CE38" s="14">
        <f>IF(AND(CE$5-$A38&gt;=0,CE$5-$A38&lt;=19),INDEX(HU_ord,CE$5-$A38+1)*$B38,0)</f>
        <v>0.0</v>
      </c>
      <c r="CF38" s="14">
        <f>IF(AND(CF$5-$A38&gt;=0,CF$5-$A38&lt;=19),INDEX(HU_ord,CF$5-$A38+1)*$B38,0)</f>
        <v>0.0</v>
      </c>
      <c r="CG38" s="14">
        <f>IF(AND(CG$5-$A38&gt;=0,CG$5-$A38&lt;=19),INDEX(HU_ord,CG$5-$A38+1)*$B38,0)</f>
        <v>0.0</v>
      </c>
      <c r="CH38" s="14">
        <f>IF(AND(CH$5-$A38&gt;=0,CH$5-$A38&lt;=19),INDEX(HU_ord,CH$5-$A38+1)*$B38,0)</f>
        <v>0.0</v>
      </c>
      <c r="CI38" s="14">
        <f>IF(AND(CI$5-$A38&gt;=0,CI$5-$A38&lt;=19),INDEX(HU_ord,CI$5-$A38+1)*$B38,0)</f>
        <v>0.0</v>
      </c>
      <c r="CJ38" s="14">
        <f>IF(AND(CJ$5-$A38&gt;=0,CJ$5-$A38&lt;=19),INDEX(HU_ord,CJ$5-$A38+1)*$B38,0)</f>
        <v>0.0</v>
      </c>
      <c r="CK38" s="14">
        <f>IF(AND(CK$5-$A38&gt;=0,CK$5-$A38&lt;=19),INDEX(HU_ord,CK$5-$A38+1)*$B38,0)</f>
        <v>0.0</v>
      </c>
      <c r="CL38" s="14">
        <f>IF(AND(CL$5-$A38&gt;=0,CL$5-$A38&lt;=19),INDEX(HU_ord,CL$5-$A38+1)*$B38,0)</f>
        <v>0.0</v>
      </c>
      <c r="CM38" s="14">
        <f>IF(AND(CM$5-$A38&gt;=0,CM$5-$A38&lt;=19),INDEX(HU_ord,CM$5-$A38+1)*$B38,0)</f>
        <v>0.0</v>
      </c>
      <c r="CN38" s="14">
        <f>IF(AND(CN$5-$A38&gt;=0,CN$5-$A38&lt;=19),INDEX(HU_ord,CN$5-$A38+1)*$B38,0)</f>
        <v>0.0</v>
      </c>
      <c r="CO38" s="14">
        <f>IF(AND(CO$5-$A38&gt;=0,CO$5-$A38&lt;=19),INDEX(HU_ord,CO$5-$A38+1)*$B38,0)</f>
        <v>0.0</v>
      </c>
      <c r="CP38" s="14">
        <f>IF(AND(CP$5-$A38&gt;=0,CP$5-$A38&lt;=19),INDEX(HU_ord,CP$5-$A38+1)*$B38,0)</f>
        <v>0.0</v>
      </c>
      <c r="CQ38" s="14">
        <f>IF(AND(CQ$5-$A38&gt;=0,CQ$5-$A38&lt;=19),INDEX(HU_ord,CQ$5-$A38+1)*$B38,0)</f>
        <v>0.0</v>
      </c>
      <c r="CR38" s="14">
        <f>IF(AND(CR$5-$A38&gt;=0,CR$5-$A38&lt;=19),INDEX(HU_ord,CR$5-$A38+1)*$B38,0)</f>
        <v>0.0</v>
      </c>
      <c r="CS38" s="14">
        <f>IF(AND(CS$5-$A38&gt;=0,CS$5-$A38&lt;=19),INDEX(HU_ord,CS$5-$A38+1)*$B38,0)</f>
        <v>0.0</v>
      </c>
      <c r="CT38" s="14">
        <f>IF(AND(CT$5-$A38&gt;=0,CT$5-$A38&lt;=19),INDEX(HU_ord,CT$5-$A38+1)*$B38,0)</f>
        <v>0.0</v>
      </c>
      <c r="CU38" s="14">
        <f>IF(AND(CU$5-$A38&gt;=0,CU$5-$A38&lt;=19),INDEX(HU_ord,CU$5-$A38+1)*$B38,0)</f>
        <v>0.0</v>
      </c>
      <c r="CV38" s="14">
        <f>IF(AND(CV$5-$A38&gt;=0,CV$5-$A38&lt;=19),INDEX(HU_ord,CV$5-$A38+1)*$B38,0)</f>
        <v>0.0</v>
      </c>
      <c r="CW38" s="14">
        <f>IF(AND(CW$5-$A38&gt;=0,CW$5-$A38&lt;=19),INDEX(HU_ord,CW$5-$A38+1)*$B38,0)</f>
        <v>0.0</v>
      </c>
      <c r="CX38" s="14">
        <f>IF(AND(CX$5-$A38&gt;=0,CX$5-$A38&lt;=19),INDEX(HU_ord,CX$5-$A38+1)*$B38,0)</f>
        <v>0.0</v>
      </c>
      <c r="CY38" s="14">
        <f>IF(AND(CY$5-$A38&gt;=0,CY$5-$A38&lt;=19),INDEX(HU_ord,CY$5-$A38+1)*$B38,0)</f>
        <v>0.0</v>
      </c>
      <c r="CZ38" s="14">
        <f>IF(AND(CZ$5-$A38&gt;=0,CZ$5-$A38&lt;=19),INDEX(HU_ord,CZ$5-$A38+1)*$B38,0)</f>
        <v>0.0</v>
      </c>
      <c r="DA38" s="14">
        <f>IF(AND(DA$5-$A38&gt;=0,DA$5-$A38&lt;=19),INDEX(HU_ord,DA$5-$A38+1)*$B38,0)</f>
        <v>0.0</v>
      </c>
      <c r="DB38" s="14">
        <f>IF(AND(DB$5-$A38&gt;=0,DB$5-$A38&lt;=19),INDEX(HU_ord,DB$5-$A38+1)*$B38,0)</f>
        <v>0.0</v>
      </c>
      <c r="DC38" s="14">
        <f>IF(AND(DC$5-$A38&gt;=0,DC$5-$A38&lt;=19),INDEX(HU_ord,DC$5-$A38+1)*$B38,0)</f>
        <v>0.0</v>
      </c>
      <c r="DD38" s="14">
        <f>IF(AND(DD$5-$A38&gt;=0,DD$5-$A38&lt;=19),INDEX(HU_ord,DD$5-$A38+1)*$B38,0)</f>
        <v>0.0</v>
      </c>
      <c r="DE38" s="14">
        <f>IF(AND(DE$5-$A38&gt;=0,DE$5-$A38&lt;=19),INDEX(HU_ord,DE$5-$A38+1)*$B38,0)</f>
        <v>0.0</v>
      </c>
      <c r="DF38" s="14">
        <f>IF(AND(DF$5-$A38&gt;=0,DF$5-$A38&lt;=19),INDEX(HU_ord,DF$5-$A38+1)*$B38,0)</f>
        <v>0.0</v>
      </c>
      <c r="DG38" s="14">
        <f>IF(AND(DG$5-$A38&gt;=0,DG$5-$A38&lt;=19),INDEX(HU_ord,DG$5-$A38+1)*$B38,0)</f>
        <v>0.0</v>
      </c>
      <c r="DH38" s="14">
        <f>IF(AND(DH$5-$A38&gt;=0,DH$5-$A38&lt;=19),INDEX(HU_ord,DH$5-$A38+1)*$B38,0)</f>
        <v>0.0</v>
      </c>
      <c r="DI38" s="14">
        <f>IF(AND(DI$5-$A38&gt;=0,DI$5-$A38&lt;=19),INDEX(HU_ord,DI$5-$A38+1)*$B38,0)</f>
        <v>0.0</v>
      </c>
    </row>
    <row r="39" spans="1:113">
      <c r="A39">
        <v>33</v>
      </c>
      <c r="B39" s="10">
        <f>Serie_horaria!N35</f>
        <v>0.0</v>
      </c>
      <c r="C39" s="14">
        <f>IF(AND(C$5-$A39&gt;=0,C$5-$A39&lt;=19),INDEX(HU_ord,C$5-$A39+1)*$B39,0)</f>
        <v>0.0</v>
      </c>
      <c r="D39" s="14">
        <f>IF(AND(D$5-$A39&gt;=0,D$5-$A39&lt;=19),INDEX(HU_ord,D$5-$A39+1)*$B39,0)</f>
        <v>0.0</v>
      </c>
      <c r="E39" s="14">
        <f>IF(AND(E$5-$A39&gt;=0,E$5-$A39&lt;=19),INDEX(HU_ord,E$5-$A39+1)*$B39,0)</f>
        <v>0.0</v>
      </c>
      <c r="F39" s="14">
        <f>IF(AND(F$5-$A39&gt;=0,F$5-$A39&lt;=19),INDEX(HU_ord,F$5-$A39+1)*$B39,0)</f>
        <v>0.0</v>
      </c>
      <c r="G39" s="14">
        <f>IF(AND(G$5-$A39&gt;=0,G$5-$A39&lt;=19),INDEX(HU_ord,G$5-$A39+1)*$B39,0)</f>
        <v>0.0</v>
      </c>
      <c r="H39" s="14">
        <f>IF(AND(H$5-$A39&gt;=0,H$5-$A39&lt;=19),INDEX(HU_ord,H$5-$A39+1)*$B39,0)</f>
        <v>0.0</v>
      </c>
      <c r="I39" s="14">
        <f>IF(AND(I$5-$A39&gt;=0,I$5-$A39&lt;=19),INDEX(HU_ord,I$5-$A39+1)*$B39,0)</f>
        <v>0.0</v>
      </c>
      <c r="J39" s="14">
        <f>IF(AND(J$5-$A39&gt;=0,J$5-$A39&lt;=19),INDEX(HU_ord,J$5-$A39+1)*$B39,0)</f>
        <v>0.0</v>
      </c>
      <c r="K39" s="14">
        <f>IF(AND(K$5-$A39&gt;=0,K$5-$A39&lt;=19),INDEX(HU_ord,K$5-$A39+1)*$B39,0)</f>
        <v>0.0</v>
      </c>
      <c r="L39" s="14">
        <f>IF(AND(L$5-$A39&gt;=0,L$5-$A39&lt;=19),INDEX(HU_ord,L$5-$A39+1)*$B39,0)</f>
        <v>0.0</v>
      </c>
      <c r="M39" s="14">
        <f>IF(AND(M$5-$A39&gt;=0,M$5-$A39&lt;=19),INDEX(HU_ord,M$5-$A39+1)*$B39,0)</f>
        <v>0.0</v>
      </c>
      <c r="N39" s="14">
        <f>IF(AND(N$5-$A39&gt;=0,N$5-$A39&lt;=19),INDEX(HU_ord,N$5-$A39+1)*$B39,0)</f>
        <v>0.0</v>
      </c>
      <c r="O39" s="14">
        <f>IF(AND(O$5-$A39&gt;=0,O$5-$A39&lt;=19),INDEX(HU_ord,O$5-$A39+1)*$B39,0)</f>
        <v>0.0</v>
      </c>
      <c r="P39" s="14">
        <f>IF(AND(P$5-$A39&gt;=0,P$5-$A39&lt;=19),INDEX(HU_ord,P$5-$A39+1)*$B39,0)</f>
        <v>0.0</v>
      </c>
      <c r="Q39" s="14">
        <f>IF(AND(Q$5-$A39&gt;=0,Q$5-$A39&lt;=19),INDEX(HU_ord,Q$5-$A39+1)*$B39,0)</f>
        <v>0.0</v>
      </c>
      <c r="R39" s="14">
        <f>IF(AND(R$5-$A39&gt;=0,R$5-$A39&lt;=19),INDEX(HU_ord,R$5-$A39+1)*$B39,0)</f>
        <v>0.0</v>
      </c>
      <c r="S39" s="14">
        <f>IF(AND(S$5-$A39&gt;=0,S$5-$A39&lt;=19),INDEX(HU_ord,S$5-$A39+1)*$B39,0)</f>
        <v>0.0</v>
      </c>
      <c r="T39" s="14">
        <f>IF(AND(T$5-$A39&gt;=0,T$5-$A39&lt;=19),INDEX(HU_ord,T$5-$A39+1)*$B39,0)</f>
        <v>0.0</v>
      </c>
      <c r="U39" s="14">
        <f>IF(AND(U$5-$A39&gt;=0,U$5-$A39&lt;=19),INDEX(HU_ord,U$5-$A39+1)*$B39,0)</f>
        <v>0.0</v>
      </c>
      <c r="V39" s="14">
        <f>IF(AND(V$5-$A39&gt;=0,V$5-$A39&lt;=19),INDEX(HU_ord,V$5-$A39+1)*$B39,0)</f>
        <v>0.0</v>
      </c>
      <c r="W39" s="14">
        <f>IF(AND(W$5-$A39&gt;=0,W$5-$A39&lt;=19),INDEX(HU_ord,W$5-$A39+1)*$B39,0)</f>
        <v>0.0</v>
      </c>
      <c r="X39" s="14">
        <f>IF(AND(X$5-$A39&gt;=0,X$5-$A39&lt;=19),INDEX(HU_ord,X$5-$A39+1)*$B39,0)</f>
        <v>0.0</v>
      </c>
      <c r="Y39" s="14">
        <f>IF(AND(Y$5-$A39&gt;=0,Y$5-$A39&lt;=19),INDEX(HU_ord,Y$5-$A39+1)*$B39,0)</f>
        <v>0.0</v>
      </c>
      <c r="Z39" s="14">
        <f>IF(AND(Z$5-$A39&gt;=0,Z$5-$A39&lt;=19),INDEX(HU_ord,Z$5-$A39+1)*$B39,0)</f>
        <v>0.0</v>
      </c>
      <c r="AA39" s="14">
        <f>IF(AND(AA$5-$A39&gt;=0,AA$5-$A39&lt;=19),INDEX(HU_ord,AA$5-$A39+1)*$B39,0)</f>
        <v>0.0</v>
      </c>
      <c r="AB39" s="14">
        <f>IF(AND(AB$5-$A39&gt;=0,AB$5-$A39&lt;=19),INDEX(HU_ord,AB$5-$A39+1)*$B39,0)</f>
        <v>0.0</v>
      </c>
      <c r="AC39" s="14">
        <f>IF(AND(AC$5-$A39&gt;=0,AC$5-$A39&lt;=19),INDEX(HU_ord,AC$5-$A39+1)*$B39,0)</f>
        <v>0.0</v>
      </c>
      <c r="AD39" s="14">
        <f>IF(AND(AD$5-$A39&gt;=0,AD$5-$A39&lt;=19),INDEX(HU_ord,AD$5-$A39+1)*$B39,0)</f>
        <v>0.0</v>
      </c>
      <c r="AE39" s="14">
        <f>IF(AND(AE$5-$A39&gt;=0,AE$5-$A39&lt;=19),INDEX(HU_ord,AE$5-$A39+1)*$B39,0)</f>
        <v>0.0</v>
      </c>
      <c r="AF39" s="14">
        <f>IF(AND(AF$5-$A39&gt;=0,AF$5-$A39&lt;=19),INDEX(HU_ord,AF$5-$A39+1)*$B39,0)</f>
        <v>0.0</v>
      </c>
      <c r="AG39" s="14">
        <f>IF(AND(AG$5-$A39&gt;=0,AG$5-$A39&lt;=19),INDEX(HU_ord,AG$5-$A39+1)*$B39,0)</f>
        <v>0.0</v>
      </c>
      <c r="AH39" s="14">
        <f>IF(AND(AH$5-$A39&gt;=0,AH$5-$A39&lt;=19),INDEX(HU_ord,AH$5-$A39+1)*$B39,0)</f>
        <v>0.0</v>
      </c>
      <c r="AI39" s="14">
        <f>IF(AND(AI$5-$A39&gt;=0,AI$5-$A39&lt;=19),INDEX(HU_ord,AI$5-$A39+1)*$B39,0)</f>
        <v>0.0</v>
      </c>
      <c r="AJ39" s="14">
        <f>IF(AND(AJ$5-$A39&gt;=0,AJ$5-$A39&lt;=19),INDEX(HU_ord,AJ$5-$A39+1)*$B39,0)</f>
        <v>0.0</v>
      </c>
      <c r="AK39" s="14">
        <f>IF(AND(AK$5-$A39&gt;=0,AK$5-$A39&lt;=19),INDEX(HU_ord,AK$5-$A39+1)*$B39,0)</f>
        <v>0.0</v>
      </c>
      <c r="AL39" s="14">
        <f>IF(AND(AL$5-$A39&gt;=0,AL$5-$A39&lt;=19),INDEX(HU_ord,AL$5-$A39+1)*$B39,0)</f>
        <v>0.0</v>
      </c>
      <c r="AM39" s="14">
        <f>IF(AND(AM$5-$A39&gt;=0,AM$5-$A39&lt;=19),INDEX(HU_ord,AM$5-$A39+1)*$B39,0)</f>
        <v>0.0</v>
      </c>
      <c r="AN39" s="14">
        <f>IF(AND(AN$5-$A39&gt;=0,AN$5-$A39&lt;=19),INDEX(HU_ord,AN$5-$A39+1)*$B39,0)</f>
        <v>0.0</v>
      </c>
      <c r="AO39" s="14">
        <f>IF(AND(AO$5-$A39&gt;=0,AO$5-$A39&lt;=19),INDEX(HU_ord,AO$5-$A39+1)*$B39,0)</f>
        <v>0.0</v>
      </c>
      <c r="AP39" s="14">
        <f>IF(AND(AP$5-$A39&gt;=0,AP$5-$A39&lt;=19),INDEX(HU_ord,AP$5-$A39+1)*$B39,0)</f>
        <v>0.0</v>
      </c>
      <c r="AQ39" s="14">
        <f>IF(AND(AQ$5-$A39&gt;=0,AQ$5-$A39&lt;=19),INDEX(HU_ord,AQ$5-$A39+1)*$B39,0)</f>
        <v>0.0</v>
      </c>
      <c r="AR39" s="14">
        <f>IF(AND(AR$5-$A39&gt;=0,AR$5-$A39&lt;=19),INDEX(HU_ord,AR$5-$A39+1)*$B39,0)</f>
        <v>0.0</v>
      </c>
      <c r="AS39" s="14">
        <f>IF(AND(AS$5-$A39&gt;=0,AS$5-$A39&lt;=19),INDEX(HU_ord,AS$5-$A39+1)*$B39,0)</f>
        <v>0.0</v>
      </c>
      <c r="AT39" s="14">
        <f>IF(AND(AT$5-$A39&gt;=0,AT$5-$A39&lt;=19),INDEX(HU_ord,AT$5-$A39+1)*$B39,0)</f>
        <v>0.0</v>
      </c>
      <c r="AU39" s="14">
        <f>IF(AND(AU$5-$A39&gt;=0,AU$5-$A39&lt;=19),INDEX(HU_ord,AU$5-$A39+1)*$B39,0)</f>
        <v>0.0</v>
      </c>
      <c r="AV39" s="14">
        <f>IF(AND(AV$5-$A39&gt;=0,AV$5-$A39&lt;=19),INDEX(HU_ord,AV$5-$A39+1)*$B39,0)</f>
        <v>0.0</v>
      </c>
      <c r="AW39" s="14">
        <f>IF(AND(AW$5-$A39&gt;=0,AW$5-$A39&lt;=19),INDEX(HU_ord,AW$5-$A39+1)*$B39,0)</f>
        <v>0.0</v>
      </c>
      <c r="AX39" s="14">
        <f>IF(AND(AX$5-$A39&gt;=0,AX$5-$A39&lt;=19),INDEX(HU_ord,AX$5-$A39+1)*$B39,0)</f>
        <v>0.0</v>
      </c>
      <c r="AY39" s="14">
        <f>IF(AND(AY$5-$A39&gt;=0,AY$5-$A39&lt;=19),INDEX(HU_ord,AY$5-$A39+1)*$B39,0)</f>
        <v>0.0</v>
      </c>
      <c r="AZ39" s="14">
        <f>IF(AND(AZ$5-$A39&gt;=0,AZ$5-$A39&lt;=19),INDEX(HU_ord,AZ$5-$A39+1)*$B39,0)</f>
        <v>0.0</v>
      </c>
      <c r="BA39" s="14">
        <f>IF(AND(BA$5-$A39&gt;=0,BA$5-$A39&lt;=19),INDEX(HU_ord,BA$5-$A39+1)*$B39,0)</f>
        <v>0.0</v>
      </c>
      <c r="BB39" s="14">
        <f>IF(AND(BB$5-$A39&gt;=0,BB$5-$A39&lt;=19),INDEX(HU_ord,BB$5-$A39+1)*$B39,0)</f>
        <v>0.0</v>
      </c>
      <c r="BC39" s="14">
        <f>IF(AND(BC$5-$A39&gt;=0,BC$5-$A39&lt;=19),INDEX(HU_ord,BC$5-$A39+1)*$B39,0)</f>
        <v>0.0</v>
      </c>
      <c r="BD39" s="14">
        <f>IF(AND(BD$5-$A39&gt;=0,BD$5-$A39&lt;=19),INDEX(HU_ord,BD$5-$A39+1)*$B39,0)</f>
        <v>0.0</v>
      </c>
      <c r="BE39" s="14">
        <f>IF(AND(BE$5-$A39&gt;=0,BE$5-$A39&lt;=19),INDEX(HU_ord,BE$5-$A39+1)*$B39,0)</f>
        <v>0.0</v>
      </c>
      <c r="BF39" s="14">
        <f>IF(AND(BF$5-$A39&gt;=0,BF$5-$A39&lt;=19),INDEX(HU_ord,BF$5-$A39+1)*$B39,0)</f>
        <v>0.0</v>
      </c>
      <c r="BG39" s="14">
        <f>IF(AND(BG$5-$A39&gt;=0,BG$5-$A39&lt;=19),INDEX(HU_ord,BG$5-$A39+1)*$B39,0)</f>
        <v>0.0</v>
      </c>
      <c r="BH39" s="14">
        <f>IF(AND(BH$5-$A39&gt;=0,BH$5-$A39&lt;=19),INDEX(HU_ord,BH$5-$A39+1)*$B39,0)</f>
        <v>0.0</v>
      </c>
      <c r="BI39" s="14">
        <f>IF(AND(BI$5-$A39&gt;=0,BI$5-$A39&lt;=19),INDEX(HU_ord,BI$5-$A39+1)*$B39,0)</f>
        <v>0.0</v>
      </c>
      <c r="BJ39" s="14">
        <f>IF(AND(BJ$5-$A39&gt;=0,BJ$5-$A39&lt;=19),INDEX(HU_ord,BJ$5-$A39+1)*$B39,0)</f>
        <v>0.0</v>
      </c>
      <c r="BK39" s="14">
        <f>IF(AND(BK$5-$A39&gt;=0,BK$5-$A39&lt;=19),INDEX(HU_ord,BK$5-$A39+1)*$B39,0)</f>
        <v>0.0</v>
      </c>
      <c r="BL39" s="14">
        <f>IF(AND(BL$5-$A39&gt;=0,BL$5-$A39&lt;=19),INDEX(HU_ord,BL$5-$A39+1)*$B39,0)</f>
        <v>0.0</v>
      </c>
      <c r="BM39" s="14">
        <f>IF(AND(BM$5-$A39&gt;=0,BM$5-$A39&lt;=19),INDEX(HU_ord,BM$5-$A39+1)*$B39,0)</f>
        <v>0.0</v>
      </c>
      <c r="BN39" s="14">
        <f>IF(AND(BN$5-$A39&gt;=0,BN$5-$A39&lt;=19),INDEX(HU_ord,BN$5-$A39+1)*$B39,0)</f>
        <v>0.0</v>
      </c>
      <c r="BO39" s="14">
        <f>IF(AND(BO$5-$A39&gt;=0,BO$5-$A39&lt;=19),INDEX(HU_ord,BO$5-$A39+1)*$B39,0)</f>
        <v>0.0</v>
      </c>
      <c r="BP39" s="14">
        <f>IF(AND(BP$5-$A39&gt;=0,BP$5-$A39&lt;=19),INDEX(HU_ord,BP$5-$A39+1)*$B39,0)</f>
        <v>0.0</v>
      </c>
      <c r="BQ39" s="14">
        <f>IF(AND(BQ$5-$A39&gt;=0,BQ$5-$A39&lt;=19),INDEX(HU_ord,BQ$5-$A39+1)*$B39,0)</f>
        <v>0.0</v>
      </c>
      <c r="BR39" s="14">
        <f>IF(AND(BR$5-$A39&gt;=0,BR$5-$A39&lt;=19),INDEX(HU_ord,BR$5-$A39+1)*$B39,0)</f>
        <v>0.0</v>
      </c>
      <c r="BS39" s="14">
        <f>IF(AND(BS$5-$A39&gt;=0,BS$5-$A39&lt;=19),INDEX(HU_ord,BS$5-$A39+1)*$B39,0)</f>
        <v>0.0</v>
      </c>
      <c r="BT39" s="14">
        <f>IF(AND(BT$5-$A39&gt;=0,BT$5-$A39&lt;=19),INDEX(HU_ord,BT$5-$A39+1)*$B39,0)</f>
        <v>0.0</v>
      </c>
      <c r="BU39" s="14">
        <f>IF(AND(BU$5-$A39&gt;=0,BU$5-$A39&lt;=19),INDEX(HU_ord,BU$5-$A39+1)*$B39,0)</f>
        <v>0.0</v>
      </c>
      <c r="BV39" s="14">
        <f>IF(AND(BV$5-$A39&gt;=0,BV$5-$A39&lt;=19),INDEX(HU_ord,BV$5-$A39+1)*$B39,0)</f>
        <v>0.0</v>
      </c>
      <c r="BW39" s="14">
        <f>IF(AND(BW$5-$A39&gt;=0,BW$5-$A39&lt;=19),INDEX(HU_ord,BW$5-$A39+1)*$B39,0)</f>
        <v>0.0</v>
      </c>
      <c r="BX39" s="14">
        <f>IF(AND(BX$5-$A39&gt;=0,BX$5-$A39&lt;=19),INDEX(HU_ord,BX$5-$A39+1)*$B39,0)</f>
        <v>0.0</v>
      </c>
      <c r="BY39" s="14">
        <f>IF(AND(BY$5-$A39&gt;=0,BY$5-$A39&lt;=19),INDEX(HU_ord,BY$5-$A39+1)*$B39,0)</f>
        <v>0.0</v>
      </c>
      <c r="BZ39" s="14">
        <f>IF(AND(BZ$5-$A39&gt;=0,BZ$5-$A39&lt;=19),INDEX(HU_ord,BZ$5-$A39+1)*$B39,0)</f>
        <v>0.0</v>
      </c>
      <c r="CA39" s="14">
        <f>IF(AND(CA$5-$A39&gt;=0,CA$5-$A39&lt;=19),INDEX(HU_ord,CA$5-$A39+1)*$B39,0)</f>
        <v>0.0</v>
      </c>
      <c r="CB39" s="14">
        <f>IF(AND(CB$5-$A39&gt;=0,CB$5-$A39&lt;=19),INDEX(HU_ord,CB$5-$A39+1)*$B39,0)</f>
        <v>0.0</v>
      </c>
      <c r="CC39" s="14">
        <f>IF(AND(CC$5-$A39&gt;=0,CC$5-$A39&lt;=19),INDEX(HU_ord,CC$5-$A39+1)*$B39,0)</f>
        <v>0.0</v>
      </c>
      <c r="CD39" s="14">
        <f>IF(AND(CD$5-$A39&gt;=0,CD$5-$A39&lt;=19),INDEX(HU_ord,CD$5-$A39+1)*$B39,0)</f>
        <v>0.0</v>
      </c>
      <c r="CE39" s="14">
        <f>IF(AND(CE$5-$A39&gt;=0,CE$5-$A39&lt;=19),INDEX(HU_ord,CE$5-$A39+1)*$B39,0)</f>
        <v>0.0</v>
      </c>
      <c r="CF39" s="14">
        <f>IF(AND(CF$5-$A39&gt;=0,CF$5-$A39&lt;=19),INDEX(HU_ord,CF$5-$A39+1)*$B39,0)</f>
        <v>0.0</v>
      </c>
      <c r="CG39" s="14">
        <f>IF(AND(CG$5-$A39&gt;=0,CG$5-$A39&lt;=19),INDEX(HU_ord,CG$5-$A39+1)*$B39,0)</f>
        <v>0.0</v>
      </c>
      <c r="CH39" s="14">
        <f>IF(AND(CH$5-$A39&gt;=0,CH$5-$A39&lt;=19),INDEX(HU_ord,CH$5-$A39+1)*$B39,0)</f>
        <v>0.0</v>
      </c>
      <c r="CI39" s="14">
        <f>IF(AND(CI$5-$A39&gt;=0,CI$5-$A39&lt;=19),INDEX(HU_ord,CI$5-$A39+1)*$B39,0)</f>
        <v>0.0</v>
      </c>
      <c r="CJ39" s="14">
        <f>IF(AND(CJ$5-$A39&gt;=0,CJ$5-$A39&lt;=19),INDEX(HU_ord,CJ$5-$A39+1)*$B39,0)</f>
        <v>0.0</v>
      </c>
      <c r="CK39" s="14">
        <f>IF(AND(CK$5-$A39&gt;=0,CK$5-$A39&lt;=19),INDEX(HU_ord,CK$5-$A39+1)*$B39,0)</f>
        <v>0.0</v>
      </c>
      <c r="CL39" s="14">
        <f>IF(AND(CL$5-$A39&gt;=0,CL$5-$A39&lt;=19),INDEX(HU_ord,CL$5-$A39+1)*$B39,0)</f>
        <v>0.0</v>
      </c>
      <c r="CM39" s="14">
        <f>IF(AND(CM$5-$A39&gt;=0,CM$5-$A39&lt;=19),INDEX(HU_ord,CM$5-$A39+1)*$B39,0)</f>
        <v>0.0</v>
      </c>
      <c r="CN39" s="14">
        <f>IF(AND(CN$5-$A39&gt;=0,CN$5-$A39&lt;=19),INDEX(HU_ord,CN$5-$A39+1)*$B39,0)</f>
        <v>0.0</v>
      </c>
      <c r="CO39" s="14">
        <f>IF(AND(CO$5-$A39&gt;=0,CO$5-$A39&lt;=19),INDEX(HU_ord,CO$5-$A39+1)*$B39,0)</f>
        <v>0.0</v>
      </c>
      <c r="CP39" s="14">
        <f>IF(AND(CP$5-$A39&gt;=0,CP$5-$A39&lt;=19),INDEX(HU_ord,CP$5-$A39+1)*$B39,0)</f>
        <v>0.0</v>
      </c>
      <c r="CQ39" s="14">
        <f>IF(AND(CQ$5-$A39&gt;=0,CQ$5-$A39&lt;=19),INDEX(HU_ord,CQ$5-$A39+1)*$B39,0)</f>
        <v>0.0</v>
      </c>
      <c r="CR39" s="14">
        <f>IF(AND(CR$5-$A39&gt;=0,CR$5-$A39&lt;=19),INDEX(HU_ord,CR$5-$A39+1)*$B39,0)</f>
        <v>0.0</v>
      </c>
      <c r="CS39" s="14">
        <f>IF(AND(CS$5-$A39&gt;=0,CS$5-$A39&lt;=19),INDEX(HU_ord,CS$5-$A39+1)*$B39,0)</f>
        <v>0.0</v>
      </c>
      <c r="CT39" s="14">
        <f>IF(AND(CT$5-$A39&gt;=0,CT$5-$A39&lt;=19),INDEX(HU_ord,CT$5-$A39+1)*$B39,0)</f>
        <v>0.0</v>
      </c>
      <c r="CU39" s="14">
        <f>IF(AND(CU$5-$A39&gt;=0,CU$5-$A39&lt;=19),INDEX(HU_ord,CU$5-$A39+1)*$B39,0)</f>
        <v>0.0</v>
      </c>
      <c r="CV39" s="14">
        <f>IF(AND(CV$5-$A39&gt;=0,CV$5-$A39&lt;=19),INDEX(HU_ord,CV$5-$A39+1)*$B39,0)</f>
        <v>0.0</v>
      </c>
      <c r="CW39" s="14">
        <f>IF(AND(CW$5-$A39&gt;=0,CW$5-$A39&lt;=19),INDEX(HU_ord,CW$5-$A39+1)*$B39,0)</f>
        <v>0.0</v>
      </c>
      <c r="CX39" s="14">
        <f>IF(AND(CX$5-$A39&gt;=0,CX$5-$A39&lt;=19),INDEX(HU_ord,CX$5-$A39+1)*$B39,0)</f>
        <v>0.0</v>
      </c>
      <c r="CY39" s="14">
        <f>IF(AND(CY$5-$A39&gt;=0,CY$5-$A39&lt;=19),INDEX(HU_ord,CY$5-$A39+1)*$B39,0)</f>
        <v>0.0</v>
      </c>
      <c r="CZ39" s="14">
        <f>IF(AND(CZ$5-$A39&gt;=0,CZ$5-$A39&lt;=19),INDEX(HU_ord,CZ$5-$A39+1)*$B39,0)</f>
        <v>0.0</v>
      </c>
      <c r="DA39" s="14">
        <f>IF(AND(DA$5-$A39&gt;=0,DA$5-$A39&lt;=19),INDEX(HU_ord,DA$5-$A39+1)*$B39,0)</f>
        <v>0.0</v>
      </c>
      <c r="DB39" s="14">
        <f>IF(AND(DB$5-$A39&gt;=0,DB$5-$A39&lt;=19),INDEX(HU_ord,DB$5-$A39+1)*$B39,0)</f>
        <v>0.0</v>
      </c>
      <c r="DC39" s="14">
        <f>IF(AND(DC$5-$A39&gt;=0,DC$5-$A39&lt;=19),INDEX(HU_ord,DC$5-$A39+1)*$B39,0)</f>
        <v>0.0</v>
      </c>
      <c r="DD39" s="14">
        <f>IF(AND(DD$5-$A39&gt;=0,DD$5-$A39&lt;=19),INDEX(HU_ord,DD$5-$A39+1)*$B39,0)</f>
        <v>0.0</v>
      </c>
      <c r="DE39" s="14">
        <f>IF(AND(DE$5-$A39&gt;=0,DE$5-$A39&lt;=19),INDEX(HU_ord,DE$5-$A39+1)*$B39,0)</f>
        <v>0.0</v>
      </c>
      <c r="DF39" s="14">
        <f>IF(AND(DF$5-$A39&gt;=0,DF$5-$A39&lt;=19),INDEX(HU_ord,DF$5-$A39+1)*$B39,0)</f>
        <v>0.0</v>
      </c>
      <c r="DG39" s="14">
        <f>IF(AND(DG$5-$A39&gt;=0,DG$5-$A39&lt;=19),INDEX(HU_ord,DG$5-$A39+1)*$B39,0)</f>
        <v>0.0</v>
      </c>
      <c r="DH39" s="14">
        <f>IF(AND(DH$5-$A39&gt;=0,DH$5-$A39&lt;=19),INDEX(HU_ord,DH$5-$A39+1)*$B39,0)</f>
        <v>0.0</v>
      </c>
      <c r="DI39" s="14">
        <f>IF(AND(DI$5-$A39&gt;=0,DI$5-$A39&lt;=19),INDEX(HU_ord,DI$5-$A39+1)*$B39,0)</f>
        <v>0.0</v>
      </c>
    </row>
    <row r="40" spans="1:113">
      <c r="A40">
        <v>34</v>
      </c>
      <c r="B40" s="10">
        <f>Serie_horaria!N36</f>
        <v>0.0</v>
      </c>
      <c r="C40" s="14">
        <f>IF(AND(C$5-$A40&gt;=0,C$5-$A40&lt;=19),INDEX(HU_ord,C$5-$A40+1)*$B40,0)</f>
        <v>0.0</v>
      </c>
      <c r="D40" s="14">
        <f>IF(AND(D$5-$A40&gt;=0,D$5-$A40&lt;=19),INDEX(HU_ord,D$5-$A40+1)*$B40,0)</f>
        <v>0.0</v>
      </c>
      <c r="E40" s="14">
        <f>IF(AND(E$5-$A40&gt;=0,E$5-$A40&lt;=19),INDEX(HU_ord,E$5-$A40+1)*$B40,0)</f>
        <v>0.0</v>
      </c>
      <c r="F40" s="14">
        <f>IF(AND(F$5-$A40&gt;=0,F$5-$A40&lt;=19),INDEX(HU_ord,F$5-$A40+1)*$B40,0)</f>
        <v>0.0</v>
      </c>
      <c r="G40" s="14">
        <f>IF(AND(G$5-$A40&gt;=0,G$5-$A40&lt;=19),INDEX(HU_ord,G$5-$A40+1)*$B40,0)</f>
        <v>0.0</v>
      </c>
      <c r="H40" s="14">
        <f>IF(AND(H$5-$A40&gt;=0,H$5-$A40&lt;=19),INDEX(HU_ord,H$5-$A40+1)*$B40,0)</f>
        <v>0.0</v>
      </c>
      <c r="I40" s="14">
        <f>IF(AND(I$5-$A40&gt;=0,I$5-$A40&lt;=19),INDEX(HU_ord,I$5-$A40+1)*$B40,0)</f>
        <v>0.0</v>
      </c>
      <c r="J40" s="14">
        <f>IF(AND(J$5-$A40&gt;=0,J$5-$A40&lt;=19),INDEX(HU_ord,J$5-$A40+1)*$B40,0)</f>
        <v>0.0</v>
      </c>
      <c r="K40" s="14">
        <f>IF(AND(K$5-$A40&gt;=0,K$5-$A40&lt;=19),INDEX(HU_ord,K$5-$A40+1)*$B40,0)</f>
        <v>0.0</v>
      </c>
      <c r="L40" s="14">
        <f>IF(AND(L$5-$A40&gt;=0,L$5-$A40&lt;=19),INDEX(HU_ord,L$5-$A40+1)*$B40,0)</f>
        <v>0.0</v>
      </c>
      <c r="M40" s="14">
        <f>IF(AND(M$5-$A40&gt;=0,M$5-$A40&lt;=19),INDEX(HU_ord,M$5-$A40+1)*$B40,0)</f>
        <v>0.0</v>
      </c>
      <c r="N40" s="14">
        <f>IF(AND(N$5-$A40&gt;=0,N$5-$A40&lt;=19),INDEX(HU_ord,N$5-$A40+1)*$B40,0)</f>
        <v>0.0</v>
      </c>
      <c r="O40" s="14">
        <f>IF(AND(O$5-$A40&gt;=0,O$5-$A40&lt;=19),INDEX(HU_ord,O$5-$A40+1)*$B40,0)</f>
        <v>0.0</v>
      </c>
      <c r="P40" s="14">
        <f>IF(AND(P$5-$A40&gt;=0,P$5-$A40&lt;=19),INDEX(HU_ord,P$5-$A40+1)*$B40,0)</f>
        <v>0.0</v>
      </c>
      <c r="Q40" s="14">
        <f>IF(AND(Q$5-$A40&gt;=0,Q$5-$A40&lt;=19),INDEX(HU_ord,Q$5-$A40+1)*$B40,0)</f>
        <v>0.0</v>
      </c>
      <c r="R40" s="14">
        <f>IF(AND(R$5-$A40&gt;=0,R$5-$A40&lt;=19),INDEX(HU_ord,R$5-$A40+1)*$B40,0)</f>
        <v>0.0</v>
      </c>
      <c r="S40" s="14">
        <f>IF(AND(S$5-$A40&gt;=0,S$5-$A40&lt;=19),INDEX(HU_ord,S$5-$A40+1)*$B40,0)</f>
        <v>0.0</v>
      </c>
      <c r="T40" s="14">
        <f>IF(AND(T$5-$A40&gt;=0,T$5-$A40&lt;=19),INDEX(HU_ord,T$5-$A40+1)*$B40,0)</f>
        <v>0.0</v>
      </c>
      <c r="U40" s="14">
        <f>IF(AND(U$5-$A40&gt;=0,U$5-$A40&lt;=19),INDEX(HU_ord,U$5-$A40+1)*$B40,0)</f>
        <v>0.0</v>
      </c>
      <c r="V40" s="14">
        <f>IF(AND(V$5-$A40&gt;=0,V$5-$A40&lt;=19),INDEX(HU_ord,V$5-$A40+1)*$B40,0)</f>
        <v>0.0</v>
      </c>
      <c r="W40" s="14">
        <f>IF(AND(W$5-$A40&gt;=0,W$5-$A40&lt;=19),INDEX(HU_ord,W$5-$A40+1)*$B40,0)</f>
        <v>0.0</v>
      </c>
      <c r="X40" s="14">
        <f>IF(AND(X$5-$A40&gt;=0,X$5-$A40&lt;=19),INDEX(HU_ord,X$5-$A40+1)*$B40,0)</f>
        <v>0.0</v>
      </c>
      <c r="Y40" s="14">
        <f>IF(AND(Y$5-$A40&gt;=0,Y$5-$A40&lt;=19),INDEX(HU_ord,Y$5-$A40+1)*$B40,0)</f>
        <v>0.0</v>
      </c>
      <c r="Z40" s="14">
        <f>IF(AND(Z$5-$A40&gt;=0,Z$5-$A40&lt;=19),INDEX(HU_ord,Z$5-$A40+1)*$B40,0)</f>
        <v>0.0</v>
      </c>
      <c r="AA40" s="14">
        <f>IF(AND(AA$5-$A40&gt;=0,AA$5-$A40&lt;=19),INDEX(HU_ord,AA$5-$A40+1)*$B40,0)</f>
        <v>0.0</v>
      </c>
      <c r="AB40" s="14">
        <f>IF(AND(AB$5-$A40&gt;=0,AB$5-$A40&lt;=19),INDEX(HU_ord,AB$5-$A40+1)*$B40,0)</f>
        <v>0.0</v>
      </c>
      <c r="AC40" s="14">
        <f>IF(AND(AC$5-$A40&gt;=0,AC$5-$A40&lt;=19),INDEX(HU_ord,AC$5-$A40+1)*$B40,0)</f>
        <v>0.0</v>
      </c>
      <c r="AD40" s="14">
        <f>IF(AND(AD$5-$A40&gt;=0,AD$5-$A40&lt;=19),INDEX(HU_ord,AD$5-$A40+1)*$B40,0)</f>
        <v>0.0</v>
      </c>
      <c r="AE40" s="14">
        <f>IF(AND(AE$5-$A40&gt;=0,AE$5-$A40&lt;=19),INDEX(HU_ord,AE$5-$A40+1)*$B40,0)</f>
        <v>0.0</v>
      </c>
      <c r="AF40" s="14">
        <f>IF(AND(AF$5-$A40&gt;=0,AF$5-$A40&lt;=19),INDEX(HU_ord,AF$5-$A40+1)*$B40,0)</f>
        <v>0.0</v>
      </c>
      <c r="AG40" s="14">
        <f>IF(AND(AG$5-$A40&gt;=0,AG$5-$A40&lt;=19),INDEX(HU_ord,AG$5-$A40+1)*$B40,0)</f>
        <v>0.0</v>
      </c>
      <c r="AH40" s="14">
        <f>IF(AND(AH$5-$A40&gt;=0,AH$5-$A40&lt;=19),INDEX(HU_ord,AH$5-$A40+1)*$B40,0)</f>
        <v>0.0</v>
      </c>
      <c r="AI40" s="14">
        <f>IF(AND(AI$5-$A40&gt;=0,AI$5-$A40&lt;=19),INDEX(HU_ord,AI$5-$A40+1)*$B40,0)</f>
        <v>0.0</v>
      </c>
      <c r="AJ40" s="14">
        <f>IF(AND(AJ$5-$A40&gt;=0,AJ$5-$A40&lt;=19),INDEX(HU_ord,AJ$5-$A40+1)*$B40,0)</f>
        <v>0.0</v>
      </c>
      <c r="AK40" s="14">
        <f>IF(AND(AK$5-$A40&gt;=0,AK$5-$A40&lt;=19),INDEX(HU_ord,AK$5-$A40+1)*$B40,0)</f>
        <v>0.0</v>
      </c>
      <c r="AL40" s="14">
        <f>IF(AND(AL$5-$A40&gt;=0,AL$5-$A40&lt;=19),INDEX(HU_ord,AL$5-$A40+1)*$B40,0)</f>
        <v>0.0</v>
      </c>
      <c r="AM40" s="14">
        <f>IF(AND(AM$5-$A40&gt;=0,AM$5-$A40&lt;=19),INDEX(HU_ord,AM$5-$A40+1)*$B40,0)</f>
        <v>0.0</v>
      </c>
      <c r="AN40" s="14">
        <f>IF(AND(AN$5-$A40&gt;=0,AN$5-$A40&lt;=19),INDEX(HU_ord,AN$5-$A40+1)*$B40,0)</f>
        <v>0.0</v>
      </c>
      <c r="AO40" s="14">
        <f>IF(AND(AO$5-$A40&gt;=0,AO$5-$A40&lt;=19),INDEX(HU_ord,AO$5-$A40+1)*$B40,0)</f>
        <v>0.0</v>
      </c>
      <c r="AP40" s="14">
        <f>IF(AND(AP$5-$A40&gt;=0,AP$5-$A40&lt;=19),INDEX(HU_ord,AP$5-$A40+1)*$B40,0)</f>
        <v>0.0</v>
      </c>
      <c r="AQ40" s="14">
        <f>IF(AND(AQ$5-$A40&gt;=0,AQ$5-$A40&lt;=19),INDEX(HU_ord,AQ$5-$A40+1)*$B40,0)</f>
        <v>0.0</v>
      </c>
      <c r="AR40" s="14">
        <f>IF(AND(AR$5-$A40&gt;=0,AR$5-$A40&lt;=19),INDEX(HU_ord,AR$5-$A40+1)*$B40,0)</f>
        <v>0.0</v>
      </c>
      <c r="AS40" s="14">
        <f>IF(AND(AS$5-$A40&gt;=0,AS$5-$A40&lt;=19),INDEX(HU_ord,AS$5-$A40+1)*$B40,0)</f>
        <v>0.0</v>
      </c>
      <c r="AT40" s="14">
        <f>IF(AND(AT$5-$A40&gt;=0,AT$5-$A40&lt;=19),INDEX(HU_ord,AT$5-$A40+1)*$B40,0)</f>
        <v>0.0</v>
      </c>
      <c r="AU40" s="14">
        <f>IF(AND(AU$5-$A40&gt;=0,AU$5-$A40&lt;=19),INDEX(HU_ord,AU$5-$A40+1)*$B40,0)</f>
        <v>0.0</v>
      </c>
      <c r="AV40" s="14">
        <f>IF(AND(AV$5-$A40&gt;=0,AV$5-$A40&lt;=19),INDEX(HU_ord,AV$5-$A40+1)*$B40,0)</f>
        <v>0.0</v>
      </c>
      <c r="AW40" s="14">
        <f>IF(AND(AW$5-$A40&gt;=0,AW$5-$A40&lt;=19),INDEX(HU_ord,AW$5-$A40+1)*$B40,0)</f>
        <v>0.0</v>
      </c>
      <c r="AX40" s="14">
        <f>IF(AND(AX$5-$A40&gt;=0,AX$5-$A40&lt;=19),INDEX(HU_ord,AX$5-$A40+1)*$B40,0)</f>
        <v>0.0</v>
      </c>
      <c r="AY40" s="14">
        <f>IF(AND(AY$5-$A40&gt;=0,AY$5-$A40&lt;=19),INDEX(HU_ord,AY$5-$A40+1)*$B40,0)</f>
        <v>0.0</v>
      </c>
      <c r="AZ40" s="14">
        <f>IF(AND(AZ$5-$A40&gt;=0,AZ$5-$A40&lt;=19),INDEX(HU_ord,AZ$5-$A40+1)*$B40,0)</f>
        <v>0.0</v>
      </c>
      <c r="BA40" s="14">
        <f>IF(AND(BA$5-$A40&gt;=0,BA$5-$A40&lt;=19),INDEX(HU_ord,BA$5-$A40+1)*$B40,0)</f>
        <v>0.0</v>
      </c>
      <c r="BB40" s="14">
        <f>IF(AND(BB$5-$A40&gt;=0,BB$5-$A40&lt;=19),INDEX(HU_ord,BB$5-$A40+1)*$B40,0)</f>
        <v>0.0</v>
      </c>
      <c r="BC40" s="14">
        <f>IF(AND(BC$5-$A40&gt;=0,BC$5-$A40&lt;=19),INDEX(HU_ord,BC$5-$A40+1)*$B40,0)</f>
        <v>0.0</v>
      </c>
      <c r="BD40" s="14">
        <f>IF(AND(BD$5-$A40&gt;=0,BD$5-$A40&lt;=19),INDEX(HU_ord,BD$5-$A40+1)*$B40,0)</f>
        <v>0.0</v>
      </c>
      <c r="BE40" s="14">
        <f>IF(AND(BE$5-$A40&gt;=0,BE$5-$A40&lt;=19),INDEX(HU_ord,BE$5-$A40+1)*$B40,0)</f>
        <v>0.0</v>
      </c>
      <c r="BF40" s="14">
        <f>IF(AND(BF$5-$A40&gt;=0,BF$5-$A40&lt;=19),INDEX(HU_ord,BF$5-$A40+1)*$B40,0)</f>
        <v>0.0</v>
      </c>
      <c r="BG40" s="14">
        <f>IF(AND(BG$5-$A40&gt;=0,BG$5-$A40&lt;=19),INDEX(HU_ord,BG$5-$A40+1)*$B40,0)</f>
        <v>0.0</v>
      </c>
      <c r="BH40" s="14">
        <f>IF(AND(BH$5-$A40&gt;=0,BH$5-$A40&lt;=19),INDEX(HU_ord,BH$5-$A40+1)*$B40,0)</f>
        <v>0.0</v>
      </c>
      <c r="BI40" s="14">
        <f>IF(AND(BI$5-$A40&gt;=0,BI$5-$A40&lt;=19),INDEX(HU_ord,BI$5-$A40+1)*$B40,0)</f>
        <v>0.0</v>
      </c>
      <c r="BJ40" s="14">
        <f>IF(AND(BJ$5-$A40&gt;=0,BJ$5-$A40&lt;=19),INDEX(HU_ord,BJ$5-$A40+1)*$B40,0)</f>
        <v>0.0</v>
      </c>
      <c r="BK40" s="14">
        <f>IF(AND(BK$5-$A40&gt;=0,BK$5-$A40&lt;=19),INDEX(HU_ord,BK$5-$A40+1)*$B40,0)</f>
        <v>0.0</v>
      </c>
      <c r="BL40" s="14">
        <f>IF(AND(BL$5-$A40&gt;=0,BL$5-$A40&lt;=19),INDEX(HU_ord,BL$5-$A40+1)*$B40,0)</f>
        <v>0.0</v>
      </c>
      <c r="BM40" s="14">
        <f>IF(AND(BM$5-$A40&gt;=0,BM$5-$A40&lt;=19),INDEX(HU_ord,BM$5-$A40+1)*$B40,0)</f>
        <v>0.0</v>
      </c>
      <c r="BN40" s="14">
        <f>IF(AND(BN$5-$A40&gt;=0,BN$5-$A40&lt;=19),INDEX(HU_ord,BN$5-$A40+1)*$B40,0)</f>
        <v>0.0</v>
      </c>
      <c r="BO40" s="14">
        <f>IF(AND(BO$5-$A40&gt;=0,BO$5-$A40&lt;=19),INDEX(HU_ord,BO$5-$A40+1)*$B40,0)</f>
        <v>0.0</v>
      </c>
      <c r="BP40" s="14">
        <f>IF(AND(BP$5-$A40&gt;=0,BP$5-$A40&lt;=19),INDEX(HU_ord,BP$5-$A40+1)*$B40,0)</f>
        <v>0.0</v>
      </c>
      <c r="BQ40" s="14">
        <f>IF(AND(BQ$5-$A40&gt;=0,BQ$5-$A40&lt;=19),INDEX(HU_ord,BQ$5-$A40+1)*$B40,0)</f>
        <v>0.0</v>
      </c>
      <c r="BR40" s="14">
        <f>IF(AND(BR$5-$A40&gt;=0,BR$5-$A40&lt;=19),INDEX(HU_ord,BR$5-$A40+1)*$B40,0)</f>
        <v>0.0</v>
      </c>
      <c r="BS40" s="14">
        <f>IF(AND(BS$5-$A40&gt;=0,BS$5-$A40&lt;=19),INDEX(HU_ord,BS$5-$A40+1)*$B40,0)</f>
        <v>0.0</v>
      </c>
      <c r="BT40" s="14">
        <f>IF(AND(BT$5-$A40&gt;=0,BT$5-$A40&lt;=19),INDEX(HU_ord,BT$5-$A40+1)*$B40,0)</f>
        <v>0.0</v>
      </c>
      <c r="BU40" s="14">
        <f>IF(AND(BU$5-$A40&gt;=0,BU$5-$A40&lt;=19),INDEX(HU_ord,BU$5-$A40+1)*$B40,0)</f>
        <v>0.0</v>
      </c>
      <c r="BV40" s="14">
        <f>IF(AND(BV$5-$A40&gt;=0,BV$5-$A40&lt;=19),INDEX(HU_ord,BV$5-$A40+1)*$B40,0)</f>
        <v>0.0</v>
      </c>
      <c r="BW40" s="14">
        <f>IF(AND(BW$5-$A40&gt;=0,BW$5-$A40&lt;=19),INDEX(HU_ord,BW$5-$A40+1)*$B40,0)</f>
        <v>0.0</v>
      </c>
      <c r="BX40" s="14">
        <f>IF(AND(BX$5-$A40&gt;=0,BX$5-$A40&lt;=19),INDEX(HU_ord,BX$5-$A40+1)*$B40,0)</f>
        <v>0.0</v>
      </c>
      <c r="BY40" s="14">
        <f>IF(AND(BY$5-$A40&gt;=0,BY$5-$A40&lt;=19),INDEX(HU_ord,BY$5-$A40+1)*$B40,0)</f>
        <v>0.0</v>
      </c>
      <c r="BZ40" s="14">
        <f>IF(AND(BZ$5-$A40&gt;=0,BZ$5-$A40&lt;=19),INDEX(HU_ord,BZ$5-$A40+1)*$B40,0)</f>
        <v>0.0</v>
      </c>
      <c r="CA40" s="14">
        <f>IF(AND(CA$5-$A40&gt;=0,CA$5-$A40&lt;=19),INDEX(HU_ord,CA$5-$A40+1)*$B40,0)</f>
        <v>0.0</v>
      </c>
      <c r="CB40" s="14">
        <f>IF(AND(CB$5-$A40&gt;=0,CB$5-$A40&lt;=19),INDEX(HU_ord,CB$5-$A40+1)*$B40,0)</f>
        <v>0.0</v>
      </c>
      <c r="CC40" s="14">
        <f>IF(AND(CC$5-$A40&gt;=0,CC$5-$A40&lt;=19),INDEX(HU_ord,CC$5-$A40+1)*$B40,0)</f>
        <v>0.0</v>
      </c>
      <c r="CD40" s="14">
        <f>IF(AND(CD$5-$A40&gt;=0,CD$5-$A40&lt;=19),INDEX(HU_ord,CD$5-$A40+1)*$B40,0)</f>
        <v>0.0</v>
      </c>
      <c r="CE40" s="14">
        <f>IF(AND(CE$5-$A40&gt;=0,CE$5-$A40&lt;=19),INDEX(HU_ord,CE$5-$A40+1)*$B40,0)</f>
        <v>0.0</v>
      </c>
      <c r="CF40" s="14">
        <f>IF(AND(CF$5-$A40&gt;=0,CF$5-$A40&lt;=19),INDEX(HU_ord,CF$5-$A40+1)*$B40,0)</f>
        <v>0.0</v>
      </c>
      <c r="CG40" s="14">
        <f>IF(AND(CG$5-$A40&gt;=0,CG$5-$A40&lt;=19),INDEX(HU_ord,CG$5-$A40+1)*$B40,0)</f>
        <v>0.0</v>
      </c>
      <c r="CH40" s="14">
        <f>IF(AND(CH$5-$A40&gt;=0,CH$5-$A40&lt;=19),INDEX(HU_ord,CH$5-$A40+1)*$B40,0)</f>
        <v>0.0</v>
      </c>
      <c r="CI40" s="14">
        <f>IF(AND(CI$5-$A40&gt;=0,CI$5-$A40&lt;=19),INDEX(HU_ord,CI$5-$A40+1)*$B40,0)</f>
        <v>0.0</v>
      </c>
      <c r="CJ40" s="14">
        <f>IF(AND(CJ$5-$A40&gt;=0,CJ$5-$A40&lt;=19),INDEX(HU_ord,CJ$5-$A40+1)*$B40,0)</f>
        <v>0.0</v>
      </c>
      <c r="CK40" s="14">
        <f>IF(AND(CK$5-$A40&gt;=0,CK$5-$A40&lt;=19),INDEX(HU_ord,CK$5-$A40+1)*$B40,0)</f>
        <v>0.0</v>
      </c>
      <c r="CL40" s="14">
        <f>IF(AND(CL$5-$A40&gt;=0,CL$5-$A40&lt;=19),INDEX(HU_ord,CL$5-$A40+1)*$B40,0)</f>
        <v>0.0</v>
      </c>
      <c r="CM40" s="14">
        <f>IF(AND(CM$5-$A40&gt;=0,CM$5-$A40&lt;=19),INDEX(HU_ord,CM$5-$A40+1)*$B40,0)</f>
        <v>0.0</v>
      </c>
      <c r="CN40" s="14">
        <f>IF(AND(CN$5-$A40&gt;=0,CN$5-$A40&lt;=19),INDEX(HU_ord,CN$5-$A40+1)*$B40,0)</f>
        <v>0.0</v>
      </c>
      <c r="CO40" s="14">
        <f>IF(AND(CO$5-$A40&gt;=0,CO$5-$A40&lt;=19),INDEX(HU_ord,CO$5-$A40+1)*$B40,0)</f>
        <v>0.0</v>
      </c>
      <c r="CP40" s="14">
        <f>IF(AND(CP$5-$A40&gt;=0,CP$5-$A40&lt;=19),INDEX(HU_ord,CP$5-$A40+1)*$B40,0)</f>
        <v>0.0</v>
      </c>
      <c r="CQ40" s="14">
        <f>IF(AND(CQ$5-$A40&gt;=0,CQ$5-$A40&lt;=19),INDEX(HU_ord,CQ$5-$A40+1)*$B40,0)</f>
        <v>0.0</v>
      </c>
      <c r="CR40" s="14">
        <f>IF(AND(CR$5-$A40&gt;=0,CR$5-$A40&lt;=19),INDEX(HU_ord,CR$5-$A40+1)*$B40,0)</f>
        <v>0.0</v>
      </c>
      <c r="CS40" s="14">
        <f>IF(AND(CS$5-$A40&gt;=0,CS$5-$A40&lt;=19),INDEX(HU_ord,CS$5-$A40+1)*$B40,0)</f>
        <v>0.0</v>
      </c>
      <c r="CT40" s="14">
        <f>IF(AND(CT$5-$A40&gt;=0,CT$5-$A40&lt;=19),INDEX(HU_ord,CT$5-$A40+1)*$B40,0)</f>
        <v>0.0</v>
      </c>
      <c r="CU40" s="14">
        <f>IF(AND(CU$5-$A40&gt;=0,CU$5-$A40&lt;=19),INDEX(HU_ord,CU$5-$A40+1)*$B40,0)</f>
        <v>0.0</v>
      </c>
      <c r="CV40" s="14">
        <f>IF(AND(CV$5-$A40&gt;=0,CV$5-$A40&lt;=19),INDEX(HU_ord,CV$5-$A40+1)*$B40,0)</f>
        <v>0.0</v>
      </c>
      <c r="CW40" s="14">
        <f>IF(AND(CW$5-$A40&gt;=0,CW$5-$A40&lt;=19),INDEX(HU_ord,CW$5-$A40+1)*$B40,0)</f>
        <v>0.0</v>
      </c>
      <c r="CX40" s="14">
        <f>IF(AND(CX$5-$A40&gt;=0,CX$5-$A40&lt;=19),INDEX(HU_ord,CX$5-$A40+1)*$B40,0)</f>
        <v>0.0</v>
      </c>
      <c r="CY40" s="14">
        <f>IF(AND(CY$5-$A40&gt;=0,CY$5-$A40&lt;=19),INDEX(HU_ord,CY$5-$A40+1)*$B40,0)</f>
        <v>0.0</v>
      </c>
      <c r="CZ40" s="14">
        <f>IF(AND(CZ$5-$A40&gt;=0,CZ$5-$A40&lt;=19),INDEX(HU_ord,CZ$5-$A40+1)*$B40,0)</f>
        <v>0.0</v>
      </c>
      <c r="DA40" s="14">
        <f>IF(AND(DA$5-$A40&gt;=0,DA$5-$A40&lt;=19),INDEX(HU_ord,DA$5-$A40+1)*$B40,0)</f>
        <v>0.0</v>
      </c>
      <c r="DB40" s="14">
        <f>IF(AND(DB$5-$A40&gt;=0,DB$5-$A40&lt;=19),INDEX(HU_ord,DB$5-$A40+1)*$B40,0)</f>
        <v>0.0</v>
      </c>
      <c r="DC40" s="14">
        <f>IF(AND(DC$5-$A40&gt;=0,DC$5-$A40&lt;=19),INDEX(HU_ord,DC$5-$A40+1)*$B40,0)</f>
        <v>0.0</v>
      </c>
      <c r="DD40" s="14">
        <f>IF(AND(DD$5-$A40&gt;=0,DD$5-$A40&lt;=19),INDEX(HU_ord,DD$5-$A40+1)*$B40,0)</f>
        <v>0.0</v>
      </c>
      <c r="DE40" s="14">
        <f>IF(AND(DE$5-$A40&gt;=0,DE$5-$A40&lt;=19),INDEX(HU_ord,DE$5-$A40+1)*$B40,0)</f>
        <v>0.0</v>
      </c>
      <c r="DF40" s="14">
        <f>IF(AND(DF$5-$A40&gt;=0,DF$5-$A40&lt;=19),INDEX(HU_ord,DF$5-$A40+1)*$B40,0)</f>
        <v>0.0</v>
      </c>
      <c r="DG40" s="14">
        <f>IF(AND(DG$5-$A40&gt;=0,DG$5-$A40&lt;=19),INDEX(HU_ord,DG$5-$A40+1)*$B40,0)</f>
        <v>0.0</v>
      </c>
      <c r="DH40" s="14">
        <f>IF(AND(DH$5-$A40&gt;=0,DH$5-$A40&lt;=19),INDEX(HU_ord,DH$5-$A40+1)*$B40,0)</f>
        <v>0.0</v>
      </c>
      <c r="DI40" s="14">
        <f>IF(AND(DI$5-$A40&gt;=0,DI$5-$A40&lt;=19),INDEX(HU_ord,DI$5-$A40+1)*$B40,0)</f>
        <v>0.0</v>
      </c>
    </row>
    <row r="41" spans="1:113">
      <c r="A41">
        <v>35</v>
      </c>
      <c r="B41" s="10">
        <f>Serie_horaria!N37</f>
        <v>0.0</v>
      </c>
      <c r="C41" s="14">
        <f>IF(AND(C$5-$A41&gt;=0,C$5-$A41&lt;=19),INDEX(HU_ord,C$5-$A41+1)*$B41,0)</f>
        <v>0.0</v>
      </c>
      <c r="D41" s="14">
        <f>IF(AND(D$5-$A41&gt;=0,D$5-$A41&lt;=19),INDEX(HU_ord,D$5-$A41+1)*$B41,0)</f>
        <v>0.0</v>
      </c>
      <c r="E41" s="14">
        <f>IF(AND(E$5-$A41&gt;=0,E$5-$A41&lt;=19),INDEX(HU_ord,E$5-$A41+1)*$B41,0)</f>
        <v>0.0</v>
      </c>
      <c r="F41" s="14">
        <f>IF(AND(F$5-$A41&gt;=0,F$5-$A41&lt;=19),INDEX(HU_ord,F$5-$A41+1)*$B41,0)</f>
        <v>0.0</v>
      </c>
      <c r="G41" s="14">
        <f>IF(AND(G$5-$A41&gt;=0,G$5-$A41&lt;=19),INDEX(HU_ord,G$5-$A41+1)*$B41,0)</f>
        <v>0.0</v>
      </c>
      <c r="H41" s="14">
        <f>IF(AND(H$5-$A41&gt;=0,H$5-$A41&lt;=19),INDEX(HU_ord,H$5-$A41+1)*$B41,0)</f>
        <v>0.0</v>
      </c>
      <c r="I41" s="14">
        <f>IF(AND(I$5-$A41&gt;=0,I$5-$A41&lt;=19),INDEX(HU_ord,I$5-$A41+1)*$B41,0)</f>
        <v>0.0</v>
      </c>
      <c r="J41" s="14">
        <f>IF(AND(J$5-$A41&gt;=0,J$5-$A41&lt;=19),INDEX(HU_ord,J$5-$A41+1)*$B41,0)</f>
        <v>0.0</v>
      </c>
      <c r="K41" s="14">
        <f>IF(AND(K$5-$A41&gt;=0,K$5-$A41&lt;=19),INDEX(HU_ord,K$5-$A41+1)*$B41,0)</f>
        <v>0.0</v>
      </c>
      <c r="L41" s="14">
        <f>IF(AND(L$5-$A41&gt;=0,L$5-$A41&lt;=19),INDEX(HU_ord,L$5-$A41+1)*$B41,0)</f>
        <v>0.0</v>
      </c>
      <c r="M41" s="14">
        <f>IF(AND(M$5-$A41&gt;=0,M$5-$A41&lt;=19),INDEX(HU_ord,M$5-$A41+1)*$B41,0)</f>
        <v>0.0</v>
      </c>
      <c r="N41" s="14">
        <f>IF(AND(N$5-$A41&gt;=0,N$5-$A41&lt;=19),INDEX(HU_ord,N$5-$A41+1)*$B41,0)</f>
        <v>0.0</v>
      </c>
      <c r="O41" s="14">
        <f>IF(AND(O$5-$A41&gt;=0,O$5-$A41&lt;=19),INDEX(HU_ord,O$5-$A41+1)*$B41,0)</f>
        <v>0.0</v>
      </c>
      <c r="P41" s="14">
        <f>IF(AND(P$5-$A41&gt;=0,P$5-$A41&lt;=19),INDEX(HU_ord,P$5-$A41+1)*$B41,0)</f>
        <v>0.0</v>
      </c>
      <c r="Q41" s="14">
        <f>IF(AND(Q$5-$A41&gt;=0,Q$5-$A41&lt;=19),INDEX(HU_ord,Q$5-$A41+1)*$B41,0)</f>
        <v>0.0</v>
      </c>
      <c r="R41" s="14">
        <f>IF(AND(R$5-$A41&gt;=0,R$5-$A41&lt;=19),INDEX(HU_ord,R$5-$A41+1)*$B41,0)</f>
        <v>0.0</v>
      </c>
      <c r="S41" s="14">
        <f>IF(AND(S$5-$A41&gt;=0,S$5-$A41&lt;=19),INDEX(HU_ord,S$5-$A41+1)*$B41,0)</f>
        <v>0.0</v>
      </c>
      <c r="T41" s="14">
        <f>IF(AND(T$5-$A41&gt;=0,T$5-$A41&lt;=19),INDEX(HU_ord,T$5-$A41+1)*$B41,0)</f>
        <v>0.0</v>
      </c>
      <c r="U41" s="14">
        <f>IF(AND(U$5-$A41&gt;=0,U$5-$A41&lt;=19),INDEX(HU_ord,U$5-$A41+1)*$B41,0)</f>
        <v>0.0</v>
      </c>
      <c r="V41" s="14">
        <f>IF(AND(V$5-$A41&gt;=0,V$5-$A41&lt;=19),INDEX(HU_ord,V$5-$A41+1)*$B41,0)</f>
        <v>0.0</v>
      </c>
      <c r="W41" s="14">
        <f>IF(AND(W$5-$A41&gt;=0,W$5-$A41&lt;=19),INDEX(HU_ord,W$5-$A41+1)*$B41,0)</f>
        <v>0.0</v>
      </c>
      <c r="X41" s="14">
        <f>IF(AND(X$5-$A41&gt;=0,X$5-$A41&lt;=19),INDEX(HU_ord,X$5-$A41+1)*$B41,0)</f>
        <v>0.0</v>
      </c>
      <c r="Y41" s="14">
        <f>IF(AND(Y$5-$A41&gt;=0,Y$5-$A41&lt;=19),INDEX(HU_ord,Y$5-$A41+1)*$B41,0)</f>
        <v>0.0</v>
      </c>
      <c r="Z41" s="14">
        <f>IF(AND(Z$5-$A41&gt;=0,Z$5-$A41&lt;=19),INDEX(HU_ord,Z$5-$A41+1)*$B41,0)</f>
        <v>0.0</v>
      </c>
      <c r="AA41" s="14">
        <f>IF(AND(AA$5-$A41&gt;=0,AA$5-$A41&lt;=19),INDEX(HU_ord,AA$5-$A41+1)*$B41,0)</f>
        <v>0.0</v>
      </c>
      <c r="AB41" s="14">
        <f>IF(AND(AB$5-$A41&gt;=0,AB$5-$A41&lt;=19),INDEX(HU_ord,AB$5-$A41+1)*$B41,0)</f>
        <v>0.0</v>
      </c>
      <c r="AC41" s="14">
        <f>IF(AND(AC$5-$A41&gt;=0,AC$5-$A41&lt;=19),INDEX(HU_ord,AC$5-$A41+1)*$B41,0)</f>
        <v>0.0</v>
      </c>
      <c r="AD41" s="14">
        <f>IF(AND(AD$5-$A41&gt;=0,AD$5-$A41&lt;=19),INDEX(HU_ord,AD$5-$A41+1)*$B41,0)</f>
        <v>0.0</v>
      </c>
      <c r="AE41" s="14">
        <f>IF(AND(AE$5-$A41&gt;=0,AE$5-$A41&lt;=19),INDEX(HU_ord,AE$5-$A41+1)*$B41,0)</f>
        <v>0.0</v>
      </c>
      <c r="AF41" s="14">
        <f>IF(AND(AF$5-$A41&gt;=0,AF$5-$A41&lt;=19),INDEX(HU_ord,AF$5-$A41+1)*$B41,0)</f>
        <v>0.0</v>
      </c>
      <c r="AG41" s="14">
        <f>IF(AND(AG$5-$A41&gt;=0,AG$5-$A41&lt;=19),INDEX(HU_ord,AG$5-$A41+1)*$B41,0)</f>
        <v>0.0</v>
      </c>
      <c r="AH41" s="14">
        <f>IF(AND(AH$5-$A41&gt;=0,AH$5-$A41&lt;=19),INDEX(HU_ord,AH$5-$A41+1)*$B41,0)</f>
        <v>0.0</v>
      </c>
      <c r="AI41" s="14">
        <f>IF(AND(AI$5-$A41&gt;=0,AI$5-$A41&lt;=19),INDEX(HU_ord,AI$5-$A41+1)*$B41,0)</f>
        <v>0.0</v>
      </c>
      <c r="AJ41" s="14">
        <f>IF(AND(AJ$5-$A41&gt;=0,AJ$5-$A41&lt;=19),INDEX(HU_ord,AJ$5-$A41+1)*$B41,0)</f>
        <v>0.0</v>
      </c>
      <c r="AK41" s="14">
        <f>IF(AND(AK$5-$A41&gt;=0,AK$5-$A41&lt;=19),INDEX(HU_ord,AK$5-$A41+1)*$B41,0)</f>
        <v>0.0</v>
      </c>
      <c r="AL41" s="14">
        <f>IF(AND(AL$5-$A41&gt;=0,AL$5-$A41&lt;=19),INDEX(HU_ord,AL$5-$A41+1)*$B41,0)</f>
        <v>0.0</v>
      </c>
      <c r="AM41" s="14">
        <f>IF(AND(AM$5-$A41&gt;=0,AM$5-$A41&lt;=19),INDEX(HU_ord,AM$5-$A41+1)*$B41,0)</f>
        <v>0.0</v>
      </c>
      <c r="AN41" s="14">
        <f>IF(AND(AN$5-$A41&gt;=0,AN$5-$A41&lt;=19),INDEX(HU_ord,AN$5-$A41+1)*$B41,0)</f>
        <v>0.0</v>
      </c>
      <c r="AO41" s="14">
        <f>IF(AND(AO$5-$A41&gt;=0,AO$5-$A41&lt;=19),INDEX(HU_ord,AO$5-$A41+1)*$B41,0)</f>
        <v>0.0</v>
      </c>
      <c r="AP41" s="14">
        <f>IF(AND(AP$5-$A41&gt;=0,AP$5-$A41&lt;=19),INDEX(HU_ord,AP$5-$A41+1)*$B41,0)</f>
        <v>0.0</v>
      </c>
      <c r="AQ41" s="14">
        <f>IF(AND(AQ$5-$A41&gt;=0,AQ$5-$A41&lt;=19),INDEX(HU_ord,AQ$5-$A41+1)*$B41,0)</f>
        <v>0.0</v>
      </c>
      <c r="AR41" s="14">
        <f>IF(AND(AR$5-$A41&gt;=0,AR$5-$A41&lt;=19),INDEX(HU_ord,AR$5-$A41+1)*$B41,0)</f>
        <v>0.0</v>
      </c>
      <c r="AS41" s="14">
        <f>IF(AND(AS$5-$A41&gt;=0,AS$5-$A41&lt;=19),INDEX(HU_ord,AS$5-$A41+1)*$B41,0)</f>
        <v>0.0</v>
      </c>
      <c r="AT41" s="14">
        <f>IF(AND(AT$5-$A41&gt;=0,AT$5-$A41&lt;=19),INDEX(HU_ord,AT$5-$A41+1)*$B41,0)</f>
        <v>0.0</v>
      </c>
      <c r="AU41" s="14">
        <f>IF(AND(AU$5-$A41&gt;=0,AU$5-$A41&lt;=19),INDEX(HU_ord,AU$5-$A41+1)*$B41,0)</f>
        <v>0.0</v>
      </c>
      <c r="AV41" s="14">
        <f>IF(AND(AV$5-$A41&gt;=0,AV$5-$A41&lt;=19),INDEX(HU_ord,AV$5-$A41+1)*$B41,0)</f>
        <v>0.0</v>
      </c>
      <c r="AW41" s="14">
        <f>IF(AND(AW$5-$A41&gt;=0,AW$5-$A41&lt;=19),INDEX(HU_ord,AW$5-$A41+1)*$B41,0)</f>
        <v>0.0</v>
      </c>
      <c r="AX41" s="14">
        <f>IF(AND(AX$5-$A41&gt;=0,AX$5-$A41&lt;=19),INDEX(HU_ord,AX$5-$A41+1)*$B41,0)</f>
        <v>0.0</v>
      </c>
      <c r="AY41" s="14">
        <f>IF(AND(AY$5-$A41&gt;=0,AY$5-$A41&lt;=19),INDEX(HU_ord,AY$5-$A41+1)*$B41,0)</f>
        <v>0.0</v>
      </c>
      <c r="AZ41" s="14">
        <f>IF(AND(AZ$5-$A41&gt;=0,AZ$5-$A41&lt;=19),INDEX(HU_ord,AZ$5-$A41+1)*$B41,0)</f>
        <v>0.0</v>
      </c>
      <c r="BA41" s="14">
        <f>IF(AND(BA$5-$A41&gt;=0,BA$5-$A41&lt;=19),INDEX(HU_ord,BA$5-$A41+1)*$B41,0)</f>
        <v>0.0</v>
      </c>
      <c r="BB41" s="14">
        <f>IF(AND(BB$5-$A41&gt;=0,BB$5-$A41&lt;=19),INDEX(HU_ord,BB$5-$A41+1)*$B41,0)</f>
        <v>0.0</v>
      </c>
      <c r="BC41" s="14">
        <f>IF(AND(BC$5-$A41&gt;=0,BC$5-$A41&lt;=19),INDEX(HU_ord,BC$5-$A41+1)*$B41,0)</f>
        <v>0.0</v>
      </c>
      <c r="BD41" s="14">
        <f>IF(AND(BD$5-$A41&gt;=0,BD$5-$A41&lt;=19),INDEX(HU_ord,BD$5-$A41+1)*$B41,0)</f>
        <v>0.0</v>
      </c>
      <c r="BE41" s="14">
        <f>IF(AND(BE$5-$A41&gt;=0,BE$5-$A41&lt;=19),INDEX(HU_ord,BE$5-$A41+1)*$B41,0)</f>
        <v>0.0</v>
      </c>
      <c r="BF41" s="14">
        <f>IF(AND(BF$5-$A41&gt;=0,BF$5-$A41&lt;=19),INDEX(HU_ord,BF$5-$A41+1)*$B41,0)</f>
        <v>0.0</v>
      </c>
      <c r="BG41" s="14">
        <f>IF(AND(BG$5-$A41&gt;=0,BG$5-$A41&lt;=19),INDEX(HU_ord,BG$5-$A41+1)*$B41,0)</f>
        <v>0.0</v>
      </c>
      <c r="BH41" s="14">
        <f>IF(AND(BH$5-$A41&gt;=0,BH$5-$A41&lt;=19),INDEX(HU_ord,BH$5-$A41+1)*$B41,0)</f>
        <v>0.0</v>
      </c>
      <c r="BI41" s="14">
        <f>IF(AND(BI$5-$A41&gt;=0,BI$5-$A41&lt;=19),INDEX(HU_ord,BI$5-$A41+1)*$B41,0)</f>
        <v>0.0</v>
      </c>
      <c r="BJ41" s="14">
        <f>IF(AND(BJ$5-$A41&gt;=0,BJ$5-$A41&lt;=19),INDEX(HU_ord,BJ$5-$A41+1)*$B41,0)</f>
        <v>0.0</v>
      </c>
      <c r="BK41" s="14">
        <f>IF(AND(BK$5-$A41&gt;=0,BK$5-$A41&lt;=19),INDEX(HU_ord,BK$5-$A41+1)*$B41,0)</f>
        <v>0.0</v>
      </c>
      <c r="BL41" s="14">
        <f>IF(AND(BL$5-$A41&gt;=0,BL$5-$A41&lt;=19),INDEX(HU_ord,BL$5-$A41+1)*$B41,0)</f>
        <v>0.0</v>
      </c>
      <c r="BM41" s="14">
        <f>IF(AND(BM$5-$A41&gt;=0,BM$5-$A41&lt;=19),INDEX(HU_ord,BM$5-$A41+1)*$B41,0)</f>
        <v>0.0</v>
      </c>
      <c r="BN41" s="14">
        <f>IF(AND(BN$5-$A41&gt;=0,BN$5-$A41&lt;=19),INDEX(HU_ord,BN$5-$A41+1)*$B41,0)</f>
        <v>0.0</v>
      </c>
      <c r="BO41" s="14">
        <f>IF(AND(BO$5-$A41&gt;=0,BO$5-$A41&lt;=19),INDEX(HU_ord,BO$5-$A41+1)*$B41,0)</f>
        <v>0.0</v>
      </c>
      <c r="BP41" s="14">
        <f>IF(AND(BP$5-$A41&gt;=0,BP$5-$A41&lt;=19),INDEX(HU_ord,BP$5-$A41+1)*$B41,0)</f>
        <v>0.0</v>
      </c>
      <c r="BQ41" s="14">
        <f>IF(AND(BQ$5-$A41&gt;=0,BQ$5-$A41&lt;=19),INDEX(HU_ord,BQ$5-$A41+1)*$B41,0)</f>
        <v>0.0</v>
      </c>
      <c r="BR41" s="14">
        <f>IF(AND(BR$5-$A41&gt;=0,BR$5-$A41&lt;=19),INDEX(HU_ord,BR$5-$A41+1)*$B41,0)</f>
        <v>0.0</v>
      </c>
      <c r="BS41" s="14">
        <f>IF(AND(BS$5-$A41&gt;=0,BS$5-$A41&lt;=19),INDEX(HU_ord,BS$5-$A41+1)*$B41,0)</f>
        <v>0.0</v>
      </c>
      <c r="BT41" s="14">
        <f>IF(AND(BT$5-$A41&gt;=0,BT$5-$A41&lt;=19),INDEX(HU_ord,BT$5-$A41+1)*$B41,0)</f>
        <v>0.0</v>
      </c>
      <c r="BU41" s="14">
        <f>IF(AND(BU$5-$A41&gt;=0,BU$5-$A41&lt;=19),INDEX(HU_ord,BU$5-$A41+1)*$B41,0)</f>
        <v>0.0</v>
      </c>
      <c r="BV41" s="14">
        <f>IF(AND(BV$5-$A41&gt;=0,BV$5-$A41&lt;=19),INDEX(HU_ord,BV$5-$A41+1)*$B41,0)</f>
        <v>0.0</v>
      </c>
      <c r="BW41" s="14">
        <f>IF(AND(BW$5-$A41&gt;=0,BW$5-$A41&lt;=19),INDEX(HU_ord,BW$5-$A41+1)*$B41,0)</f>
        <v>0.0</v>
      </c>
      <c r="BX41" s="14">
        <f>IF(AND(BX$5-$A41&gt;=0,BX$5-$A41&lt;=19),INDEX(HU_ord,BX$5-$A41+1)*$B41,0)</f>
        <v>0.0</v>
      </c>
      <c r="BY41" s="14">
        <f>IF(AND(BY$5-$A41&gt;=0,BY$5-$A41&lt;=19),INDEX(HU_ord,BY$5-$A41+1)*$B41,0)</f>
        <v>0.0</v>
      </c>
      <c r="BZ41" s="14">
        <f>IF(AND(BZ$5-$A41&gt;=0,BZ$5-$A41&lt;=19),INDEX(HU_ord,BZ$5-$A41+1)*$B41,0)</f>
        <v>0.0</v>
      </c>
      <c r="CA41" s="14">
        <f>IF(AND(CA$5-$A41&gt;=0,CA$5-$A41&lt;=19),INDEX(HU_ord,CA$5-$A41+1)*$B41,0)</f>
        <v>0.0</v>
      </c>
      <c r="CB41" s="14">
        <f>IF(AND(CB$5-$A41&gt;=0,CB$5-$A41&lt;=19),INDEX(HU_ord,CB$5-$A41+1)*$B41,0)</f>
        <v>0.0</v>
      </c>
      <c r="CC41" s="14">
        <f>IF(AND(CC$5-$A41&gt;=0,CC$5-$A41&lt;=19),INDEX(HU_ord,CC$5-$A41+1)*$B41,0)</f>
        <v>0.0</v>
      </c>
      <c r="CD41" s="14">
        <f>IF(AND(CD$5-$A41&gt;=0,CD$5-$A41&lt;=19),INDEX(HU_ord,CD$5-$A41+1)*$B41,0)</f>
        <v>0.0</v>
      </c>
      <c r="CE41" s="14">
        <f>IF(AND(CE$5-$A41&gt;=0,CE$5-$A41&lt;=19),INDEX(HU_ord,CE$5-$A41+1)*$B41,0)</f>
        <v>0.0</v>
      </c>
      <c r="CF41" s="14">
        <f>IF(AND(CF$5-$A41&gt;=0,CF$5-$A41&lt;=19),INDEX(HU_ord,CF$5-$A41+1)*$B41,0)</f>
        <v>0.0</v>
      </c>
      <c r="CG41" s="14">
        <f>IF(AND(CG$5-$A41&gt;=0,CG$5-$A41&lt;=19),INDEX(HU_ord,CG$5-$A41+1)*$B41,0)</f>
        <v>0.0</v>
      </c>
      <c r="CH41" s="14">
        <f>IF(AND(CH$5-$A41&gt;=0,CH$5-$A41&lt;=19),INDEX(HU_ord,CH$5-$A41+1)*$B41,0)</f>
        <v>0.0</v>
      </c>
      <c r="CI41" s="14">
        <f>IF(AND(CI$5-$A41&gt;=0,CI$5-$A41&lt;=19),INDEX(HU_ord,CI$5-$A41+1)*$B41,0)</f>
        <v>0.0</v>
      </c>
      <c r="CJ41" s="14">
        <f>IF(AND(CJ$5-$A41&gt;=0,CJ$5-$A41&lt;=19),INDEX(HU_ord,CJ$5-$A41+1)*$B41,0)</f>
        <v>0.0</v>
      </c>
      <c r="CK41" s="14">
        <f>IF(AND(CK$5-$A41&gt;=0,CK$5-$A41&lt;=19),INDEX(HU_ord,CK$5-$A41+1)*$B41,0)</f>
        <v>0.0</v>
      </c>
      <c r="CL41" s="14">
        <f>IF(AND(CL$5-$A41&gt;=0,CL$5-$A41&lt;=19),INDEX(HU_ord,CL$5-$A41+1)*$B41,0)</f>
        <v>0.0</v>
      </c>
      <c r="CM41" s="14">
        <f>IF(AND(CM$5-$A41&gt;=0,CM$5-$A41&lt;=19),INDEX(HU_ord,CM$5-$A41+1)*$B41,0)</f>
        <v>0.0</v>
      </c>
      <c r="CN41" s="14">
        <f>IF(AND(CN$5-$A41&gt;=0,CN$5-$A41&lt;=19),INDEX(HU_ord,CN$5-$A41+1)*$B41,0)</f>
        <v>0.0</v>
      </c>
      <c r="CO41" s="14">
        <f>IF(AND(CO$5-$A41&gt;=0,CO$5-$A41&lt;=19),INDEX(HU_ord,CO$5-$A41+1)*$B41,0)</f>
        <v>0.0</v>
      </c>
      <c r="CP41" s="14">
        <f>IF(AND(CP$5-$A41&gt;=0,CP$5-$A41&lt;=19),INDEX(HU_ord,CP$5-$A41+1)*$B41,0)</f>
        <v>0.0</v>
      </c>
      <c r="CQ41" s="14">
        <f>IF(AND(CQ$5-$A41&gt;=0,CQ$5-$A41&lt;=19),INDEX(HU_ord,CQ$5-$A41+1)*$B41,0)</f>
        <v>0.0</v>
      </c>
      <c r="CR41" s="14">
        <f>IF(AND(CR$5-$A41&gt;=0,CR$5-$A41&lt;=19),INDEX(HU_ord,CR$5-$A41+1)*$B41,0)</f>
        <v>0.0</v>
      </c>
      <c r="CS41" s="14">
        <f>IF(AND(CS$5-$A41&gt;=0,CS$5-$A41&lt;=19),INDEX(HU_ord,CS$5-$A41+1)*$B41,0)</f>
        <v>0.0</v>
      </c>
      <c r="CT41" s="14">
        <f>IF(AND(CT$5-$A41&gt;=0,CT$5-$A41&lt;=19),INDEX(HU_ord,CT$5-$A41+1)*$B41,0)</f>
        <v>0.0</v>
      </c>
      <c r="CU41" s="14">
        <f>IF(AND(CU$5-$A41&gt;=0,CU$5-$A41&lt;=19),INDEX(HU_ord,CU$5-$A41+1)*$B41,0)</f>
        <v>0.0</v>
      </c>
      <c r="CV41" s="14">
        <f>IF(AND(CV$5-$A41&gt;=0,CV$5-$A41&lt;=19),INDEX(HU_ord,CV$5-$A41+1)*$B41,0)</f>
        <v>0.0</v>
      </c>
      <c r="CW41" s="14">
        <f>IF(AND(CW$5-$A41&gt;=0,CW$5-$A41&lt;=19),INDEX(HU_ord,CW$5-$A41+1)*$B41,0)</f>
        <v>0.0</v>
      </c>
      <c r="CX41" s="14">
        <f>IF(AND(CX$5-$A41&gt;=0,CX$5-$A41&lt;=19),INDEX(HU_ord,CX$5-$A41+1)*$B41,0)</f>
        <v>0.0</v>
      </c>
      <c r="CY41" s="14">
        <f>IF(AND(CY$5-$A41&gt;=0,CY$5-$A41&lt;=19),INDEX(HU_ord,CY$5-$A41+1)*$B41,0)</f>
        <v>0.0</v>
      </c>
      <c r="CZ41" s="14">
        <f>IF(AND(CZ$5-$A41&gt;=0,CZ$5-$A41&lt;=19),INDEX(HU_ord,CZ$5-$A41+1)*$B41,0)</f>
        <v>0.0</v>
      </c>
      <c r="DA41" s="14">
        <f>IF(AND(DA$5-$A41&gt;=0,DA$5-$A41&lt;=19),INDEX(HU_ord,DA$5-$A41+1)*$B41,0)</f>
        <v>0.0</v>
      </c>
      <c r="DB41" s="14">
        <f>IF(AND(DB$5-$A41&gt;=0,DB$5-$A41&lt;=19),INDEX(HU_ord,DB$5-$A41+1)*$B41,0)</f>
        <v>0.0</v>
      </c>
      <c r="DC41" s="14">
        <f>IF(AND(DC$5-$A41&gt;=0,DC$5-$A41&lt;=19),INDEX(HU_ord,DC$5-$A41+1)*$B41,0)</f>
        <v>0.0</v>
      </c>
      <c r="DD41" s="14">
        <f>IF(AND(DD$5-$A41&gt;=0,DD$5-$A41&lt;=19),INDEX(HU_ord,DD$5-$A41+1)*$B41,0)</f>
        <v>0.0</v>
      </c>
      <c r="DE41" s="14">
        <f>IF(AND(DE$5-$A41&gt;=0,DE$5-$A41&lt;=19),INDEX(HU_ord,DE$5-$A41+1)*$B41,0)</f>
        <v>0.0</v>
      </c>
      <c r="DF41" s="14">
        <f>IF(AND(DF$5-$A41&gt;=0,DF$5-$A41&lt;=19),INDEX(HU_ord,DF$5-$A41+1)*$B41,0)</f>
        <v>0.0</v>
      </c>
      <c r="DG41" s="14">
        <f>IF(AND(DG$5-$A41&gt;=0,DG$5-$A41&lt;=19),INDEX(HU_ord,DG$5-$A41+1)*$B41,0)</f>
        <v>0.0</v>
      </c>
      <c r="DH41" s="14">
        <f>IF(AND(DH$5-$A41&gt;=0,DH$5-$A41&lt;=19),INDEX(HU_ord,DH$5-$A41+1)*$B41,0)</f>
        <v>0.0</v>
      </c>
      <c r="DI41" s="14">
        <f>IF(AND(DI$5-$A41&gt;=0,DI$5-$A41&lt;=19),INDEX(HU_ord,DI$5-$A41+1)*$B41,0)</f>
        <v>0.0</v>
      </c>
    </row>
    <row r="42" spans="1:113">
      <c r="A42">
        <v>36</v>
      </c>
      <c r="B42" s="10">
        <f>Serie_horaria!N38</f>
        <v>0.0</v>
      </c>
      <c r="C42" s="14">
        <f>IF(AND(C$5-$A42&gt;=0,C$5-$A42&lt;=19),INDEX(HU_ord,C$5-$A42+1)*$B42,0)</f>
        <v>0.0</v>
      </c>
      <c r="D42" s="14">
        <f>IF(AND(D$5-$A42&gt;=0,D$5-$A42&lt;=19),INDEX(HU_ord,D$5-$A42+1)*$B42,0)</f>
        <v>0.0</v>
      </c>
      <c r="E42" s="14">
        <f>IF(AND(E$5-$A42&gt;=0,E$5-$A42&lt;=19),INDEX(HU_ord,E$5-$A42+1)*$B42,0)</f>
        <v>0.0</v>
      </c>
      <c r="F42" s="14">
        <f>IF(AND(F$5-$A42&gt;=0,F$5-$A42&lt;=19),INDEX(HU_ord,F$5-$A42+1)*$B42,0)</f>
        <v>0.0</v>
      </c>
      <c r="G42" s="14">
        <f>IF(AND(G$5-$A42&gt;=0,G$5-$A42&lt;=19),INDEX(HU_ord,G$5-$A42+1)*$B42,0)</f>
        <v>0.0</v>
      </c>
      <c r="H42" s="14">
        <f>IF(AND(H$5-$A42&gt;=0,H$5-$A42&lt;=19),INDEX(HU_ord,H$5-$A42+1)*$B42,0)</f>
        <v>0.0</v>
      </c>
      <c r="I42" s="14">
        <f>IF(AND(I$5-$A42&gt;=0,I$5-$A42&lt;=19),INDEX(HU_ord,I$5-$A42+1)*$B42,0)</f>
        <v>0.0</v>
      </c>
      <c r="J42" s="14">
        <f>IF(AND(J$5-$A42&gt;=0,J$5-$A42&lt;=19),INDEX(HU_ord,J$5-$A42+1)*$B42,0)</f>
        <v>0.0</v>
      </c>
      <c r="K42" s="14">
        <f>IF(AND(K$5-$A42&gt;=0,K$5-$A42&lt;=19),INDEX(HU_ord,K$5-$A42+1)*$B42,0)</f>
        <v>0.0</v>
      </c>
      <c r="L42" s="14">
        <f>IF(AND(L$5-$A42&gt;=0,L$5-$A42&lt;=19),INDEX(HU_ord,L$5-$A42+1)*$B42,0)</f>
        <v>0.0</v>
      </c>
      <c r="M42" s="14">
        <f>IF(AND(M$5-$A42&gt;=0,M$5-$A42&lt;=19),INDEX(HU_ord,M$5-$A42+1)*$B42,0)</f>
        <v>0.0</v>
      </c>
      <c r="N42" s="14">
        <f>IF(AND(N$5-$A42&gt;=0,N$5-$A42&lt;=19),INDEX(HU_ord,N$5-$A42+1)*$B42,0)</f>
        <v>0.0</v>
      </c>
      <c r="O42" s="14">
        <f>IF(AND(O$5-$A42&gt;=0,O$5-$A42&lt;=19),INDEX(HU_ord,O$5-$A42+1)*$B42,0)</f>
        <v>0.0</v>
      </c>
      <c r="P42" s="14">
        <f>IF(AND(P$5-$A42&gt;=0,P$5-$A42&lt;=19),INDEX(HU_ord,P$5-$A42+1)*$B42,0)</f>
        <v>0.0</v>
      </c>
      <c r="Q42" s="14">
        <f>IF(AND(Q$5-$A42&gt;=0,Q$5-$A42&lt;=19),INDEX(HU_ord,Q$5-$A42+1)*$B42,0)</f>
        <v>0.0</v>
      </c>
      <c r="R42" s="14">
        <f>IF(AND(R$5-$A42&gt;=0,R$5-$A42&lt;=19),INDEX(HU_ord,R$5-$A42+1)*$B42,0)</f>
        <v>0.0</v>
      </c>
      <c r="S42" s="14">
        <f>IF(AND(S$5-$A42&gt;=0,S$5-$A42&lt;=19),INDEX(HU_ord,S$5-$A42+1)*$B42,0)</f>
        <v>0.0</v>
      </c>
      <c r="T42" s="14">
        <f>IF(AND(T$5-$A42&gt;=0,T$5-$A42&lt;=19),INDEX(HU_ord,T$5-$A42+1)*$B42,0)</f>
        <v>0.0</v>
      </c>
      <c r="U42" s="14">
        <f>IF(AND(U$5-$A42&gt;=0,U$5-$A42&lt;=19),INDEX(HU_ord,U$5-$A42+1)*$B42,0)</f>
        <v>0.0</v>
      </c>
      <c r="V42" s="14">
        <f>IF(AND(V$5-$A42&gt;=0,V$5-$A42&lt;=19),INDEX(HU_ord,V$5-$A42+1)*$B42,0)</f>
        <v>0.0</v>
      </c>
      <c r="W42" s="14">
        <f>IF(AND(W$5-$A42&gt;=0,W$5-$A42&lt;=19),INDEX(HU_ord,W$5-$A42+1)*$B42,0)</f>
        <v>0.0</v>
      </c>
      <c r="X42" s="14">
        <f>IF(AND(X$5-$A42&gt;=0,X$5-$A42&lt;=19),INDEX(HU_ord,X$5-$A42+1)*$B42,0)</f>
        <v>0.0</v>
      </c>
      <c r="Y42" s="14">
        <f>IF(AND(Y$5-$A42&gt;=0,Y$5-$A42&lt;=19),INDEX(HU_ord,Y$5-$A42+1)*$B42,0)</f>
        <v>0.0</v>
      </c>
      <c r="Z42" s="14">
        <f>IF(AND(Z$5-$A42&gt;=0,Z$5-$A42&lt;=19),INDEX(HU_ord,Z$5-$A42+1)*$B42,0)</f>
        <v>0.0</v>
      </c>
      <c r="AA42" s="14">
        <f>IF(AND(AA$5-$A42&gt;=0,AA$5-$A42&lt;=19),INDEX(HU_ord,AA$5-$A42+1)*$B42,0)</f>
        <v>0.0</v>
      </c>
      <c r="AB42" s="14">
        <f>IF(AND(AB$5-$A42&gt;=0,AB$5-$A42&lt;=19),INDEX(HU_ord,AB$5-$A42+1)*$B42,0)</f>
        <v>0.0</v>
      </c>
      <c r="AC42" s="14">
        <f>IF(AND(AC$5-$A42&gt;=0,AC$5-$A42&lt;=19),INDEX(HU_ord,AC$5-$A42+1)*$B42,0)</f>
        <v>0.0</v>
      </c>
      <c r="AD42" s="14">
        <f>IF(AND(AD$5-$A42&gt;=0,AD$5-$A42&lt;=19),INDEX(HU_ord,AD$5-$A42+1)*$B42,0)</f>
        <v>0.0</v>
      </c>
      <c r="AE42" s="14">
        <f>IF(AND(AE$5-$A42&gt;=0,AE$5-$A42&lt;=19),INDEX(HU_ord,AE$5-$A42+1)*$B42,0)</f>
        <v>0.0</v>
      </c>
      <c r="AF42" s="14">
        <f>IF(AND(AF$5-$A42&gt;=0,AF$5-$A42&lt;=19),INDEX(HU_ord,AF$5-$A42+1)*$B42,0)</f>
        <v>0.0</v>
      </c>
      <c r="AG42" s="14">
        <f>IF(AND(AG$5-$A42&gt;=0,AG$5-$A42&lt;=19),INDEX(HU_ord,AG$5-$A42+1)*$B42,0)</f>
        <v>0.0</v>
      </c>
      <c r="AH42" s="14">
        <f>IF(AND(AH$5-$A42&gt;=0,AH$5-$A42&lt;=19),INDEX(HU_ord,AH$5-$A42+1)*$B42,0)</f>
        <v>0.0</v>
      </c>
      <c r="AI42" s="14">
        <f>IF(AND(AI$5-$A42&gt;=0,AI$5-$A42&lt;=19),INDEX(HU_ord,AI$5-$A42+1)*$B42,0)</f>
        <v>0.0</v>
      </c>
      <c r="AJ42" s="14">
        <f>IF(AND(AJ$5-$A42&gt;=0,AJ$5-$A42&lt;=19),INDEX(HU_ord,AJ$5-$A42+1)*$B42,0)</f>
        <v>0.0</v>
      </c>
      <c r="AK42" s="14">
        <f>IF(AND(AK$5-$A42&gt;=0,AK$5-$A42&lt;=19),INDEX(HU_ord,AK$5-$A42+1)*$B42,0)</f>
        <v>0.0</v>
      </c>
      <c r="AL42" s="14">
        <f>IF(AND(AL$5-$A42&gt;=0,AL$5-$A42&lt;=19),INDEX(HU_ord,AL$5-$A42+1)*$B42,0)</f>
        <v>0.0</v>
      </c>
      <c r="AM42" s="14">
        <f>IF(AND(AM$5-$A42&gt;=0,AM$5-$A42&lt;=19),INDEX(HU_ord,AM$5-$A42+1)*$B42,0)</f>
        <v>0.0</v>
      </c>
      <c r="AN42" s="14">
        <f>IF(AND(AN$5-$A42&gt;=0,AN$5-$A42&lt;=19),INDEX(HU_ord,AN$5-$A42+1)*$B42,0)</f>
        <v>0.0</v>
      </c>
      <c r="AO42" s="14">
        <f>IF(AND(AO$5-$A42&gt;=0,AO$5-$A42&lt;=19),INDEX(HU_ord,AO$5-$A42+1)*$B42,0)</f>
        <v>0.0</v>
      </c>
      <c r="AP42" s="14">
        <f>IF(AND(AP$5-$A42&gt;=0,AP$5-$A42&lt;=19),INDEX(HU_ord,AP$5-$A42+1)*$B42,0)</f>
        <v>0.0</v>
      </c>
      <c r="AQ42" s="14">
        <f>IF(AND(AQ$5-$A42&gt;=0,AQ$5-$A42&lt;=19),INDEX(HU_ord,AQ$5-$A42+1)*$B42,0)</f>
        <v>0.0</v>
      </c>
      <c r="AR42" s="14">
        <f>IF(AND(AR$5-$A42&gt;=0,AR$5-$A42&lt;=19),INDEX(HU_ord,AR$5-$A42+1)*$B42,0)</f>
        <v>0.0</v>
      </c>
      <c r="AS42" s="14">
        <f>IF(AND(AS$5-$A42&gt;=0,AS$5-$A42&lt;=19),INDEX(HU_ord,AS$5-$A42+1)*$B42,0)</f>
        <v>0.0</v>
      </c>
      <c r="AT42" s="14">
        <f>IF(AND(AT$5-$A42&gt;=0,AT$5-$A42&lt;=19),INDEX(HU_ord,AT$5-$A42+1)*$B42,0)</f>
        <v>0.0</v>
      </c>
      <c r="AU42" s="14">
        <f>IF(AND(AU$5-$A42&gt;=0,AU$5-$A42&lt;=19),INDEX(HU_ord,AU$5-$A42+1)*$B42,0)</f>
        <v>0.0</v>
      </c>
      <c r="AV42" s="14">
        <f>IF(AND(AV$5-$A42&gt;=0,AV$5-$A42&lt;=19),INDEX(HU_ord,AV$5-$A42+1)*$B42,0)</f>
        <v>0.0</v>
      </c>
      <c r="AW42" s="14">
        <f>IF(AND(AW$5-$A42&gt;=0,AW$5-$A42&lt;=19),INDEX(HU_ord,AW$5-$A42+1)*$B42,0)</f>
        <v>0.0</v>
      </c>
      <c r="AX42" s="14">
        <f>IF(AND(AX$5-$A42&gt;=0,AX$5-$A42&lt;=19),INDEX(HU_ord,AX$5-$A42+1)*$B42,0)</f>
        <v>0.0</v>
      </c>
      <c r="AY42" s="14">
        <f>IF(AND(AY$5-$A42&gt;=0,AY$5-$A42&lt;=19),INDEX(HU_ord,AY$5-$A42+1)*$B42,0)</f>
        <v>0.0</v>
      </c>
      <c r="AZ42" s="14">
        <f>IF(AND(AZ$5-$A42&gt;=0,AZ$5-$A42&lt;=19),INDEX(HU_ord,AZ$5-$A42+1)*$B42,0)</f>
        <v>0.0</v>
      </c>
      <c r="BA42" s="14">
        <f>IF(AND(BA$5-$A42&gt;=0,BA$5-$A42&lt;=19),INDEX(HU_ord,BA$5-$A42+1)*$B42,0)</f>
        <v>0.0</v>
      </c>
      <c r="BB42" s="14">
        <f>IF(AND(BB$5-$A42&gt;=0,BB$5-$A42&lt;=19),INDEX(HU_ord,BB$5-$A42+1)*$B42,0)</f>
        <v>0.0</v>
      </c>
      <c r="BC42" s="14">
        <f>IF(AND(BC$5-$A42&gt;=0,BC$5-$A42&lt;=19),INDEX(HU_ord,BC$5-$A42+1)*$B42,0)</f>
        <v>0.0</v>
      </c>
      <c r="BD42" s="14">
        <f>IF(AND(BD$5-$A42&gt;=0,BD$5-$A42&lt;=19),INDEX(HU_ord,BD$5-$A42+1)*$B42,0)</f>
        <v>0.0</v>
      </c>
      <c r="BE42" s="14">
        <f>IF(AND(BE$5-$A42&gt;=0,BE$5-$A42&lt;=19),INDEX(HU_ord,BE$5-$A42+1)*$B42,0)</f>
        <v>0.0</v>
      </c>
      <c r="BF42" s="14">
        <f>IF(AND(BF$5-$A42&gt;=0,BF$5-$A42&lt;=19),INDEX(HU_ord,BF$5-$A42+1)*$B42,0)</f>
        <v>0.0</v>
      </c>
      <c r="BG42" s="14">
        <f>IF(AND(BG$5-$A42&gt;=0,BG$5-$A42&lt;=19),INDEX(HU_ord,BG$5-$A42+1)*$B42,0)</f>
        <v>0.0</v>
      </c>
      <c r="BH42" s="14">
        <f>IF(AND(BH$5-$A42&gt;=0,BH$5-$A42&lt;=19),INDEX(HU_ord,BH$5-$A42+1)*$B42,0)</f>
        <v>0.0</v>
      </c>
      <c r="BI42" s="14">
        <f>IF(AND(BI$5-$A42&gt;=0,BI$5-$A42&lt;=19),INDEX(HU_ord,BI$5-$A42+1)*$B42,0)</f>
        <v>0.0</v>
      </c>
      <c r="BJ42" s="14">
        <f>IF(AND(BJ$5-$A42&gt;=0,BJ$5-$A42&lt;=19),INDEX(HU_ord,BJ$5-$A42+1)*$B42,0)</f>
        <v>0.0</v>
      </c>
      <c r="BK42" s="14">
        <f>IF(AND(BK$5-$A42&gt;=0,BK$5-$A42&lt;=19),INDEX(HU_ord,BK$5-$A42+1)*$B42,0)</f>
        <v>0.0</v>
      </c>
      <c r="BL42" s="14">
        <f>IF(AND(BL$5-$A42&gt;=0,BL$5-$A42&lt;=19),INDEX(HU_ord,BL$5-$A42+1)*$B42,0)</f>
        <v>0.0</v>
      </c>
      <c r="BM42" s="14">
        <f>IF(AND(BM$5-$A42&gt;=0,BM$5-$A42&lt;=19),INDEX(HU_ord,BM$5-$A42+1)*$B42,0)</f>
        <v>0.0</v>
      </c>
      <c r="BN42" s="14">
        <f>IF(AND(BN$5-$A42&gt;=0,BN$5-$A42&lt;=19),INDEX(HU_ord,BN$5-$A42+1)*$B42,0)</f>
        <v>0.0</v>
      </c>
      <c r="BO42" s="14">
        <f>IF(AND(BO$5-$A42&gt;=0,BO$5-$A42&lt;=19),INDEX(HU_ord,BO$5-$A42+1)*$B42,0)</f>
        <v>0.0</v>
      </c>
      <c r="BP42" s="14">
        <f>IF(AND(BP$5-$A42&gt;=0,BP$5-$A42&lt;=19),INDEX(HU_ord,BP$5-$A42+1)*$B42,0)</f>
        <v>0.0</v>
      </c>
      <c r="BQ42" s="14">
        <f>IF(AND(BQ$5-$A42&gt;=0,BQ$5-$A42&lt;=19),INDEX(HU_ord,BQ$5-$A42+1)*$B42,0)</f>
        <v>0.0</v>
      </c>
      <c r="BR42" s="14">
        <f>IF(AND(BR$5-$A42&gt;=0,BR$5-$A42&lt;=19),INDEX(HU_ord,BR$5-$A42+1)*$B42,0)</f>
        <v>0.0</v>
      </c>
      <c r="BS42" s="14">
        <f>IF(AND(BS$5-$A42&gt;=0,BS$5-$A42&lt;=19),INDEX(HU_ord,BS$5-$A42+1)*$B42,0)</f>
        <v>0.0</v>
      </c>
      <c r="BT42" s="14">
        <f>IF(AND(BT$5-$A42&gt;=0,BT$5-$A42&lt;=19),INDEX(HU_ord,BT$5-$A42+1)*$B42,0)</f>
        <v>0.0</v>
      </c>
      <c r="BU42" s="14">
        <f>IF(AND(BU$5-$A42&gt;=0,BU$5-$A42&lt;=19),INDEX(HU_ord,BU$5-$A42+1)*$B42,0)</f>
        <v>0.0</v>
      </c>
      <c r="BV42" s="14">
        <f>IF(AND(BV$5-$A42&gt;=0,BV$5-$A42&lt;=19),INDEX(HU_ord,BV$5-$A42+1)*$B42,0)</f>
        <v>0.0</v>
      </c>
      <c r="BW42" s="14">
        <f>IF(AND(BW$5-$A42&gt;=0,BW$5-$A42&lt;=19),INDEX(HU_ord,BW$5-$A42+1)*$B42,0)</f>
        <v>0.0</v>
      </c>
      <c r="BX42" s="14">
        <f>IF(AND(BX$5-$A42&gt;=0,BX$5-$A42&lt;=19),INDEX(HU_ord,BX$5-$A42+1)*$B42,0)</f>
        <v>0.0</v>
      </c>
      <c r="BY42" s="14">
        <f>IF(AND(BY$5-$A42&gt;=0,BY$5-$A42&lt;=19),INDEX(HU_ord,BY$5-$A42+1)*$B42,0)</f>
        <v>0.0</v>
      </c>
      <c r="BZ42" s="14">
        <f>IF(AND(BZ$5-$A42&gt;=0,BZ$5-$A42&lt;=19),INDEX(HU_ord,BZ$5-$A42+1)*$B42,0)</f>
        <v>0.0</v>
      </c>
      <c r="CA42" s="14">
        <f>IF(AND(CA$5-$A42&gt;=0,CA$5-$A42&lt;=19),INDEX(HU_ord,CA$5-$A42+1)*$B42,0)</f>
        <v>0.0</v>
      </c>
      <c r="CB42" s="14">
        <f>IF(AND(CB$5-$A42&gt;=0,CB$5-$A42&lt;=19),INDEX(HU_ord,CB$5-$A42+1)*$B42,0)</f>
        <v>0.0</v>
      </c>
      <c r="CC42" s="14">
        <f>IF(AND(CC$5-$A42&gt;=0,CC$5-$A42&lt;=19),INDEX(HU_ord,CC$5-$A42+1)*$B42,0)</f>
        <v>0.0</v>
      </c>
      <c r="CD42" s="14">
        <f>IF(AND(CD$5-$A42&gt;=0,CD$5-$A42&lt;=19),INDEX(HU_ord,CD$5-$A42+1)*$B42,0)</f>
        <v>0.0</v>
      </c>
      <c r="CE42" s="14">
        <f>IF(AND(CE$5-$A42&gt;=0,CE$5-$A42&lt;=19),INDEX(HU_ord,CE$5-$A42+1)*$B42,0)</f>
        <v>0.0</v>
      </c>
      <c r="CF42" s="14">
        <f>IF(AND(CF$5-$A42&gt;=0,CF$5-$A42&lt;=19),INDEX(HU_ord,CF$5-$A42+1)*$B42,0)</f>
        <v>0.0</v>
      </c>
      <c r="CG42" s="14">
        <f>IF(AND(CG$5-$A42&gt;=0,CG$5-$A42&lt;=19),INDEX(HU_ord,CG$5-$A42+1)*$B42,0)</f>
        <v>0.0</v>
      </c>
      <c r="CH42" s="14">
        <f>IF(AND(CH$5-$A42&gt;=0,CH$5-$A42&lt;=19),INDEX(HU_ord,CH$5-$A42+1)*$B42,0)</f>
        <v>0.0</v>
      </c>
      <c r="CI42" s="14">
        <f>IF(AND(CI$5-$A42&gt;=0,CI$5-$A42&lt;=19),INDEX(HU_ord,CI$5-$A42+1)*$B42,0)</f>
        <v>0.0</v>
      </c>
      <c r="CJ42" s="14">
        <f>IF(AND(CJ$5-$A42&gt;=0,CJ$5-$A42&lt;=19),INDEX(HU_ord,CJ$5-$A42+1)*$B42,0)</f>
        <v>0.0</v>
      </c>
      <c r="CK42" s="14">
        <f>IF(AND(CK$5-$A42&gt;=0,CK$5-$A42&lt;=19),INDEX(HU_ord,CK$5-$A42+1)*$B42,0)</f>
        <v>0.0</v>
      </c>
      <c r="CL42" s="14">
        <f>IF(AND(CL$5-$A42&gt;=0,CL$5-$A42&lt;=19),INDEX(HU_ord,CL$5-$A42+1)*$B42,0)</f>
        <v>0.0</v>
      </c>
      <c r="CM42" s="14">
        <f>IF(AND(CM$5-$A42&gt;=0,CM$5-$A42&lt;=19),INDEX(HU_ord,CM$5-$A42+1)*$B42,0)</f>
        <v>0.0</v>
      </c>
      <c r="CN42" s="14">
        <f>IF(AND(CN$5-$A42&gt;=0,CN$5-$A42&lt;=19),INDEX(HU_ord,CN$5-$A42+1)*$B42,0)</f>
        <v>0.0</v>
      </c>
      <c r="CO42" s="14">
        <f>IF(AND(CO$5-$A42&gt;=0,CO$5-$A42&lt;=19),INDEX(HU_ord,CO$5-$A42+1)*$B42,0)</f>
        <v>0.0</v>
      </c>
      <c r="CP42" s="14">
        <f>IF(AND(CP$5-$A42&gt;=0,CP$5-$A42&lt;=19),INDEX(HU_ord,CP$5-$A42+1)*$B42,0)</f>
        <v>0.0</v>
      </c>
      <c r="CQ42" s="14">
        <f>IF(AND(CQ$5-$A42&gt;=0,CQ$5-$A42&lt;=19),INDEX(HU_ord,CQ$5-$A42+1)*$B42,0)</f>
        <v>0.0</v>
      </c>
      <c r="CR42" s="14">
        <f>IF(AND(CR$5-$A42&gt;=0,CR$5-$A42&lt;=19),INDEX(HU_ord,CR$5-$A42+1)*$B42,0)</f>
        <v>0.0</v>
      </c>
      <c r="CS42" s="14">
        <f>IF(AND(CS$5-$A42&gt;=0,CS$5-$A42&lt;=19),INDEX(HU_ord,CS$5-$A42+1)*$B42,0)</f>
        <v>0.0</v>
      </c>
      <c r="CT42" s="14">
        <f>IF(AND(CT$5-$A42&gt;=0,CT$5-$A42&lt;=19),INDEX(HU_ord,CT$5-$A42+1)*$B42,0)</f>
        <v>0.0</v>
      </c>
      <c r="CU42" s="14">
        <f>IF(AND(CU$5-$A42&gt;=0,CU$5-$A42&lt;=19),INDEX(HU_ord,CU$5-$A42+1)*$B42,0)</f>
        <v>0.0</v>
      </c>
      <c r="CV42" s="14">
        <f>IF(AND(CV$5-$A42&gt;=0,CV$5-$A42&lt;=19),INDEX(HU_ord,CV$5-$A42+1)*$B42,0)</f>
        <v>0.0</v>
      </c>
      <c r="CW42" s="14">
        <f>IF(AND(CW$5-$A42&gt;=0,CW$5-$A42&lt;=19),INDEX(HU_ord,CW$5-$A42+1)*$B42,0)</f>
        <v>0.0</v>
      </c>
      <c r="CX42" s="14">
        <f>IF(AND(CX$5-$A42&gt;=0,CX$5-$A42&lt;=19),INDEX(HU_ord,CX$5-$A42+1)*$B42,0)</f>
        <v>0.0</v>
      </c>
      <c r="CY42" s="14">
        <f>IF(AND(CY$5-$A42&gt;=0,CY$5-$A42&lt;=19),INDEX(HU_ord,CY$5-$A42+1)*$B42,0)</f>
        <v>0.0</v>
      </c>
      <c r="CZ42" s="14">
        <f>IF(AND(CZ$5-$A42&gt;=0,CZ$5-$A42&lt;=19),INDEX(HU_ord,CZ$5-$A42+1)*$B42,0)</f>
        <v>0.0</v>
      </c>
      <c r="DA42" s="14">
        <f>IF(AND(DA$5-$A42&gt;=0,DA$5-$A42&lt;=19),INDEX(HU_ord,DA$5-$A42+1)*$B42,0)</f>
        <v>0.0</v>
      </c>
      <c r="DB42" s="14">
        <f>IF(AND(DB$5-$A42&gt;=0,DB$5-$A42&lt;=19),INDEX(HU_ord,DB$5-$A42+1)*$B42,0)</f>
        <v>0.0</v>
      </c>
      <c r="DC42" s="14">
        <f>IF(AND(DC$5-$A42&gt;=0,DC$5-$A42&lt;=19),INDEX(HU_ord,DC$5-$A42+1)*$B42,0)</f>
        <v>0.0</v>
      </c>
      <c r="DD42" s="14">
        <f>IF(AND(DD$5-$A42&gt;=0,DD$5-$A42&lt;=19),INDEX(HU_ord,DD$5-$A42+1)*$B42,0)</f>
        <v>0.0</v>
      </c>
      <c r="DE42" s="14">
        <f>IF(AND(DE$5-$A42&gt;=0,DE$5-$A42&lt;=19),INDEX(HU_ord,DE$5-$A42+1)*$B42,0)</f>
        <v>0.0</v>
      </c>
      <c r="DF42" s="14">
        <f>IF(AND(DF$5-$A42&gt;=0,DF$5-$A42&lt;=19),INDEX(HU_ord,DF$5-$A42+1)*$B42,0)</f>
        <v>0.0</v>
      </c>
      <c r="DG42" s="14">
        <f>IF(AND(DG$5-$A42&gt;=0,DG$5-$A42&lt;=19),INDEX(HU_ord,DG$5-$A42+1)*$B42,0)</f>
        <v>0.0</v>
      </c>
      <c r="DH42" s="14">
        <f>IF(AND(DH$5-$A42&gt;=0,DH$5-$A42&lt;=19),INDEX(HU_ord,DH$5-$A42+1)*$B42,0)</f>
        <v>0.0</v>
      </c>
      <c r="DI42" s="14">
        <f>IF(AND(DI$5-$A42&gt;=0,DI$5-$A42&lt;=19),INDEX(HU_ord,DI$5-$A42+1)*$B42,0)</f>
        <v>0.0</v>
      </c>
    </row>
    <row r="43" spans="1:113">
      <c r="A43">
        <v>37</v>
      </c>
      <c r="B43" s="10">
        <f>Serie_horaria!N39</f>
        <v>0.0</v>
      </c>
      <c r="C43" s="14">
        <f>IF(AND(C$5-$A43&gt;=0,C$5-$A43&lt;=19),INDEX(HU_ord,C$5-$A43+1)*$B43,0)</f>
        <v>0.0</v>
      </c>
      <c r="D43" s="14">
        <f>IF(AND(D$5-$A43&gt;=0,D$5-$A43&lt;=19),INDEX(HU_ord,D$5-$A43+1)*$B43,0)</f>
        <v>0.0</v>
      </c>
      <c r="E43" s="14">
        <f>IF(AND(E$5-$A43&gt;=0,E$5-$A43&lt;=19),INDEX(HU_ord,E$5-$A43+1)*$B43,0)</f>
        <v>0.0</v>
      </c>
      <c r="F43" s="14">
        <f>IF(AND(F$5-$A43&gt;=0,F$5-$A43&lt;=19),INDEX(HU_ord,F$5-$A43+1)*$B43,0)</f>
        <v>0.0</v>
      </c>
      <c r="G43" s="14">
        <f>IF(AND(G$5-$A43&gt;=0,G$5-$A43&lt;=19),INDEX(HU_ord,G$5-$A43+1)*$B43,0)</f>
        <v>0.0</v>
      </c>
      <c r="H43" s="14">
        <f>IF(AND(H$5-$A43&gt;=0,H$5-$A43&lt;=19),INDEX(HU_ord,H$5-$A43+1)*$B43,0)</f>
        <v>0.0</v>
      </c>
      <c r="I43" s="14">
        <f>IF(AND(I$5-$A43&gt;=0,I$5-$A43&lt;=19),INDEX(HU_ord,I$5-$A43+1)*$B43,0)</f>
        <v>0.0</v>
      </c>
      <c r="J43" s="14">
        <f>IF(AND(J$5-$A43&gt;=0,J$5-$A43&lt;=19),INDEX(HU_ord,J$5-$A43+1)*$B43,0)</f>
        <v>0.0</v>
      </c>
      <c r="K43" s="14">
        <f>IF(AND(K$5-$A43&gt;=0,K$5-$A43&lt;=19),INDEX(HU_ord,K$5-$A43+1)*$B43,0)</f>
        <v>0.0</v>
      </c>
      <c r="L43" s="14">
        <f>IF(AND(L$5-$A43&gt;=0,L$5-$A43&lt;=19),INDEX(HU_ord,L$5-$A43+1)*$B43,0)</f>
        <v>0.0</v>
      </c>
      <c r="M43" s="14">
        <f>IF(AND(M$5-$A43&gt;=0,M$5-$A43&lt;=19),INDEX(HU_ord,M$5-$A43+1)*$B43,0)</f>
        <v>0.0</v>
      </c>
      <c r="N43" s="14">
        <f>IF(AND(N$5-$A43&gt;=0,N$5-$A43&lt;=19),INDEX(HU_ord,N$5-$A43+1)*$B43,0)</f>
        <v>0.0</v>
      </c>
      <c r="O43" s="14">
        <f>IF(AND(O$5-$A43&gt;=0,O$5-$A43&lt;=19),INDEX(HU_ord,O$5-$A43+1)*$B43,0)</f>
        <v>0.0</v>
      </c>
      <c r="P43" s="14">
        <f>IF(AND(P$5-$A43&gt;=0,P$5-$A43&lt;=19),INDEX(HU_ord,P$5-$A43+1)*$B43,0)</f>
        <v>0.0</v>
      </c>
      <c r="Q43" s="14">
        <f>IF(AND(Q$5-$A43&gt;=0,Q$5-$A43&lt;=19),INDEX(HU_ord,Q$5-$A43+1)*$B43,0)</f>
        <v>0.0</v>
      </c>
      <c r="R43" s="14">
        <f>IF(AND(R$5-$A43&gt;=0,R$5-$A43&lt;=19),INDEX(HU_ord,R$5-$A43+1)*$B43,0)</f>
        <v>0.0</v>
      </c>
      <c r="S43" s="14">
        <f>IF(AND(S$5-$A43&gt;=0,S$5-$A43&lt;=19),INDEX(HU_ord,S$5-$A43+1)*$B43,0)</f>
        <v>0.0</v>
      </c>
      <c r="T43" s="14">
        <f>IF(AND(T$5-$A43&gt;=0,T$5-$A43&lt;=19),INDEX(HU_ord,T$5-$A43+1)*$B43,0)</f>
        <v>0.0</v>
      </c>
      <c r="U43" s="14">
        <f>IF(AND(U$5-$A43&gt;=0,U$5-$A43&lt;=19),INDEX(HU_ord,U$5-$A43+1)*$B43,0)</f>
        <v>0.0</v>
      </c>
      <c r="V43" s="14">
        <f>IF(AND(V$5-$A43&gt;=0,V$5-$A43&lt;=19),INDEX(HU_ord,V$5-$A43+1)*$B43,0)</f>
        <v>0.0</v>
      </c>
      <c r="W43" s="14">
        <f>IF(AND(W$5-$A43&gt;=0,W$5-$A43&lt;=19),INDEX(HU_ord,W$5-$A43+1)*$B43,0)</f>
        <v>0.0</v>
      </c>
      <c r="X43" s="14">
        <f>IF(AND(X$5-$A43&gt;=0,X$5-$A43&lt;=19),INDEX(HU_ord,X$5-$A43+1)*$B43,0)</f>
        <v>0.0</v>
      </c>
      <c r="Y43" s="14">
        <f>IF(AND(Y$5-$A43&gt;=0,Y$5-$A43&lt;=19),INDEX(HU_ord,Y$5-$A43+1)*$B43,0)</f>
        <v>0.0</v>
      </c>
      <c r="Z43" s="14">
        <f>IF(AND(Z$5-$A43&gt;=0,Z$5-$A43&lt;=19),INDEX(HU_ord,Z$5-$A43+1)*$B43,0)</f>
        <v>0.0</v>
      </c>
      <c r="AA43" s="14">
        <f>IF(AND(AA$5-$A43&gt;=0,AA$5-$A43&lt;=19),INDEX(HU_ord,AA$5-$A43+1)*$B43,0)</f>
        <v>0.0</v>
      </c>
      <c r="AB43" s="14">
        <f>IF(AND(AB$5-$A43&gt;=0,AB$5-$A43&lt;=19),INDEX(HU_ord,AB$5-$A43+1)*$B43,0)</f>
        <v>0.0</v>
      </c>
      <c r="AC43" s="14">
        <f>IF(AND(AC$5-$A43&gt;=0,AC$5-$A43&lt;=19),INDEX(HU_ord,AC$5-$A43+1)*$B43,0)</f>
        <v>0.0</v>
      </c>
      <c r="AD43" s="14">
        <f>IF(AND(AD$5-$A43&gt;=0,AD$5-$A43&lt;=19),INDEX(HU_ord,AD$5-$A43+1)*$B43,0)</f>
        <v>0.0</v>
      </c>
      <c r="AE43" s="14">
        <f>IF(AND(AE$5-$A43&gt;=0,AE$5-$A43&lt;=19),INDEX(HU_ord,AE$5-$A43+1)*$B43,0)</f>
        <v>0.0</v>
      </c>
      <c r="AF43" s="14">
        <f>IF(AND(AF$5-$A43&gt;=0,AF$5-$A43&lt;=19),INDEX(HU_ord,AF$5-$A43+1)*$B43,0)</f>
        <v>0.0</v>
      </c>
      <c r="AG43" s="14">
        <f>IF(AND(AG$5-$A43&gt;=0,AG$5-$A43&lt;=19),INDEX(HU_ord,AG$5-$A43+1)*$B43,0)</f>
        <v>0.0</v>
      </c>
      <c r="AH43" s="14">
        <f>IF(AND(AH$5-$A43&gt;=0,AH$5-$A43&lt;=19),INDEX(HU_ord,AH$5-$A43+1)*$B43,0)</f>
        <v>0.0</v>
      </c>
      <c r="AI43" s="14">
        <f>IF(AND(AI$5-$A43&gt;=0,AI$5-$A43&lt;=19),INDEX(HU_ord,AI$5-$A43+1)*$B43,0)</f>
        <v>0.0</v>
      </c>
      <c r="AJ43" s="14">
        <f>IF(AND(AJ$5-$A43&gt;=0,AJ$5-$A43&lt;=19),INDEX(HU_ord,AJ$5-$A43+1)*$B43,0)</f>
        <v>0.0</v>
      </c>
      <c r="AK43" s="14">
        <f>IF(AND(AK$5-$A43&gt;=0,AK$5-$A43&lt;=19),INDEX(HU_ord,AK$5-$A43+1)*$B43,0)</f>
        <v>0.0</v>
      </c>
      <c r="AL43" s="14">
        <f>IF(AND(AL$5-$A43&gt;=0,AL$5-$A43&lt;=19),INDEX(HU_ord,AL$5-$A43+1)*$B43,0)</f>
        <v>0.0</v>
      </c>
      <c r="AM43" s="14">
        <f>IF(AND(AM$5-$A43&gt;=0,AM$5-$A43&lt;=19),INDEX(HU_ord,AM$5-$A43+1)*$B43,0)</f>
        <v>0.0</v>
      </c>
      <c r="AN43" s="14">
        <f>IF(AND(AN$5-$A43&gt;=0,AN$5-$A43&lt;=19),INDEX(HU_ord,AN$5-$A43+1)*$B43,0)</f>
        <v>0.0</v>
      </c>
      <c r="AO43" s="14">
        <f>IF(AND(AO$5-$A43&gt;=0,AO$5-$A43&lt;=19),INDEX(HU_ord,AO$5-$A43+1)*$B43,0)</f>
        <v>0.0</v>
      </c>
      <c r="AP43" s="14">
        <f>IF(AND(AP$5-$A43&gt;=0,AP$5-$A43&lt;=19),INDEX(HU_ord,AP$5-$A43+1)*$B43,0)</f>
        <v>0.0</v>
      </c>
      <c r="AQ43" s="14">
        <f>IF(AND(AQ$5-$A43&gt;=0,AQ$5-$A43&lt;=19),INDEX(HU_ord,AQ$5-$A43+1)*$B43,0)</f>
        <v>0.0</v>
      </c>
      <c r="AR43" s="14">
        <f>IF(AND(AR$5-$A43&gt;=0,AR$5-$A43&lt;=19),INDEX(HU_ord,AR$5-$A43+1)*$B43,0)</f>
        <v>0.0</v>
      </c>
      <c r="AS43" s="14">
        <f>IF(AND(AS$5-$A43&gt;=0,AS$5-$A43&lt;=19),INDEX(HU_ord,AS$5-$A43+1)*$B43,0)</f>
        <v>0.0</v>
      </c>
      <c r="AT43" s="14">
        <f>IF(AND(AT$5-$A43&gt;=0,AT$5-$A43&lt;=19),INDEX(HU_ord,AT$5-$A43+1)*$B43,0)</f>
        <v>0.0</v>
      </c>
      <c r="AU43" s="14">
        <f>IF(AND(AU$5-$A43&gt;=0,AU$5-$A43&lt;=19),INDEX(HU_ord,AU$5-$A43+1)*$B43,0)</f>
        <v>0.0</v>
      </c>
      <c r="AV43" s="14">
        <f>IF(AND(AV$5-$A43&gt;=0,AV$5-$A43&lt;=19),INDEX(HU_ord,AV$5-$A43+1)*$B43,0)</f>
        <v>0.0</v>
      </c>
      <c r="AW43" s="14">
        <f>IF(AND(AW$5-$A43&gt;=0,AW$5-$A43&lt;=19),INDEX(HU_ord,AW$5-$A43+1)*$B43,0)</f>
        <v>0.0</v>
      </c>
      <c r="AX43" s="14">
        <f>IF(AND(AX$5-$A43&gt;=0,AX$5-$A43&lt;=19),INDEX(HU_ord,AX$5-$A43+1)*$B43,0)</f>
        <v>0.0</v>
      </c>
      <c r="AY43" s="14">
        <f>IF(AND(AY$5-$A43&gt;=0,AY$5-$A43&lt;=19),INDEX(HU_ord,AY$5-$A43+1)*$B43,0)</f>
        <v>0.0</v>
      </c>
      <c r="AZ43" s="14">
        <f>IF(AND(AZ$5-$A43&gt;=0,AZ$5-$A43&lt;=19),INDEX(HU_ord,AZ$5-$A43+1)*$B43,0)</f>
        <v>0.0</v>
      </c>
      <c r="BA43" s="14">
        <f>IF(AND(BA$5-$A43&gt;=0,BA$5-$A43&lt;=19),INDEX(HU_ord,BA$5-$A43+1)*$B43,0)</f>
        <v>0.0</v>
      </c>
      <c r="BB43" s="14">
        <f>IF(AND(BB$5-$A43&gt;=0,BB$5-$A43&lt;=19),INDEX(HU_ord,BB$5-$A43+1)*$B43,0)</f>
        <v>0.0</v>
      </c>
      <c r="BC43" s="14">
        <f>IF(AND(BC$5-$A43&gt;=0,BC$5-$A43&lt;=19),INDEX(HU_ord,BC$5-$A43+1)*$B43,0)</f>
        <v>0.0</v>
      </c>
      <c r="BD43" s="14">
        <f>IF(AND(BD$5-$A43&gt;=0,BD$5-$A43&lt;=19),INDEX(HU_ord,BD$5-$A43+1)*$B43,0)</f>
        <v>0.0</v>
      </c>
      <c r="BE43" s="14">
        <f>IF(AND(BE$5-$A43&gt;=0,BE$5-$A43&lt;=19),INDEX(HU_ord,BE$5-$A43+1)*$B43,0)</f>
        <v>0.0</v>
      </c>
      <c r="BF43" s="14">
        <f>IF(AND(BF$5-$A43&gt;=0,BF$5-$A43&lt;=19),INDEX(HU_ord,BF$5-$A43+1)*$B43,0)</f>
        <v>0.0</v>
      </c>
      <c r="BG43" s="14">
        <f>IF(AND(BG$5-$A43&gt;=0,BG$5-$A43&lt;=19),INDEX(HU_ord,BG$5-$A43+1)*$B43,0)</f>
        <v>0.0</v>
      </c>
      <c r="BH43" s="14">
        <f>IF(AND(BH$5-$A43&gt;=0,BH$5-$A43&lt;=19),INDEX(HU_ord,BH$5-$A43+1)*$B43,0)</f>
        <v>0.0</v>
      </c>
      <c r="BI43" s="14">
        <f>IF(AND(BI$5-$A43&gt;=0,BI$5-$A43&lt;=19),INDEX(HU_ord,BI$5-$A43+1)*$B43,0)</f>
        <v>0.0</v>
      </c>
      <c r="BJ43" s="14">
        <f>IF(AND(BJ$5-$A43&gt;=0,BJ$5-$A43&lt;=19),INDEX(HU_ord,BJ$5-$A43+1)*$B43,0)</f>
        <v>0.0</v>
      </c>
      <c r="BK43" s="14">
        <f>IF(AND(BK$5-$A43&gt;=0,BK$5-$A43&lt;=19),INDEX(HU_ord,BK$5-$A43+1)*$B43,0)</f>
        <v>0.0</v>
      </c>
      <c r="BL43" s="14">
        <f>IF(AND(BL$5-$A43&gt;=0,BL$5-$A43&lt;=19),INDEX(HU_ord,BL$5-$A43+1)*$B43,0)</f>
        <v>0.0</v>
      </c>
      <c r="BM43" s="14">
        <f>IF(AND(BM$5-$A43&gt;=0,BM$5-$A43&lt;=19),INDEX(HU_ord,BM$5-$A43+1)*$B43,0)</f>
        <v>0.0</v>
      </c>
      <c r="BN43" s="14">
        <f>IF(AND(BN$5-$A43&gt;=0,BN$5-$A43&lt;=19),INDEX(HU_ord,BN$5-$A43+1)*$B43,0)</f>
        <v>0.0</v>
      </c>
      <c r="BO43" s="14">
        <f>IF(AND(BO$5-$A43&gt;=0,BO$5-$A43&lt;=19),INDEX(HU_ord,BO$5-$A43+1)*$B43,0)</f>
        <v>0.0</v>
      </c>
      <c r="BP43" s="14">
        <f>IF(AND(BP$5-$A43&gt;=0,BP$5-$A43&lt;=19),INDEX(HU_ord,BP$5-$A43+1)*$B43,0)</f>
        <v>0.0</v>
      </c>
      <c r="BQ43" s="14">
        <f>IF(AND(BQ$5-$A43&gt;=0,BQ$5-$A43&lt;=19),INDEX(HU_ord,BQ$5-$A43+1)*$B43,0)</f>
        <v>0.0</v>
      </c>
      <c r="BR43" s="14">
        <f>IF(AND(BR$5-$A43&gt;=0,BR$5-$A43&lt;=19),INDEX(HU_ord,BR$5-$A43+1)*$B43,0)</f>
        <v>0.0</v>
      </c>
      <c r="BS43" s="14">
        <f>IF(AND(BS$5-$A43&gt;=0,BS$5-$A43&lt;=19),INDEX(HU_ord,BS$5-$A43+1)*$B43,0)</f>
        <v>0.0</v>
      </c>
      <c r="BT43" s="14">
        <f>IF(AND(BT$5-$A43&gt;=0,BT$5-$A43&lt;=19),INDEX(HU_ord,BT$5-$A43+1)*$B43,0)</f>
        <v>0.0</v>
      </c>
      <c r="BU43" s="14">
        <f>IF(AND(BU$5-$A43&gt;=0,BU$5-$A43&lt;=19),INDEX(HU_ord,BU$5-$A43+1)*$B43,0)</f>
        <v>0.0</v>
      </c>
      <c r="BV43" s="14">
        <f>IF(AND(BV$5-$A43&gt;=0,BV$5-$A43&lt;=19),INDEX(HU_ord,BV$5-$A43+1)*$B43,0)</f>
        <v>0.0</v>
      </c>
      <c r="BW43" s="14">
        <f>IF(AND(BW$5-$A43&gt;=0,BW$5-$A43&lt;=19),INDEX(HU_ord,BW$5-$A43+1)*$B43,0)</f>
        <v>0.0</v>
      </c>
      <c r="BX43" s="14">
        <f>IF(AND(BX$5-$A43&gt;=0,BX$5-$A43&lt;=19),INDEX(HU_ord,BX$5-$A43+1)*$B43,0)</f>
        <v>0.0</v>
      </c>
      <c r="BY43" s="14">
        <f>IF(AND(BY$5-$A43&gt;=0,BY$5-$A43&lt;=19),INDEX(HU_ord,BY$5-$A43+1)*$B43,0)</f>
        <v>0.0</v>
      </c>
      <c r="BZ43" s="14">
        <f>IF(AND(BZ$5-$A43&gt;=0,BZ$5-$A43&lt;=19),INDEX(HU_ord,BZ$5-$A43+1)*$B43,0)</f>
        <v>0.0</v>
      </c>
      <c r="CA43" s="14">
        <f>IF(AND(CA$5-$A43&gt;=0,CA$5-$A43&lt;=19),INDEX(HU_ord,CA$5-$A43+1)*$B43,0)</f>
        <v>0.0</v>
      </c>
      <c r="CB43" s="14">
        <f>IF(AND(CB$5-$A43&gt;=0,CB$5-$A43&lt;=19),INDEX(HU_ord,CB$5-$A43+1)*$B43,0)</f>
        <v>0.0</v>
      </c>
      <c r="CC43" s="14">
        <f>IF(AND(CC$5-$A43&gt;=0,CC$5-$A43&lt;=19),INDEX(HU_ord,CC$5-$A43+1)*$B43,0)</f>
        <v>0.0</v>
      </c>
      <c r="CD43" s="14">
        <f>IF(AND(CD$5-$A43&gt;=0,CD$5-$A43&lt;=19),INDEX(HU_ord,CD$5-$A43+1)*$B43,0)</f>
        <v>0.0</v>
      </c>
      <c r="CE43" s="14">
        <f>IF(AND(CE$5-$A43&gt;=0,CE$5-$A43&lt;=19),INDEX(HU_ord,CE$5-$A43+1)*$B43,0)</f>
        <v>0.0</v>
      </c>
      <c r="CF43" s="14">
        <f>IF(AND(CF$5-$A43&gt;=0,CF$5-$A43&lt;=19),INDEX(HU_ord,CF$5-$A43+1)*$B43,0)</f>
        <v>0.0</v>
      </c>
      <c r="CG43" s="14">
        <f>IF(AND(CG$5-$A43&gt;=0,CG$5-$A43&lt;=19),INDEX(HU_ord,CG$5-$A43+1)*$B43,0)</f>
        <v>0.0</v>
      </c>
      <c r="CH43" s="14">
        <f>IF(AND(CH$5-$A43&gt;=0,CH$5-$A43&lt;=19),INDEX(HU_ord,CH$5-$A43+1)*$B43,0)</f>
        <v>0.0</v>
      </c>
      <c r="CI43" s="14">
        <f>IF(AND(CI$5-$A43&gt;=0,CI$5-$A43&lt;=19),INDEX(HU_ord,CI$5-$A43+1)*$B43,0)</f>
        <v>0.0</v>
      </c>
      <c r="CJ43" s="14">
        <f>IF(AND(CJ$5-$A43&gt;=0,CJ$5-$A43&lt;=19),INDEX(HU_ord,CJ$5-$A43+1)*$B43,0)</f>
        <v>0.0</v>
      </c>
      <c r="CK43" s="14">
        <f>IF(AND(CK$5-$A43&gt;=0,CK$5-$A43&lt;=19),INDEX(HU_ord,CK$5-$A43+1)*$B43,0)</f>
        <v>0.0</v>
      </c>
      <c r="CL43" s="14">
        <f>IF(AND(CL$5-$A43&gt;=0,CL$5-$A43&lt;=19),INDEX(HU_ord,CL$5-$A43+1)*$B43,0)</f>
        <v>0.0</v>
      </c>
      <c r="CM43" s="14">
        <f>IF(AND(CM$5-$A43&gt;=0,CM$5-$A43&lt;=19),INDEX(HU_ord,CM$5-$A43+1)*$B43,0)</f>
        <v>0.0</v>
      </c>
      <c r="CN43" s="14">
        <f>IF(AND(CN$5-$A43&gt;=0,CN$5-$A43&lt;=19),INDEX(HU_ord,CN$5-$A43+1)*$B43,0)</f>
        <v>0.0</v>
      </c>
      <c r="CO43" s="14">
        <f>IF(AND(CO$5-$A43&gt;=0,CO$5-$A43&lt;=19),INDEX(HU_ord,CO$5-$A43+1)*$B43,0)</f>
        <v>0.0</v>
      </c>
      <c r="CP43" s="14">
        <f>IF(AND(CP$5-$A43&gt;=0,CP$5-$A43&lt;=19),INDEX(HU_ord,CP$5-$A43+1)*$B43,0)</f>
        <v>0.0</v>
      </c>
      <c r="CQ43" s="14">
        <f>IF(AND(CQ$5-$A43&gt;=0,CQ$5-$A43&lt;=19),INDEX(HU_ord,CQ$5-$A43+1)*$B43,0)</f>
        <v>0.0</v>
      </c>
      <c r="CR43" s="14">
        <f>IF(AND(CR$5-$A43&gt;=0,CR$5-$A43&lt;=19),INDEX(HU_ord,CR$5-$A43+1)*$B43,0)</f>
        <v>0.0</v>
      </c>
      <c r="CS43" s="14">
        <f>IF(AND(CS$5-$A43&gt;=0,CS$5-$A43&lt;=19),INDEX(HU_ord,CS$5-$A43+1)*$B43,0)</f>
        <v>0.0</v>
      </c>
      <c r="CT43" s="14">
        <f>IF(AND(CT$5-$A43&gt;=0,CT$5-$A43&lt;=19),INDEX(HU_ord,CT$5-$A43+1)*$B43,0)</f>
        <v>0.0</v>
      </c>
      <c r="CU43" s="14">
        <f>IF(AND(CU$5-$A43&gt;=0,CU$5-$A43&lt;=19),INDEX(HU_ord,CU$5-$A43+1)*$B43,0)</f>
        <v>0.0</v>
      </c>
      <c r="CV43" s="14">
        <f>IF(AND(CV$5-$A43&gt;=0,CV$5-$A43&lt;=19),INDEX(HU_ord,CV$5-$A43+1)*$B43,0)</f>
        <v>0.0</v>
      </c>
      <c r="CW43" s="14">
        <f>IF(AND(CW$5-$A43&gt;=0,CW$5-$A43&lt;=19),INDEX(HU_ord,CW$5-$A43+1)*$B43,0)</f>
        <v>0.0</v>
      </c>
      <c r="CX43" s="14">
        <f>IF(AND(CX$5-$A43&gt;=0,CX$5-$A43&lt;=19),INDEX(HU_ord,CX$5-$A43+1)*$B43,0)</f>
        <v>0.0</v>
      </c>
      <c r="CY43" s="14">
        <f>IF(AND(CY$5-$A43&gt;=0,CY$5-$A43&lt;=19),INDEX(HU_ord,CY$5-$A43+1)*$B43,0)</f>
        <v>0.0</v>
      </c>
      <c r="CZ43" s="14">
        <f>IF(AND(CZ$5-$A43&gt;=0,CZ$5-$A43&lt;=19),INDEX(HU_ord,CZ$5-$A43+1)*$B43,0)</f>
        <v>0.0</v>
      </c>
      <c r="DA43" s="14">
        <f>IF(AND(DA$5-$A43&gt;=0,DA$5-$A43&lt;=19),INDEX(HU_ord,DA$5-$A43+1)*$B43,0)</f>
        <v>0.0</v>
      </c>
      <c r="DB43" s="14">
        <f>IF(AND(DB$5-$A43&gt;=0,DB$5-$A43&lt;=19),INDEX(HU_ord,DB$5-$A43+1)*$B43,0)</f>
        <v>0.0</v>
      </c>
      <c r="DC43" s="14">
        <f>IF(AND(DC$5-$A43&gt;=0,DC$5-$A43&lt;=19),INDEX(HU_ord,DC$5-$A43+1)*$B43,0)</f>
        <v>0.0</v>
      </c>
      <c r="DD43" s="14">
        <f>IF(AND(DD$5-$A43&gt;=0,DD$5-$A43&lt;=19),INDEX(HU_ord,DD$5-$A43+1)*$B43,0)</f>
        <v>0.0</v>
      </c>
      <c r="DE43" s="14">
        <f>IF(AND(DE$5-$A43&gt;=0,DE$5-$A43&lt;=19),INDEX(HU_ord,DE$5-$A43+1)*$B43,0)</f>
        <v>0.0</v>
      </c>
      <c r="DF43" s="14">
        <f>IF(AND(DF$5-$A43&gt;=0,DF$5-$A43&lt;=19),INDEX(HU_ord,DF$5-$A43+1)*$B43,0)</f>
        <v>0.0</v>
      </c>
      <c r="DG43" s="14">
        <f>IF(AND(DG$5-$A43&gt;=0,DG$5-$A43&lt;=19),INDEX(HU_ord,DG$5-$A43+1)*$B43,0)</f>
        <v>0.0</v>
      </c>
      <c r="DH43" s="14">
        <f>IF(AND(DH$5-$A43&gt;=0,DH$5-$A43&lt;=19),INDEX(HU_ord,DH$5-$A43+1)*$B43,0)</f>
        <v>0.0</v>
      </c>
      <c r="DI43" s="14">
        <f>IF(AND(DI$5-$A43&gt;=0,DI$5-$A43&lt;=19),INDEX(HU_ord,DI$5-$A43+1)*$B43,0)</f>
        <v>0.0</v>
      </c>
    </row>
    <row r="44" spans="1:113">
      <c r="A44">
        <v>38</v>
      </c>
      <c r="B44" s="10">
        <f>Serie_horaria!N40</f>
        <v>0.0</v>
      </c>
      <c r="C44" s="14">
        <f>IF(AND(C$5-$A44&gt;=0,C$5-$A44&lt;=19),INDEX(HU_ord,C$5-$A44+1)*$B44,0)</f>
        <v>0.0</v>
      </c>
      <c r="D44" s="14">
        <f>IF(AND(D$5-$A44&gt;=0,D$5-$A44&lt;=19),INDEX(HU_ord,D$5-$A44+1)*$B44,0)</f>
        <v>0.0</v>
      </c>
      <c r="E44" s="14">
        <f>IF(AND(E$5-$A44&gt;=0,E$5-$A44&lt;=19),INDEX(HU_ord,E$5-$A44+1)*$B44,0)</f>
        <v>0.0</v>
      </c>
      <c r="F44" s="14">
        <f>IF(AND(F$5-$A44&gt;=0,F$5-$A44&lt;=19),INDEX(HU_ord,F$5-$A44+1)*$B44,0)</f>
        <v>0.0</v>
      </c>
      <c r="G44" s="14">
        <f>IF(AND(G$5-$A44&gt;=0,G$5-$A44&lt;=19),INDEX(HU_ord,G$5-$A44+1)*$B44,0)</f>
        <v>0.0</v>
      </c>
      <c r="H44" s="14">
        <f>IF(AND(H$5-$A44&gt;=0,H$5-$A44&lt;=19),INDEX(HU_ord,H$5-$A44+1)*$B44,0)</f>
        <v>0.0</v>
      </c>
      <c r="I44" s="14">
        <f>IF(AND(I$5-$A44&gt;=0,I$5-$A44&lt;=19),INDEX(HU_ord,I$5-$A44+1)*$B44,0)</f>
        <v>0.0</v>
      </c>
      <c r="J44" s="14">
        <f>IF(AND(J$5-$A44&gt;=0,J$5-$A44&lt;=19),INDEX(HU_ord,J$5-$A44+1)*$B44,0)</f>
        <v>0.0</v>
      </c>
      <c r="K44" s="14">
        <f>IF(AND(K$5-$A44&gt;=0,K$5-$A44&lt;=19),INDEX(HU_ord,K$5-$A44+1)*$B44,0)</f>
        <v>0.0</v>
      </c>
      <c r="L44" s="14">
        <f>IF(AND(L$5-$A44&gt;=0,L$5-$A44&lt;=19),INDEX(HU_ord,L$5-$A44+1)*$B44,0)</f>
        <v>0.0</v>
      </c>
      <c r="M44" s="14">
        <f>IF(AND(M$5-$A44&gt;=0,M$5-$A44&lt;=19),INDEX(HU_ord,M$5-$A44+1)*$B44,0)</f>
        <v>0.0</v>
      </c>
      <c r="N44" s="14">
        <f>IF(AND(N$5-$A44&gt;=0,N$5-$A44&lt;=19),INDEX(HU_ord,N$5-$A44+1)*$B44,0)</f>
        <v>0.0</v>
      </c>
      <c r="O44" s="14">
        <f>IF(AND(O$5-$A44&gt;=0,O$5-$A44&lt;=19),INDEX(HU_ord,O$5-$A44+1)*$B44,0)</f>
        <v>0.0</v>
      </c>
      <c r="P44" s="14">
        <f>IF(AND(P$5-$A44&gt;=0,P$5-$A44&lt;=19),INDEX(HU_ord,P$5-$A44+1)*$B44,0)</f>
        <v>0.0</v>
      </c>
      <c r="Q44" s="14">
        <f>IF(AND(Q$5-$A44&gt;=0,Q$5-$A44&lt;=19),INDEX(HU_ord,Q$5-$A44+1)*$B44,0)</f>
        <v>0.0</v>
      </c>
      <c r="R44" s="14">
        <f>IF(AND(R$5-$A44&gt;=0,R$5-$A44&lt;=19),INDEX(HU_ord,R$5-$A44+1)*$B44,0)</f>
        <v>0.0</v>
      </c>
      <c r="S44" s="14">
        <f>IF(AND(S$5-$A44&gt;=0,S$5-$A44&lt;=19),INDEX(HU_ord,S$5-$A44+1)*$B44,0)</f>
        <v>0.0</v>
      </c>
      <c r="T44" s="14">
        <f>IF(AND(T$5-$A44&gt;=0,T$5-$A44&lt;=19),INDEX(HU_ord,T$5-$A44+1)*$B44,0)</f>
        <v>0.0</v>
      </c>
      <c r="U44" s="14">
        <f>IF(AND(U$5-$A44&gt;=0,U$5-$A44&lt;=19),INDEX(HU_ord,U$5-$A44+1)*$B44,0)</f>
        <v>0.0</v>
      </c>
      <c r="V44" s="14">
        <f>IF(AND(V$5-$A44&gt;=0,V$5-$A44&lt;=19),INDEX(HU_ord,V$5-$A44+1)*$B44,0)</f>
        <v>0.0</v>
      </c>
      <c r="W44" s="14">
        <f>IF(AND(W$5-$A44&gt;=0,W$5-$A44&lt;=19),INDEX(HU_ord,W$5-$A44+1)*$B44,0)</f>
        <v>0.0</v>
      </c>
      <c r="X44" s="14">
        <f>IF(AND(X$5-$A44&gt;=0,X$5-$A44&lt;=19),INDEX(HU_ord,X$5-$A44+1)*$B44,0)</f>
        <v>0.0</v>
      </c>
      <c r="Y44" s="14">
        <f>IF(AND(Y$5-$A44&gt;=0,Y$5-$A44&lt;=19),INDEX(HU_ord,Y$5-$A44+1)*$B44,0)</f>
        <v>0.0</v>
      </c>
      <c r="Z44" s="14">
        <f>IF(AND(Z$5-$A44&gt;=0,Z$5-$A44&lt;=19),INDEX(HU_ord,Z$5-$A44+1)*$B44,0)</f>
        <v>0.0</v>
      </c>
      <c r="AA44" s="14">
        <f>IF(AND(AA$5-$A44&gt;=0,AA$5-$A44&lt;=19),INDEX(HU_ord,AA$5-$A44+1)*$B44,0)</f>
        <v>0.0</v>
      </c>
      <c r="AB44" s="14">
        <f>IF(AND(AB$5-$A44&gt;=0,AB$5-$A44&lt;=19),INDEX(HU_ord,AB$5-$A44+1)*$B44,0)</f>
        <v>0.0</v>
      </c>
      <c r="AC44" s="14">
        <f>IF(AND(AC$5-$A44&gt;=0,AC$5-$A44&lt;=19),INDEX(HU_ord,AC$5-$A44+1)*$B44,0)</f>
        <v>0.0</v>
      </c>
      <c r="AD44" s="14">
        <f>IF(AND(AD$5-$A44&gt;=0,AD$5-$A44&lt;=19),INDEX(HU_ord,AD$5-$A44+1)*$B44,0)</f>
        <v>0.0</v>
      </c>
      <c r="AE44" s="14">
        <f>IF(AND(AE$5-$A44&gt;=0,AE$5-$A44&lt;=19),INDEX(HU_ord,AE$5-$A44+1)*$B44,0)</f>
        <v>0.0</v>
      </c>
      <c r="AF44" s="14">
        <f>IF(AND(AF$5-$A44&gt;=0,AF$5-$A44&lt;=19),INDEX(HU_ord,AF$5-$A44+1)*$B44,0)</f>
        <v>0.0</v>
      </c>
      <c r="AG44" s="14">
        <f>IF(AND(AG$5-$A44&gt;=0,AG$5-$A44&lt;=19),INDEX(HU_ord,AG$5-$A44+1)*$B44,0)</f>
        <v>0.0</v>
      </c>
      <c r="AH44" s="14">
        <f>IF(AND(AH$5-$A44&gt;=0,AH$5-$A44&lt;=19),INDEX(HU_ord,AH$5-$A44+1)*$B44,0)</f>
        <v>0.0</v>
      </c>
      <c r="AI44" s="14">
        <f>IF(AND(AI$5-$A44&gt;=0,AI$5-$A44&lt;=19),INDEX(HU_ord,AI$5-$A44+1)*$B44,0)</f>
        <v>0.0</v>
      </c>
      <c r="AJ44" s="14">
        <f>IF(AND(AJ$5-$A44&gt;=0,AJ$5-$A44&lt;=19),INDEX(HU_ord,AJ$5-$A44+1)*$B44,0)</f>
        <v>0.0</v>
      </c>
      <c r="AK44" s="14">
        <f>IF(AND(AK$5-$A44&gt;=0,AK$5-$A44&lt;=19),INDEX(HU_ord,AK$5-$A44+1)*$B44,0)</f>
        <v>0.0</v>
      </c>
      <c r="AL44" s="14">
        <f>IF(AND(AL$5-$A44&gt;=0,AL$5-$A44&lt;=19),INDEX(HU_ord,AL$5-$A44+1)*$B44,0)</f>
        <v>0.0</v>
      </c>
      <c r="AM44" s="14">
        <f>IF(AND(AM$5-$A44&gt;=0,AM$5-$A44&lt;=19),INDEX(HU_ord,AM$5-$A44+1)*$B44,0)</f>
        <v>0.0</v>
      </c>
      <c r="AN44" s="14">
        <f>IF(AND(AN$5-$A44&gt;=0,AN$5-$A44&lt;=19),INDEX(HU_ord,AN$5-$A44+1)*$B44,0)</f>
        <v>0.0</v>
      </c>
      <c r="AO44" s="14">
        <f>IF(AND(AO$5-$A44&gt;=0,AO$5-$A44&lt;=19),INDEX(HU_ord,AO$5-$A44+1)*$B44,0)</f>
        <v>0.0</v>
      </c>
      <c r="AP44" s="14">
        <f>IF(AND(AP$5-$A44&gt;=0,AP$5-$A44&lt;=19),INDEX(HU_ord,AP$5-$A44+1)*$B44,0)</f>
        <v>0.0</v>
      </c>
      <c r="AQ44" s="14">
        <f>IF(AND(AQ$5-$A44&gt;=0,AQ$5-$A44&lt;=19),INDEX(HU_ord,AQ$5-$A44+1)*$B44,0)</f>
        <v>0.0</v>
      </c>
      <c r="AR44" s="14">
        <f>IF(AND(AR$5-$A44&gt;=0,AR$5-$A44&lt;=19),INDEX(HU_ord,AR$5-$A44+1)*$B44,0)</f>
        <v>0.0</v>
      </c>
      <c r="AS44" s="14">
        <f>IF(AND(AS$5-$A44&gt;=0,AS$5-$A44&lt;=19),INDEX(HU_ord,AS$5-$A44+1)*$B44,0)</f>
        <v>0.0</v>
      </c>
      <c r="AT44" s="14">
        <f>IF(AND(AT$5-$A44&gt;=0,AT$5-$A44&lt;=19),INDEX(HU_ord,AT$5-$A44+1)*$B44,0)</f>
        <v>0.0</v>
      </c>
      <c r="AU44" s="14">
        <f>IF(AND(AU$5-$A44&gt;=0,AU$5-$A44&lt;=19),INDEX(HU_ord,AU$5-$A44+1)*$B44,0)</f>
        <v>0.0</v>
      </c>
      <c r="AV44" s="14">
        <f>IF(AND(AV$5-$A44&gt;=0,AV$5-$A44&lt;=19),INDEX(HU_ord,AV$5-$A44+1)*$B44,0)</f>
        <v>0.0</v>
      </c>
      <c r="AW44" s="14">
        <f>IF(AND(AW$5-$A44&gt;=0,AW$5-$A44&lt;=19),INDEX(HU_ord,AW$5-$A44+1)*$B44,0)</f>
        <v>0.0</v>
      </c>
      <c r="AX44" s="14">
        <f>IF(AND(AX$5-$A44&gt;=0,AX$5-$A44&lt;=19),INDEX(HU_ord,AX$5-$A44+1)*$B44,0)</f>
        <v>0.0</v>
      </c>
      <c r="AY44" s="14">
        <f>IF(AND(AY$5-$A44&gt;=0,AY$5-$A44&lt;=19),INDEX(HU_ord,AY$5-$A44+1)*$B44,0)</f>
        <v>0.0</v>
      </c>
      <c r="AZ44" s="14">
        <f>IF(AND(AZ$5-$A44&gt;=0,AZ$5-$A44&lt;=19),INDEX(HU_ord,AZ$5-$A44+1)*$B44,0)</f>
        <v>0.0</v>
      </c>
      <c r="BA44" s="14">
        <f>IF(AND(BA$5-$A44&gt;=0,BA$5-$A44&lt;=19),INDEX(HU_ord,BA$5-$A44+1)*$B44,0)</f>
        <v>0.0</v>
      </c>
      <c r="BB44" s="14">
        <f>IF(AND(BB$5-$A44&gt;=0,BB$5-$A44&lt;=19),INDEX(HU_ord,BB$5-$A44+1)*$B44,0)</f>
        <v>0.0</v>
      </c>
      <c r="BC44" s="14">
        <f>IF(AND(BC$5-$A44&gt;=0,BC$5-$A44&lt;=19),INDEX(HU_ord,BC$5-$A44+1)*$B44,0)</f>
        <v>0.0</v>
      </c>
      <c r="BD44" s="14">
        <f>IF(AND(BD$5-$A44&gt;=0,BD$5-$A44&lt;=19),INDEX(HU_ord,BD$5-$A44+1)*$B44,0)</f>
        <v>0.0</v>
      </c>
      <c r="BE44" s="14">
        <f>IF(AND(BE$5-$A44&gt;=0,BE$5-$A44&lt;=19),INDEX(HU_ord,BE$5-$A44+1)*$B44,0)</f>
        <v>0.0</v>
      </c>
      <c r="BF44" s="14">
        <f>IF(AND(BF$5-$A44&gt;=0,BF$5-$A44&lt;=19),INDEX(HU_ord,BF$5-$A44+1)*$B44,0)</f>
        <v>0.0</v>
      </c>
      <c r="BG44" s="14">
        <f>IF(AND(BG$5-$A44&gt;=0,BG$5-$A44&lt;=19),INDEX(HU_ord,BG$5-$A44+1)*$B44,0)</f>
        <v>0.0</v>
      </c>
      <c r="BH44" s="14">
        <f>IF(AND(BH$5-$A44&gt;=0,BH$5-$A44&lt;=19),INDEX(HU_ord,BH$5-$A44+1)*$B44,0)</f>
        <v>0.0</v>
      </c>
      <c r="BI44" s="14">
        <f>IF(AND(BI$5-$A44&gt;=0,BI$5-$A44&lt;=19),INDEX(HU_ord,BI$5-$A44+1)*$B44,0)</f>
        <v>0.0</v>
      </c>
      <c r="BJ44" s="14">
        <f>IF(AND(BJ$5-$A44&gt;=0,BJ$5-$A44&lt;=19),INDEX(HU_ord,BJ$5-$A44+1)*$B44,0)</f>
        <v>0.0</v>
      </c>
      <c r="BK44" s="14">
        <f>IF(AND(BK$5-$A44&gt;=0,BK$5-$A44&lt;=19),INDEX(HU_ord,BK$5-$A44+1)*$B44,0)</f>
        <v>0.0</v>
      </c>
      <c r="BL44" s="14">
        <f>IF(AND(BL$5-$A44&gt;=0,BL$5-$A44&lt;=19),INDEX(HU_ord,BL$5-$A44+1)*$B44,0)</f>
        <v>0.0</v>
      </c>
      <c r="BM44" s="14">
        <f>IF(AND(BM$5-$A44&gt;=0,BM$5-$A44&lt;=19),INDEX(HU_ord,BM$5-$A44+1)*$B44,0)</f>
        <v>0.0</v>
      </c>
      <c r="BN44" s="14">
        <f>IF(AND(BN$5-$A44&gt;=0,BN$5-$A44&lt;=19),INDEX(HU_ord,BN$5-$A44+1)*$B44,0)</f>
        <v>0.0</v>
      </c>
      <c r="BO44" s="14">
        <f>IF(AND(BO$5-$A44&gt;=0,BO$5-$A44&lt;=19),INDEX(HU_ord,BO$5-$A44+1)*$B44,0)</f>
        <v>0.0</v>
      </c>
      <c r="BP44" s="14">
        <f>IF(AND(BP$5-$A44&gt;=0,BP$5-$A44&lt;=19),INDEX(HU_ord,BP$5-$A44+1)*$B44,0)</f>
        <v>0.0</v>
      </c>
      <c r="BQ44" s="14">
        <f>IF(AND(BQ$5-$A44&gt;=0,BQ$5-$A44&lt;=19),INDEX(HU_ord,BQ$5-$A44+1)*$B44,0)</f>
        <v>0.0</v>
      </c>
      <c r="BR44" s="14">
        <f>IF(AND(BR$5-$A44&gt;=0,BR$5-$A44&lt;=19),INDEX(HU_ord,BR$5-$A44+1)*$B44,0)</f>
        <v>0.0</v>
      </c>
      <c r="BS44" s="14">
        <f>IF(AND(BS$5-$A44&gt;=0,BS$5-$A44&lt;=19),INDEX(HU_ord,BS$5-$A44+1)*$B44,0)</f>
        <v>0.0</v>
      </c>
      <c r="BT44" s="14">
        <f>IF(AND(BT$5-$A44&gt;=0,BT$5-$A44&lt;=19),INDEX(HU_ord,BT$5-$A44+1)*$B44,0)</f>
        <v>0.0</v>
      </c>
      <c r="BU44" s="14">
        <f>IF(AND(BU$5-$A44&gt;=0,BU$5-$A44&lt;=19),INDEX(HU_ord,BU$5-$A44+1)*$B44,0)</f>
        <v>0.0</v>
      </c>
      <c r="BV44" s="14">
        <f>IF(AND(BV$5-$A44&gt;=0,BV$5-$A44&lt;=19),INDEX(HU_ord,BV$5-$A44+1)*$B44,0)</f>
        <v>0.0</v>
      </c>
      <c r="BW44" s="14">
        <f>IF(AND(BW$5-$A44&gt;=0,BW$5-$A44&lt;=19),INDEX(HU_ord,BW$5-$A44+1)*$B44,0)</f>
        <v>0.0</v>
      </c>
      <c r="BX44" s="14">
        <f>IF(AND(BX$5-$A44&gt;=0,BX$5-$A44&lt;=19),INDEX(HU_ord,BX$5-$A44+1)*$B44,0)</f>
        <v>0.0</v>
      </c>
      <c r="BY44" s="14">
        <f>IF(AND(BY$5-$A44&gt;=0,BY$5-$A44&lt;=19),INDEX(HU_ord,BY$5-$A44+1)*$B44,0)</f>
        <v>0.0</v>
      </c>
      <c r="BZ44" s="14">
        <f>IF(AND(BZ$5-$A44&gt;=0,BZ$5-$A44&lt;=19),INDEX(HU_ord,BZ$5-$A44+1)*$B44,0)</f>
        <v>0.0</v>
      </c>
      <c r="CA44" s="14">
        <f>IF(AND(CA$5-$A44&gt;=0,CA$5-$A44&lt;=19),INDEX(HU_ord,CA$5-$A44+1)*$B44,0)</f>
        <v>0.0</v>
      </c>
      <c r="CB44" s="14">
        <f>IF(AND(CB$5-$A44&gt;=0,CB$5-$A44&lt;=19),INDEX(HU_ord,CB$5-$A44+1)*$B44,0)</f>
        <v>0.0</v>
      </c>
      <c r="CC44" s="14">
        <f>IF(AND(CC$5-$A44&gt;=0,CC$5-$A44&lt;=19),INDEX(HU_ord,CC$5-$A44+1)*$B44,0)</f>
        <v>0.0</v>
      </c>
      <c r="CD44" s="14">
        <f>IF(AND(CD$5-$A44&gt;=0,CD$5-$A44&lt;=19),INDEX(HU_ord,CD$5-$A44+1)*$B44,0)</f>
        <v>0.0</v>
      </c>
      <c r="CE44" s="14">
        <f>IF(AND(CE$5-$A44&gt;=0,CE$5-$A44&lt;=19),INDEX(HU_ord,CE$5-$A44+1)*$B44,0)</f>
        <v>0.0</v>
      </c>
      <c r="CF44" s="14">
        <f>IF(AND(CF$5-$A44&gt;=0,CF$5-$A44&lt;=19),INDEX(HU_ord,CF$5-$A44+1)*$B44,0)</f>
        <v>0.0</v>
      </c>
      <c r="CG44" s="14">
        <f>IF(AND(CG$5-$A44&gt;=0,CG$5-$A44&lt;=19),INDEX(HU_ord,CG$5-$A44+1)*$B44,0)</f>
        <v>0.0</v>
      </c>
      <c r="CH44" s="14">
        <f>IF(AND(CH$5-$A44&gt;=0,CH$5-$A44&lt;=19),INDEX(HU_ord,CH$5-$A44+1)*$B44,0)</f>
        <v>0.0</v>
      </c>
      <c r="CI44" s="14">
        <f>IF(AND(CI$5-$A44&gt;=0,CI$5-$A44&lt;=19),INDEX(HU_ord,CI$5-$A44+1)*$B44,0)</f>
        <v>0.0</v>
      </c>
      <c r="CJ44" s="14">
        <f>IF(AND(CJ$5-$A44&gt;=0,CJ$5-$A44&lt;=19),INDEX(HU_ord,CJ$5-$A44+1)*$B44,0)</f>
        <v>0.0</v>
      </c>
      <c r="CK44" s="14">
        <f>IF(AND(CK$5-$A44&gt;=0,CK$5-$A44&lt;=19),INDEX(HU_ord,CK$5-$A44+1)*$B44,0)</f>
        <v>0.0</v>
      </c>
      <c r="CL44" s="14">
        <f>IF(AND(CL$5-$A44&gt;=0,CL$5-$A44&lt;=19),INDEX(HU_ord,CL$5-$A44+1)*$B44,0)</f>
        <v>0.0</v>
      </c>
      <c r="CM44" s="14">
        <f>IF(AND(CM$5-$A44&gt;=0,CM$5-$A44&lt;=19),INDEX(HU_ord,CM$5-$A44+1)*$B44,0)</f>
        <v>0.0</v>
      </c>
      <c r="CN44" s="14">
        <f>IF(AND(CN$5-$A44&gt;=0,CN$5-$A44&lt;=19),INDEX(HU_ord,CN$5-$A44+1)*$B44,0)</f>
        <v>0.0</v>
      </c>
      <c r="CO44" s="14">
        <f>IF(AND(CO$5-$A44&gt;=0,CO$5-$A44&lt;=19),INDEX(HU_ord,CO$5-$A44+1)*$B44,0)</f>
        <v>0.0</v>
      </c>
      <c r="CP44" s="14">
        <f>IF(AND(CP$5-$A44&gt;=0,CP$5-$A44&lt;=19),INDEX(HU_ord,CP$5-$A44+1)*$B44,0)</f>
        <v>0.0</v>
      </c>
      <c r="CQ44" s="14">
        <f>IF(AND(CQ$5-$A44&gt;=0,CQ$5-$A44&lt;=19),INDEX(HU_ord,CQ$5-$A44+1)*$B44,0)</f>
        <v>0.0</v>
      </c>
      <c r="CR44" s="14">
        <f>IF(AND(CR$5-$A44&gt;=0,CR$5-$A44&lt;=19),INDEX(HU_ord,CR$5-$A44+1)*$B44,0)</f>
        <v>0.0</v>
      </c>
      <c r="CS44" s="14">
        <f>IF(AND(CS$5-$A44&gt;=0,CS$5-$A44&lt;=19),INDEX(HU_ord,CS$5-$A44+1)*$B44,0)</f>
        <v>0.0</v>
      </c>
      <c r="CT44" s="14">
        <f>IF(AND(CT$5-$A44&gt;=0,CT$5-$A44&lt;=19),INDEX(HU_ord,CT$5-$A44+1)*$B44,0)</f>
        <v>0.0</v>
      </c>
      <c r="CU44" s="14">
        <f>IF(AND(CU$5-$A44&gt;=0,CU$5-$A44&lt;=19),INDEX(HU_ord,CU$5-$A44+1)*$B44,0)</f>
        <v>0.0</v>
      </c>
      <c r="CV44" s="14">
        <f>IF(AND(CV$5-$A44&gt;=0,CV$5-$A44&lt;=19),INDEX(HU_ord,CV$5-$A44+1)*$B44,0)</f>
        <v>0.0</v>
      </c>
      <c r="CW44" s="14">
        <f>IF(AND(CW$5-$A44&gt;=0,CW$5-$A44&lt;=19),INDEX(HU_ord,CW$5-$A44+1)*$B44,0)</f>
        <v>0.0</v>
      </c>
      <c r="CX44" s="14">
        <f>IF(AND(CX$5-$A44&gt;=0,CX$5-$A44&lt;=19),INDEX(HU_ord,CX$5-$A44+1)*$B44,0)</f>
        <v>0.0</v>
      </c>
      <c r="CY44" s="14">
        <f>IF(AND(CY$5-$A44&gt;=0,CY$5-$A44&lt;=19),INDEX(HU_ord,CY$5-$A44+1)*$B44,0)</f>
        <v>0.0</v>
      </c>
      <c r="CZ44" s="14">
        <f>IF(AND(CZ$5-$A44&gt;=0,CZ$5-$A44&lt;=19),INDEX(HU_ord,CZ$5-$A44+1)*$B44,0)</f>
        <v>0.0</v>
      </c>
      <c r="DA44" s="14">
        <f>IF(AND(DA$5-$A44&gt;=0,DA$5-$A44&lt;=19),INDEX(HU_ord,DA$5-$A44+1)*$B44,0)</f>
        <v>0.0</v>
      </c>
      <c r="DB44" s="14">
        <f>IF(AND(DB$5-$A44&gt;=0,DB$5-$A44&lt;=19),INDEX(HU_ord,DB$5-$A44+1)*$B44,0)</f>
        <v>0.0</v>
      </c>
      <c r="DC44" s="14">
        <f>IF(AND(DC$5-$A44&gt;=0,DC$5-$A44&lt;=19),INDEX(HU_ord,DC$5-$A44+1)*$B44,0)</f>
        <v>0.0</v>
      </c>
      <c r="DD44" s="14">
        <f>IF(AND(DD$5-$A44&gt;=0,DD$5-$A44&lt;=19),INDEX(HU_ord,DD$5-$A44+1)*$B44,0)</f>
        <v>0.0</v>
      </c>
      <c r="DE44" s="14">
        <f>IF(AND(DE$5-$A44&gt;=0,DE$5-$A44&lt;=19),INDEX(HU_ord,DE$5-$A44+1)*$B44,0)</f>
        <v>0.0</v>
      </c>
      <c r="DF44" s="14">
        <f>IF(AND(DF$5-$A44&gt;=0,DF$5-$A44&lt;=19),INDEX(HU_ord,DF$5-$A44+1)*$B44,0)</f>
        <v>0.0</v>
      </c>
      <c r="DG44" s="14">
        <f>IF(AND(DG$5-$A44&gt;=0,DG$5-$A44&lt;=19),INDEX(HU_ord,DG$5-$A44+1)*$B44,0)</f>
        <v>0.0</v>
      </c>
      <c r="DH44" s="14">
        <f>IF(AND(DH$5-$A44&gt;=0,DH$5-$A44&lt;=19),INDEX(HU_ord,DH$5-$A44+1)*$B44,0)</f>
        <v>0.0</v>
      </c>
      <c r="DI44" s="14">
        <f>IF(AND(DI$5-$A44&gt;=0,DI$5-$A44&lt;=19),INDEX(HU_ord,DI$5-$A44+1)*$B44,0)</f>
        <v>0.0</v>
      </c>
    </row>
    <row r="45" spans="1:113">
      <c r="A45">
        <v>39</v>
      </c>
      <c r="B45" s="10">
        <f>Serie_horaria!N41</f>
        <v>0.0</v>
      </c>
      <c r="C45" s="14">
        <f>IF(AND(C$5-$A45&gt;=0,C$5-$A45&lt;=19),INDEX(HU_ord,C$5-$A45+1)*$B45,0)</f>
        <v>0.0</v>
      </c>
      <c r="D45" s="14">
        <f>IF(AND(D$5-$A45&gt;=0,D$5-$A45&lt;=19),INDEX(HU_ord,D$5-$A45+1)*$B45,0)</f>
        <v>0.0</v>
      </c>
      <c r="E45" s="14">
        <f>IF(AND(E$5-$A45&gt;=0,E$5-$A45&lt;=19),INDEX(HU_ord,E$5-$A45+1)*$B45,0)</f>
        <v>0.0</v>
      </c>
      <c r="F45" s="14">
        <f>IF(AND(F$5-$A45&gt;=0,F$5-$A45&lt;=19),INDEX(HU_ord,F$5-$A45+1)*$B45,0)</f>
        <v>0.0</v>
      </c>
      <c r="G45" s="14">
        <f>IF(AND(G$5-$A45&gt;=0,G$5-$A45&lt;=19),INDEX(HU_ord,G$5-$A45+1)*$B45,0)</f>
        <v>0.0</v>
      </c>
      <c r="H45" s="14">
        <f>IF(AND(H$5-$A45&gt;=0,H$5-$A45&lt;=19),INDEX(HU_ord,H$5-$A45+1)*$B45,0)</f>
        <v>0.0</v>
      </c>
      <c r="I45" s="14">
        <f>IF(AND(I$5-$A45&gt;=0,I$5-$A45&lt;=19),INDEX(HU_ord,I$5-$A45+1)*$B45,0)</f>
        <v>0.0</v>
      </c>
      <c r="J45" s="14">
        <f>IF(AND(J$5-$A45&gt;=0,J$5-$A45&lt;=19),INDEX(HU_ord,J$5-$A45+1)*$B45,0)</f>
        <v>0.0</v>
      </c>
      <c r="K45" s="14">
        <f>IF(AND(K$5-$A45&gt;=0,K$5-$A45&lt;=19),INDEX(HU_ord,K$5-$A45+1)*$B45,0)</f>
        <v>0.0</v>
      </c>
      <c r="L45" s="14">
        <f>IF(AND(L$5-$A45&gt;=0,L$5-$A45&lt;=19),INDEX(HU_ord,L$5-$A45+1)*$B45,0)</f>
        <v>0.0</v>
      </c>
      <c r="M45" s="14">
        <f>IF(AND(M$5-$A45&gt;=0,M$5-$A45&lt;=19),INDEX(HU_ord,M$5-$A45+1)*$B45,0)</f>
        <v>0.0</v>
      </c>
      <c r="N45" s="14">
        <f>IF(AND(N$5-$A45&gt;=0,N$5-$A45&lt;=19),INDEX(HU_ord,N$5-$A45+1)*$B45,0)</f>
        <v>0.0</v>
      </c>
      <c r="O45" s="14">
        <f>IF(AND(O$5-$A45&gt;=0,O$5-$A45&lt;=19),INDEX(HU_ord,O$5-$A45+1)*$B45,0)</f>
        <v>0.0</v>
      </c>
      <c r="P45" s="14">
        <f>IF(AND(P$5-$A45&gt;=0,P$5-$A45&lt;=19),INDEX(HU_ord,P$5-$A45+1)*$B45,0)</f>
        <v>0.0</v>
      </c>
      <c r="Q45" s="14">
        <f>IF(AND(Q$5-$A45&gt;=0,Q$5-$A45&lt;=19),INDEX(HU_ord,Q$5-$A45+1)*$B45,0)</f>
        <v>0.0</v>
      </c>
      <c r="R45" s="14">
        <f>IF(AND(R$5-$A45&gt;=0,R$5-$A45&lt;=19),INDEX(HU_ord,R$5-$A45+1)*$B45,0)</f>
        <v>0.0</v>
      </c>
      <c r="S45" s="14">
        <f>IF(AND(S$5-$A45&gt;=0,S$5-$A45&lt;=19),INDEX(HU_ord,S$5-$A45+1)*$B45,0)</f>
        <v>0.0</v>
      </c>
      <c r="T45" s="14">
        <f>IF(AND(T$5-$A45&gt;=0,T$5-$A45&lt;=19),INDEX(HU_ord,T$5-$A45+1)*$B45,0)</f>
        <v>0.0</v>
      </c>
      <c r="U45" s="14">
        <f>IF(AND(U$5-$A45&gt;=0,U$5-$A45&lt;=19),INDEX(HU_ord,U$5-$A45+1)*$B45,0)</f>
        <v>0.0</v>
      </c>
      <c r="V45" s="14">
        <f>IF(AND(V$5-$A45&gt;=0,V$5-$A45&lt;=19),INDEX(HU_ord,V$5-$A45+1)*$B45,0)</f>
        <v>0.0</v>
      </c>
      <c r="W45" s="14">
        <f>IF(AND(W$5-$A45&gt;=0,W$5-$A45&lt;=19),INDEX(HU_ord,W$5-$A45+1)*$B45,0)</f>
        <v>0.0</v>
      </c>
      <c r="X45" s="14">
        <f>IF(AND(X$5-$A45&gt;=0,X$5-$A45&lt;=19),INDEX(HU_ord,X$5-$A45+1)*$B45,0)</f>
        <v>0.0</v>
      </c>
      <c r="Y45" s="14">
        <f>IF(AND(Y$5-$A45&gt;=0,Y$5-$A45&lt;=19),INDEX(HU_ord,Y$5-$A45+1)*$B45,0)</f>
        <v>0.0</v>
      </c>
      <c r="Z45" s="14">
        <f>IF(AND(Z$5-$A45&gt;=0,Z$5-$A45&lt;=19),INDEX(HU_ord,Z$5-$A45+1)*$B45,0)</f>
        <v>0.0</v>
      </c>
      <c r="AA45" s="14">
        <f>IF(AND(AA$5-$A45&gt;=0,AA$5-$A45&lt;=19),INDEX(HU_ord,AA$5-$A45+1)*$B45,0)</f>
        <v>0.0</v>
      </c>
      <c r="AB45" s="14">
        <f>IF(AND(AB$5-$A45&gt;=0,AB$5-$A45&lt;=19),INDEX(HU_ord,AB$5-$A45+1)*$B45,0)</f>
        <v>0.0</v>
      </c>
      <c r="AC45" s="14">
        <f>IF(AND(AC$5-$A45&gt;=0,AC$5-$A45&lt;=19),INDEX(HU_ord,AC$5-$A45+1)*$B45,0)</f>
        <v>0.0</v>
      </c>
      <c r="AD45" s="14">
        <f>IF(AND(AD$5-$A45&gt;=0,AD$5-$A45&lt;=19),INDEX(HU_ord,AD$5-$A45+1)*$B45,0)</f>
        <v>0.0</v>
      </c>
      <c r="AE45" s="14">
        <f>IF(AND(AE$5-$A45&gt;=0,AE$5-$A45&lt;=19),INDEX(HU_ord,AE$5-$A45+1)*$B45,0)</f>
        <v>0.0</v>
      </c>
      <c r="AF45" s="14">
        <f>IF(AND(AF$5-$A45&gt;=0,AF$5-$A45&lt;=19),INDEX(HU_ord,AF$5-$A45+1)*$B45,0)</f>
        <v>0.0</v>
      </c>
      <c r="AG45" s="14">
        <f>IF(AND(AG$5-$A45&gt;=0,AG$5-$A45&lt;=19),INDEX(HU_ord,AG$5-$A45+1)*$B45,0)</f>
        <v>0.0</v>
      </c>
      <c r="AH45" s="14">
        <f>IF(AND(AH$5-$A45&gt;=0,AH$5-$A45&lt;=19),INDEX(HU_ord,AH$5-$A45+1)*$B45,0)</f>
        <v>0.0</v>
      </c>
      <c r="AI45" s="14">
        <f>IF(AND(AI$5-$A45&gt;=0,AI$5-$A45&lt;=19),INDEX(HU_ord,AI$5-$A45+1)*$B45,0)</f>
        <v>0.0</v>
      </c>
      <c r="AJ45" s="14">
        <f>IF(AND(AJ$5-$A45&gt;=0,AJ$5-$A45&lt;=19),INDEX(HU_ord,AJ$5-$A45+1)*$B45,0)</f>
        <v>0.0</v>
      </c>
      <c r="AK45" s="14">
        <f>IF(AND(AK$5-$A45&gt;=0,AK$5-$A45&lt;=19),INDEX(HU_ord,AK$5-$A45+1)*$B45,0)</f>
        <v>0.0</v>
      </c>
      <c r="AL45" s="14">
        <f>IF(AND(AL$5-$A45&gt;=0,AL$5-$A45&lt;=19),INDEX(HU_ord,AL$5-$A45+1)*$B45,0)</f>
        <v>0.0</v>
      </c>
      <c r="AM45" s="14">
        <f>IF(AND(AM$5-$A45&gt;=0,AM$5-$A45&lt;=19),INDEX(HU_ord,AM$5-$A45+1)*$B45,0)</f>
        <v>0.0</v>
      </c>
      <c r="AN45" s="14">
        <f>IF(AND(AN$5-$A45&gt;=0,AN$5-$A45&lt;=19),INDEX(HU_ord,AN$5-$A45+1)*$B45,0)</f>
        <v>0.0</v>
      </c>
      <c r="AO45" s="14">
        <f>IF(AND(AO$5-$A45&gt;=0,AO$5-$A45&lt;=19),INDEX(HU_ord,AO$5-$A45+1)*$B45,0)</f>
        <v>0.0</v>
      </c>
      <c r="AP45" s="14">
        <f>IF(AND(AP$5-$A45&gt;=0,AP$5-$A45&lt;=19),INDEX(HU_ord,AP$5-$A45+1)*$B45,0)</f>
        <v>0.0</v>
      </c>
      <c r="AQ45" s="14">
        <f>IF(AND(AQ$5-$A45&gt;=0,AQ$5-$A45&lt;=19),INDEX(HU_ord,AQ$5-$A45+1)*$B45,0)</f>
        <v>0.0</v>
      </c>
      <c r="AR45" s="14">
        <f>IF(AND(AR$5-$A45&gt;=0,AR$5-$A45&lt;=19),INDEX(HU_ord,AR$5-$A45+1)*$B45,0)</f>
        <v>0.0</v>
      </c>
      <c r="AS45" s="14">
        <f>IF(AND(AS$5-$A45&gt;=0,AS$5-$A45&lt;=19),INDEX(HU_ord,AS$5-$A45+1)*$B45,0)</f>
        <v>0.0</v>
      </c>
      <c r="AT45" s="14">
        <f>IF(AND(AT$5-$A45&gt;=0,AT$5-$A45&lt;=19),INDEX(HU_ord,AT$5-$A45+1)*$B45,0)</f>
        <v>0.0</v>
      </c>
      <c r="AU45" s="14">
        <f>IF(AND(AU$5-$A45&gt;=0,AU$5-$A45&lt;=19),INDEX(HU_ord,AU$5-$A45+1)*$B45,0)</f>
        <v>0.0</v>
      </c>
      <c r="AV45" s="14">
        <f>IF(AND(AV$5-$A45&gt;=0,AV$5-$A45&lt;=19),INDEX(HU_ord,AV$5-$A45+1)*$B45,0)</f>
        <v>0.0</v>
      </c>
      <c r="AW45" s="14">
        <f>IF(AND(AW$5-$A45&gt;=0,AW$5-$A45&lt;=19),INDEX(HU_ord,AW$5-$A45+1)*$B45,0)</f>
        <v>0.0</v>
      </c>
      <c r="AX45" s="14">
        <f>IF(AND(AX$5-$A45&gt;=0,AX$5-$A45&lt;=19),INDEX(HU_ord,AX$5-$A45+1)*$B45,0)</f>
        <v>0.0</v>
      </c>
      <c r="AY45" s="14">
        <f>IF(AND(AY$5-$A45&gt;=0,AY$5-$A45&lt;=19),INDEX(HU_ord,AY$5-$A45+1)*$B45,0)</f>
        <v>0.0</v>
      </c>
      <c r="AZ45" s="14">
        <f>IF(AND(AZ$5-$A45&gt;=0,AZ$5-$A45&lt;=19),INDEX(HU_ord,AZ$5-$A45+1)*$B45,0)</f>
        <v>0.0</v>
      </c>
      <c r="BA45" s="14">
        <f>IF(AND(BA$5-$A45&gt;=0,BA$5-$A45&lt;=19),INDEX(HU_ord,BA$5-$A45+1)*$B45,0)</f>
        <v>0.0</v>
      </c>
      <c r="BB45" s="14">
        <f>IF(AND(BB$5-$A45&gt;=0,BB$5-$A45&lt;=19),INDEX(HU_ord,BB$5-$A45+1)*$B45,0)</f>
        <v>0.0</v>
      </c>
      <c r="BC45" s="14">
        <f>IF(AND(BC$5-$A45&gt;=0,BC$5-$A45&lt;=19),INDEX(HU_ord,BC$5-$A45+1)*$B45,0)</f>
        <v>0.0</v>
      </c>
      <c r="BD45" s="14">
        <f>IF(AND(BD$5-$A45&gt;=0,BD$5-$A45&lt;=19),INDEX(HU_ord,BD$5-$A45+1)*$B45,0)</f>
        <v>0.0</v>
      </c>
      <c r="BE45" s="14">
        <f>IF(AND(BE$5-$A45&gt;=0,BE$5-$A45&lt;=19),INDEX(HU_ord,BE$5-$A45+1)*$B45,0)</f>
        <v>0.0</v>
      </c>
      <c r="BF45" s="14">
        <f>IF(AND(BF$5-$A45&gt;=0,BF$5-$A45&lt;=19),INDEX(HU_ord,BF$5-$A45+1)*$B45,0)</f>
        <v>0.0</v>
      </c>
      <c r="BG45" s="14">
        <f>IF(AND(BG$5-$A45&gt;=0,BG$5-$A45&lt;=19),INDEX(HU_ord,BG$5-$A45+1)*$B45,0)</f>
        <v>0.0</v>
      </c>
      <c r="BH45" s="14">
        <f>IF(AND(BH$5-$A45&gt;=0,BH$5-$A45&lt;=19),INDEX(HU_ord,BH$5-$A45+1)*$B45,0)</f>
        <v>0.0</v>
      </c>
      <c r="BI45" s="14">
        <f>IF(AND(BI$5-$A45&gt;=0,BI$5-$A45&lt;=19),INDEX(HU_ord,BI$5-$A45+1)*$B45,0)</f>
        <v>0.0</v>
      </c>
      <c r="BJ45" s="14">
        <f>IF(AND(BJ$5-$A45&gt;=0,BJ$5-$A45&lt;=19),INDEX(HU_ord,BJ$5-$A45+1)*$B45,0)</f>
        <v>0.0</v>
      </c>
      <c r="BK45" s="14">
        <f>IF(AND(BK$5-$A45&gt;=0,BK$5-$A45&lt;=19),INDEX(HU_ord,BK$5-$A45+1)*$B45,0)</f>
        <v>0.0</v>
      </c>
      <c r="BL45" s="14">
        <f>IF(AND(BL$5-$A45&gt;=0,BL$5-$A45&lt;=19),INDEX(HU_ord,BL$5-$A45+1)*$B45,0)</f>
        <v>0.0</v>
      </c>
      <c r="BM45" s="14">
        <f>IF(AND(BM$5-$A45&gt;=0,BM$5-$A45&lt;=19),INDEX(HU_ord,BM$5-$A45+1)*$B45,0)</f>
        <v>0.0</v>
      </c>
      <c r="BN45" s="14">
        <f>IF(AND(BN$5-$A45&gt;=0,BN$5-$A45&lt;=19),INDEX(HU_ord,BN$5-$A45+1)*$B45,0)</f>
        <v>0.0</v>
      </c>
      <c r="BO45" s="14">
        <f>IF(AND(BO$5-$A45&gt;=0,BO$5-$A45&lt;=19),INDEX(HU_ord,BO$5-$A45+1)*$B45,0)</f>
        <v>0.0</v>
      </c>
      <c r="BP45" s="14">
        <f>IF(AND(BP$5-$A45&gt;=0,BP$5-$A45&lt;=19),INDEX(HU_ord,BP$5-$A45+1)*$B45,0)</f>
        <v>0.0</v>
      </c>
      <c r="BQ45" s="14">
        <f>IF(AND(BQ$5-$A45&gt;=0,BQ$5-$A45&lt;=19),INDEX(HU_ord,BQ$5-$A45+1)*$B45,0)</f>
        <v>0.0</v>
      </c>
      <c r="BR45" s="14">
        <f>IF(AND(BR$5-$A45&gt;=0,BR$5-$A45&lt;=19),INDEX(HU_ord,BR$5-$A45+1)*$B45,0)</f>
        <v>0.0</v>
      </c>
      <c r="BS45" s="14">
        <f>IF(AND(BS$5-$A45&gt;=0,BS$5-$A45&lt;=19),INDEX(HU_ord,BS$5-$A45+1)*$B45,0)</f>
        <v>0.0</v>
      </c>
      <c r="BT45" s="14">
        <f>IF(AND(BT$5-$A45&gt;=0,BT$5-$A45&lt;=19),INDEX(HU_ord,BT$5-$A45+1)*$B45,0)</f>
        <v>0.0</v>
      </c>
      <c r="BU45" s="14">
        <f>IF(AND(BU$5-$A45&gt;=0,BU$5-$A45&lt;=19),INDEX(HU_ord,BU$5-$A45+1)*$B45,0)</f>
        <v>0.0</v>
      </c>
      <c r="BV45" s="14">
        <f>IF(AND(BV$5-$A45&gt;=0,BV$5-$A45&lt;=19),INDEX(HU_ord,BV$5-$A45+1)*$B45,0)</f>
        <v>0.0</v>
      </c>
      <c r="BW45" s="14">
        <f>IF(AND(BW$5-$A45&gt;=0,BW$5-$A45&lt;=19),INDEX(HU_ord,BW$5-$A45+1)*$B45,0)</f>
        <v>0.0</v>
      </c>
      <c r="BX45" s="14">
        <f>IF(AND(BX$5-$A45&gt;=0,BX$5-$A45&lt;=19),INDEX(HU_ord,BX$5-$A45+1)*$B45,0)</f>
        <v>0.0</v>
      </c>
      <c r="BY45" s="14">
        <f>IF(AND(BY$5-$A45&gt;=0,BY$5-$A45&lt;=19),INDEX(HU_ord,BY$5-$A45+1)*$B45,0)</f>
        <v>0.0</v>
      </c>
      <c r="BZ45" s="14">
        <f>IF(AND(BZ$5-$A45&gt;=0,BZ$5-$A45&lt;=19),INDEX(HU_ord,BZ$5-$A45+1)*$B45,0)</f>
        <v>0.0</v>
      </c>
      <c r="CA45" s="14">
        <f>IF(AND(CA$5-$A45&gt;=0,CA$5-$A45&lt;=19),INDEX(HU_ord,CA$5-$A45+1)*$B45,0)</f>
        <v>0.0</v>
      </c>
      <c r="CB45" s="14">
        <f>IF(AND(CB$5-$A45&gt;=0,CB$5-$A45&lt;=19),INDEX(HU_ord,CB$5-$A45+1)*$B45,0)</f>
        <v>0.0</v>
      </c>
      <c r="CC45" s="14">
        <f>IF(AND(CC$5-$A45&gt;=0,CC$5-$A45&lt;=19),INDEX(HU_ord,CC$5-$A45+1)*$B45,0)</f>
        <v>0.0</v>
      </c>
      <c r="CD45" s="14">
        <f>IF(AND(CD$5-$A45&gt;=0,CD$5-$A45&lt;=19),INDEX(HU_ord,CD$5-$A45+1)*$B45,0)</f>
        <v>0.0</v>
      </c>
      <c r="CE45" s="14">
        <f>IF(AND(CE$5-$A45&gt;=0,CE$5-$A45&lt;=19),INDEX(HU_ord,CE$5-$A45+1)*$B45,0)</f>
        <v>0.0</v>
      </c>
      <c r="CF45" s="14">
        <f>IF(AND(CF$5-$A45&gt;=0,CF$5-$A45&lt;=19),INDEX(HU_ord,CF$5-$A45+1)*$B45,0)</f>
        <v>0.0</v>
      </c>
      <c r="CG45" s="14">
        <f>IF(AND(CG$5-$A45&gt;=0,CG$5-$A45&lt;=19),INDEX(HU_ord,CG$5-$A45+1)*$B45,0)</f>
        <v>0.0</v>
      </c>
      <c r="CH45" s="14">
        <f>IF(AND(CH$5-$A45&gt;=0,CH$5-$A45&lt;=19),INDEX(HU_ord,CH$5-$A45+1)*$B45,0)</f>
        <v>0.0</v>
      </c>
      <c r="CI45" s="14">
        <f>IF(AND(CI$5-$A45&gt;=0,CI$5-$A45&lt;=19),INDEX(HU_ord,CI$5-$A45+1)*$B45,0)</f>
        <v>0.0</v>
      </c>
      <c r="CJ45" s="14">
        <f>IF(AND(CJ$5-$A45&gt;=0,CJ$5-$A45&lt;=19),INDEX(HU_ord,CJ$5-$A45+1)*$B45,0)</f>
        <v>0.0</v>
      </c>
      <c r="CK45" s="14">
        <f>IF(AND(CK$5-$A45&gt;=0,CK$5-$A45&lt;=19),INDEX(HU_ord,CK$5-$A45+1)*$B45,0)</f>
        <v>0.0</v>
      </c>
      <c r="CL45" s="14">
        <f>IF(AND(CL$5-$A45&gt;=0,CL$5-$A45&lt;=19),INDEX(HU_ord,CL$5-$A45+1)*$B45,0)</f>
        <v>0.0</v>
      </c>
      <c r="CM45" s="14">
        <f>IF(AND(CM$5-$A45&gt;=0,CM$5-$A45&lt;=19),INDEX(HU_ord,CM$5-$A45+1)*$B45,0)</f>
        <v>0.0</v>
      </c>
      <c r="CN45" s="14">
        <f>IF(AND(CN$5-$A45&gt;=0,CN$5-$A45&lt;=19),INDEX(HU_ord,CN$5-$A45+1)*$B45,0)</f>
        <v>0.0</v>
      </c>
      <c r="CO45" s="14">
        <f>IF(AND(CO$5-$A45&gt;=0,CO$5-$A45&lt;=19),INDEX(HU_ord,CO$5-$A45+1)*$B45,0)</f>
        <v>0.0</v>
      </c>
      <c r="CP45" s="14">
        <f>IF(AND(CP$5-$A45&gt;=0,CP$5-$A45&lt;=19),INDEX(HU_ord,CP$5-$A45+1)*$B45,0)</f>
        <v>0.0</v>
      </c>
      <c r="CQ45" s="14">
        <f>IF(AND(CQ$5-$A45&gt;=0,CQ$5-$A45&lt;=19),INDEX(HU_ord,CQ$5-$A45+1)*$B45,0)</f>
        <v>0.0</v>
      </c>
      <c r="CR45" s="14">
        <f>IF(AND(CR$5-$A45&gt;=0,CR$5-$A45&lt;=19),INDEX(HU_ord,CR$5-$A45+1)*$B45,0)</f>
        <v>0.0</v>
      </c>
      <c r="CS45" s="14">
        <f>IF(AND(CS$5-$A45&gt;=0,CS$5-$A45&lt;=19),INDEX(HU_ord,CS$5-$A45+1)*$B45,0)</f>
        <v>0.0</v>
      </c>
      <c r="CT45" s="14">
        <f>IF(AND(CT$5-$A45&gt;=0,CT$5-$A45&lt;=19),INDEX(HU_ord,CT$5-$A45+1)*$B45,0)</f>
        <v>0.0</v>
      </c>
      <c r="CU45" s="14">
        <f>IF(AND(CU$5-$A45&gt;=0,CU$5-$A45&lt;=19),INDEX(HU_ord,CU$5-$A45+1)*$B45,0)</f>
        <v>0.0</v>
      </c>
      <c r="CV45" s="14">
        <f>IF(AND(CV$5-$A45&gt;=0,CV$5-$A45&lt;=19),INDEX(HU_ord,CV$5-$A45+1)*$B45,0)</f>
        <v>0.0</v>
      </c>
      <c r="CW45" s="14">
        <f>IF(AND(CW$5-$A45&gt;=0,CW$5-$A45&lt;=19),INDEX(HU_ord,CW$5-$A45+1)*$B45,0)</f>
        <v>0.0</v>
      </c>
      <c r="CX45" s="14">
        <f>IF(AND(CX$5-$A45&gt;=0,CX$5-$A45&lt;=19),INDEX(HU_ord,CX$5-$A45+1)*$B45,0)</f>
        <v>0.0</v>
      </c>
      <c r="CY45" s="14">
        <f>IF(AND(CY$5-$A45&gt;=0,CY$5-$A45&lt;=19),INDEX(HU_ord,CY$5-$A45+1)*$B45,0)</f>
        <v>0.0</v>
      </c>
      <c r="CZ45" s="14">
        <f>IF(AND(CZ$5-$A45&gt;=0,CZ$5-$A45&lt;=19),INDEX(HU_ord,CZ$5-$A45+1)*$B45,0)</f>
        <v>0.0</v>
      </c>
      <c r="DA45" s="14">
        <f>IF(AND(DA$5-$A45&gt;=0,DA$5-$A45&lt;=19),INDEX(HU_ord,DA$5-$A45+1)*$B45,0)</f>
        <v>0.0</v>
      </c>
      <c r="DB45" s="14">
        <f>IF(AND(DB$5-$A45&gt;=0,DB$5-$A45&lt;=19),INDEX(HU_ord,DB$5-$A45+1)*$B45,0)</f>
        <v>0.0</v>
      </c>
      <c r="DC45" s="14">
        <f>IF(AND(DC$5-$A45&gt;=0,DC$5-$A45&lt;=19),INDEX(HU_ord,DC$5-$A45+1)*$B45,0)</f>
        <v>0.0</v>
      </c>
      <c r="DD45" s="14">
        <f>IF(AND(DD$5-$A45&gt;=0,DD$5-$A45&lt;=19),INDEX(HU_ord,DD$5-$A45+1)*$B45,0)</f>
        <v>0.0</v>
      </c>
      <c r="DE45" s="14">
        <f>IF(AND(DE$5-$A45&gt;=0,DE$5-$A45&lt;=19),INDEX(HU_ord,DE$5-$A45+1)*$B45,0)</f>
        <v>0.0</v>
      </c>
      <c r="DF45" s="14">
        <f>IF(AND(DF$5-$A45&gt;=0,DF$5-$A45&lt;=19),INDEX(HU_ord,DF$5-$A45+1)*$B45,0)</f>
        <v>0.0</v>
      </c>
      <c r="DG45" s="14">
        <f>IF(AND(DG$5-$A45&gt;=0,DG$5-$A45&lt;=19),INDEX(HU_ord,DG$5-$A45+1)*$B45,0)</f>
        <v>0.0</v>
      </c>
      <c r="DH45" s="14">
        <f>IF(AND(DH$5-$A45&gt;=0,DH$5-$A45&lt;=19),INDEX(HU_ord,DH$5-$A45+1)*$B45,0)</f>
        <v>0.0</v>
      </c>
      <c r="DI45" s="14">
        <f>IF(AND(DI$5-$A45&gt;=0,DI$5-$A45&lt;=19),INDEX(HU_ord,DI$5-$A45+1)*$B45,0)</f>
        <v>0.0</v>
      </c>
    </row>
    <row r="46" spans="1:113">
      <c r="A46">
        <v>40</v>
      </c>
      <c r="B46" s="10">
        <f>Serie_horaria!N42</f>
        <v>0.0</v>
      </c>
      <c r="C46" s="14">
        <f>IF(AND(C$5-$A46&gt;=0,C$5-$A46&lt;=19),INDEX(HU_ord,C$5-$A46+1)*$B46,0)</f>
        <v>0.0</v>
      </c>
      <c r="D46" s="14">
        <f>IF(AND(D$5-$A46&gt;=0,D$5-$A46&lt;=19),INDEX(HU_ord,D$5-$A46+1)*$B46,0)</f>
        <v>0.0</v>
      </c>
      <c r="E46" s="14">
        <f>IF(AND(E$5-$A46&gt;=0,E$5-$A46&lt;=19),INDEX(HU_ord,E$5-$A46+1)*$B46,0)</f>
        <v>0.0</v>
      </c>
      <c r="F46" s="14">
        <f>IF(AND(F$5-$A46&gt;=0,F$5-$A46&lt;=19),INDEX(HU_ord,F$5-$A46+1)*$B46,0)</f>
        <v>0.0</v>
      </c>
      <c r="G46" s="14">
        <f>IF(AND(G$5-$A46&gt;=0,G$5-$A46&lt;=19),INDEX(HU_ord,G$5-$A46+1)*$B46,0)</f>
        <v>0.0</v>
      </c>
      <c r="H46" s="14">
        <f>IF(AND(H$5-$A46&gt;=0,H$5-$A46&lt;=19),INDEX(HU_ord,H$5-$A46+1)*$B46,0)</f>
        <v>0.0</v>
      </c>
      <c r="I46" s="14">
        <f>IF(AND(I$5-$A46&gt;=0,I$5-$A46&lt;=19),INDEX(HU_ord,I$5-$A46+1)*$B46,0)</f>
        <v>0.0</v>
      </c>
      <c r="J46" s="14">
        <f>IF(AND(J$5-$A46&gt;=0,J$5-$A46&lt;=19),INDEX(HU_ord,J$5-$A46+1)*$B46,0)</f>
        <v>0.0</v>
      </c>
      <c r="K46" s="14">
        <f>IF(AND(K$5-$A46&gt;=0,K$5-$A46&lt;=19),INDEX(HU_ord,K$5-$A46+1)*$B46,0)</f>
        <v>0.0</v>
      </c>
      <c r="L46" s="14">
        <f>IF(AND(L$5-$A46&gt;=0,L$5-$A46&lt;=19),INDEX(HU_ord,L$5-$A46+1)*$B46,0)</f>
        <v>0.0</v>
      </c>
      <c r="M46" s="14">
        <f>IF(AND(M$5-$A46&gt;=0,M$5-$A46&lt;=19),INDEX(HU_ord,M$5-$A46+1)*$B46,0)</f>
        <v>0.0</v>
      </c>
      <c r="N46" s="14">
        <f>IF(AND(N$5-$A46&gt;=0,N$5-$A46&lt;=19),INDEX(HU_ord,N$5-$A46+1)*$B46,0)</f>
        <v>0.0</v>
      </c>
      <c r="O46" s="14">
        <f>IF(AND(O$5-$A46&gt;=0,O$5-$A46&lt;=19),INDEX(HU_ord,O$5-$A46+1)*$B46,0)</f>
        <v>0.0</v>
      </c>
      <c r="P46" s="14">
        <f>IF(AND(P$5-$A46&gt;=0,P$5-$A46&lt;=19),INDEX(HU_ord,P$5-$A46+1)*$B46,0)</f>
        <v>0.0</v>
      </c>
      <c r="Q46" s="14">
        <f>IF(AND(Q$5-$A46&gt;=0,Q$5-$A46&lt;=19),INDEX(HU_ord,Q$5-$A46+1)*$B46,0)</f>
        <v>0.0</v>
      </c>
      <c r="R46" s="14">
        <f>IF(AND(R$5-$A46&gt;=0,R$5-$A46&lt;=19),INDEX(HU_ord,R$5-$A46+1)*$B46,0)</f>
        <v>0.0</v>
      </c>
      <c r="S46" s="14">
        <f>IF(AND(S$5-$A46&gt;=0,S$5-$A46&lt;=19),INDEX(HU_ord,S$5-$A46+1)*$B46,0)</f>
        <v>0.0</v>
      </c>
      <c r="T46" s="14">
        <f>IF(AND(T$5-$A46&gt;=0,T$5-$A46&lt;=19),INDEX(HU_ord,T$5-$A46+1)*$B46,0)</f>
        <v>0.0</v>
      </c>
      <c r="U46" s="14">
        <f>IF(AND(U$5-$A46&gt;=0,U$5-$A46&lt;=19),INDEX(HU_ord,U$5-$A46+1)*$B46,0)</f>
        <v>0.0</v>
      </c>
      <c r="V46" s="14">
        <f>IF(AND(V$5-$A46&gt;=0,V$5-$A46&lt;=19),INDEX(HU_ord,V$5-$A46+1)*$B46,0)</f>
        <v>0.0</v>
      </c>
      <c r="W46" s="14">
        <f>IF(AND(W$5-$A46&gt;=0,W$5-$A46&lt;=19),INDEX(HU_ord,W$5-$A46+1)*$B46,0)</f>
        <v>0.0</v>
      </c>
      <c r="X46" s="14">
        <f>IF(AND(X$5-$A46&gt;=0,X$5-$A46&lt;=19),INDEX(HU_ord,X$5-$A46+1)*$B46,0)</f>
        <v>0.0</v>
      </c>
      <c r="Y46" s="14">
        <f>IF(AND(Y$5-$A46&gt;=0,Y$5-$A46&lt;=19),INDEX(HU_ord,Y$5-$A46+1)*$B46,0)</f>
        <v>0.0</v>
      </c>
      <c r="Z46" s="14">
        <f>IF(AND(Z$5-$A46&gt;=0,Z$5-$A46&lt;=19),INDEX(HU_ord,Z$5-$A46+1)*$B46,0)</f>
        <v>0.0</v>
      </c>
      <c r="AA46" s="14">
        <f>IF(AND(AA$5-$A46&gt;=0,AA$5-$A46&lt;=19),INDEX(HU_ord,AA$5-$A46+1)*$B46,0)</f>
        <v>0.0</v>
      </c>
      <c r="AB46" s="14">
        <f>IF(AND(AB$5-$A46&gt;=0,AB$5-$A46&lt;=19),INDEX(HU_ord,AB$5-$A46+1)*$B46,0)</f>
        <v>0.0</v>
      </c>
      <c r="AC46" s="14">
        <f>IF(AND(AC$5-$A46&gt;=0,AC$5-$A46&lt;=19),INDEX(HU_ord,AC$5-$A46+1)*$B46,0)</f>
        <v>0.0</v>
      </c>
      <c r="AD46" s="14">
        <f>IF(AND(AD$5-$A46&gt;=0,AD$5-$A46&lt;=19),INDEX(HU_ord,AD$5-$A46+1)*$B46,0)</f>
        <v>0.0</v>
      </c>
      <c r="AE46" s="14">
        <f>IF(AND(AE$5-$A46&gt;=0,AE$5-$A46&lt;=19),INDEX(HU_ord,AE$5-$A46+1)*$B46,0)</f>
        <v>0.0</v>
      </c>
      <c r="AF46" s="14">
        <f>IF(AND(AF$5-$A46&gt;=0,AF$5-$A46&lt;=19),INDEX(HU_ord,AF$5-$A46+1)*$B46,0)</f>
        <v>0.0</v>
      </c>
      <c r="AG46" s="14">
        <f>IF(AND(AG$5-$A46&gt;=0,AG$5-$A46&lt;=19),INDEX(HU_ord,AG$5-$A46+1)*$B46,0)</f>
        <v>0.0</v>
      </c>
      <c r="AH46" s="14">
        <f>IF(AND(AH$5-$A46&gt;=0,AH$5-$A46&lt;=19),INDEX(HU_ord,AH$5-$A46+1)*$B46,0)</f>
        <v>0.0</v>
      </c>
      <c r="AI46" s="14">
        <f>IF(AND(AI$5-$A46&gt;=0,AI$5-$A46&lt;=19),INDEX(HU_ord,AI$5-$A46+1)*$B46,0)</f>
        <v>0.0</v>
      </c>
      <c r="AJ46" s="14">
        <f>IF(AND(AJ$5-$A46&gt;=0,AJ$5-$A46&lt;=19),INDEX(HU_ord,AJ$5-$A46+1)*$B46,0)</f>
        <v>0.0</v>
      </c>
      <c r="AK46" s="14">
        <f>IF(AND(AK$5-$A46&gt;=0,AK$5-$A46&lt;=19),INDEX(HU_ord,AK$5-$A46+1)*$B46,0)</f>
        <v>0.0</v>
      </c>
      <c r="AL46" s="14">
        <f>IF(AND(AL$5-$A46&gt;=0,AL$5-$A46&lt;=19),INDEX(HU_ord,AL$5-$A46+1)*$B46,0)</f>
        <v>0.0</v>
      </c>
      <c r="AM46" s="14">
        <f>IF(AND(AM$5-$A46&gt;=0,AM$5-$A46&lt;=19),INDEX(HU_ord,AM$5-$A46+1)*$B46,0)</f>
        <v>0.0</v>
      </c>
      <c r="AN46" s="14">
        <f>IF(AND(AN$5-$A46&gt;=0,AN$5-$A46&lt;=19),INDEX(HU_ord,AN$5-$A46+1)*$B46,0)</f>
        <v>0.0</v>
      </c>
      <c r="AO46" s="14">
        <f>IF(AND(AO$5-$A46&gt;=0,AO$5-$A46&lt;=19),INDEX(HU_ord,AO$5-$A46+1)*$B46,0)</f>
        <v>0.0</v>
      </c>
      <c r="AP46" s="14">
        <f>IF(AND(AP$5-$A46&gt;=0,AP$5-$A46&lt;=19),INDEX(HU_ord,AP$5-$A46+1)*$B46,0)</f>
        <v>0.0</v>
      </c>
      <c r="AQ46" s="14">
        <f>IF(AND(AQ$5-$A46&gt;=0,AQ$5-$A46&lt;=19),INDEX(HU_ord,AQ$5-$A46+1)*$B46,0)</f>
        <v>0.0</v>
      </c>
      <c r="AR46" s="14">
        <f>IF(AND(AR$5-$A46&gt;=0,AR$5-$A46&lt;=19),INDEX(HU_ord,AR$5-$A46+1)*$B46,0)</f>
        <v>0.0</v>
      </c>
      <c r="AS46" s="14">
        <f>IF(AND(AS$5-$A46&gt;=0,AS$5-$A46&lt;=19),INDEX(HU_ord,AS$5-$A46+1)*$B46,0)</f>
        <v>0.0</v>
      </c>
      <c r="AT46" s="14">
        <f>IF(AND(AT$5-$A46&gt;=0,AT$5-$A46&lt;=19),INDEX(HU_ord,AT$5-$A46+1)*$B46,0)</f>
        <v>0.0</v>
      </c>
      <c r="AU46" s="14">
        <f>IF(AND(AU$5-$A46&gt;=0,AU$5-$A46&lt;=19),INDEX(HU_ord,AU$5-$A46+1)*$B46,0)</f>
        <v>0.0</v>
      </c>
      <c r="AV46" s="14">
        <f>IF(AND(AV$5-$A46&gt;=0,AV$5-$A46&lt;=19),INDEX(HU_ord,AV$5-$A46+1)*$B46,0)</f>
        <v>0.0</v>
      </c>
      <c r="AW46" s="14">
        <f>IF(AND(AW$5-$A46&gt;=0,AW$5-$A46&lt;=19),INDEX(HU_ord,AW$5-$A46+1)*$B46,0)</f>
        <v>0.0</v>
      </c>
      <c r="AX46" s="14">
        <f>IF(AND(AX$5-$A46&gt;=0,AX$5-$A46&lt;=19),INDEX(HU_ord,AX$5-$A46+1)*$B46,0)</f>
        <v>0.0</v>
      </c>
      <c r="AY46" s="14">
        <f>IF(AND(AY$5-$A46&gt;=0,AY$5-$A46&lt;=19),INDEX(HU_ord,AY$5-$A46+1)*$B46,0)</f>
        <v>0.0</v>
      </c>
      <c r="AZ46" s="14">
        <f>IF(AND(AZ$5-$A46&gt;=0,AZ$5-$A46&lt;=19),INDEX(HU_ord,AZ$5-$A46+1)*$B46,0)</f>
        <v>0.0</v>
      </c>
      <c r="BA46" s="14">
        <f>IF(AND(BA$5-$A46&gt;=0,BA$5-$A46&lt;=19),INDEX(HU_ord,BA$5-$A46+1)*$B46,0)</f>
        <v>0.0</v>
      </c>
      <c r="BB46" s="14">
        <f>IF(AND(BB$5-$A46&gt;=0,BB$5-$A46&lt;=19),INDEX(HU_ord,BB$5-$A46+1)*$B46,0)</f>
        <v>0.0</v>
      </c>
      <c r="BC46" s="14">
        <f>IF(AND(BC$5-$A46&gt;=0,BC$5-$A46&lt;=19),INDEX(HU_ord,BC$5-$A46+1)*$B46,0)</f>
        <v>0.0</v>
      </c>
      <c r="BD46" s="14">
        <f>IF(AND(BD$5-$A46&gt;=0,BD$5-$A46&lt;=19),INDEX(HU_ord,BD$5-$A46+1)*$B46,0)</f>
        <v>0.0</v>
      </c>
      <c r="BE46" s="14">
        <f>IF(AND(BE$5-$A46&gt;=0,BE$5-$A46&lt;=19),INDEX(HU_ord,BE$5-$A46+1)*$B46,0)</f>
        <v>0.0</v>
      </c>
      <c r="BF46" s="14">
        <f>IF(AND(BF$5-$A46&gt;=0,BF$5-$A46&lt;=19),INDEX(HU_ord,BF$5-$A46+1)*$B46,0)</f>
        <v>0.0</v>
      </c>
      <c r="BG46" s="14">
        <f>IF(AND(BG$5-$A46&gt;=0,BG$5-$A46&lt;=19),INDEX(HU_ord,BG$5-$A46+1)*$B46,0)</f>
        <v>0.0</v>
      </c>
      <c r="BH46" s="14">
        <f>IF(AND(BH$5-$A46&gt;=0,BH$5-$A46&lt;=19),INDEX(HU_ord,BH$5-$A46+1)*$B46,0)</f>
        <v>0.0</v>
      </c>
      <c r="BI46" s="14">
        <f>IF(AND(BI$5-$A46&gt;=0,BI$5-$A46&lt;=19),INDEX(HU_ord,BI$5-$A46+1)*$B46,0)</f>
        <v>0.0</v>
      </c>
      <c r="BJ46" s="14">
        <f>IF(AND(BJ$5-$A46&gt;=0,BJ$5-$A46&lt;=19),INDEX(HU_ord,BJ$5-$A46+1)*$B46,0)</f>
        <v>0.0</v>
      </c>
      <c r="BK46" s="14">
        <f>IF(AND(BK$5-$A46&gt;=0,BK$5-$A46&lt;=19),INDEX(HU_ord,BK$5-$A46+1)*$B46,0)</f>
        <v>0.0</v>
      </c>
      <c r="BL46" s="14">
        <f>IF(AND(BL$5-$A46&gt;=0,BL$5-$A46&lt;=19),INDEX(HU_ord,BL$5-$A46+1)*$B46,0)</f>
        <v>0.0</v>
      </c>
      <c r="BM46" s="14">
        <f>IF(AND(BM$5-$A46&gt;=0,BM$5-$A46&lt;=19),INDEX(HU_ord,BM$5-$A46+1)*$B46,0)</f>
        <v>0.0</v>
      </c>
      <c r="BN46" s="14">
        <f>IF(AND(BN$5-$A46&gt;=0,BN$5-$A46&lt;=19),INDEX(HU_ord,BN$5-$A46+1)*$B46,0)</f>
        <v>0.0</v>
      </c>
      <c r="BO46" s="14">
        <f>IF(AND(BO$5-$A46&gt;=0,BO$5-$A46&lt;=19),INDEX(HU_ord,BO$5-$A46+1)*$B46,0)</f>
        <v>0.0</v>
      </c>
      <c r="BP46" s="14">
        <f>IF(AND(BP$5-$A46&gt;=0,BP$5-$A46&lt;=19),INDEX(HU_ord,BP$5-$A46+1)*$B46,0)</f>
        <v>0.0</v>
      </c>
      <c r="BQ46" s="14">
        <f>IF(AND(BQ$5-$A46&gt;=0,BQ$5-$A46&lt;=19),INDEX(HU_ord,BQ$5-$A46+1)*$B46,0)</f>
        <v>0.0</v>
      </c>
      <c r="BR46" s="14">
        <f>IF(AND(BR$5-$A46&gt;=0,BR$5-$A46&lt;=19),INDEX(HU_ord,BR$5-$A46+1)*$B46,0)</f>
        <v>0.0</v>
      </c>
      <c r="BS46" s="14">
        <f>IF(AND(BS$5-$A46&gt;=0,BS$5-$A46&lt;=19),INDEX(HU_ord,BS$5-$A46+1)*$B46,0)</f>
        <v>0.0</v>
      </c>
      <c r="BT46" s="14">
        <f>IF(AND(BT$5-$A46&gt;=0,BT$5-$A46&lt;=19),INDEX(HU_ord,BT$5-$A46+1)*$B46,0)</f>
        <v>0.0</v>
      </c>
      <c r="BU46" s="14">
        <f>IF(AND(BU$5-$A46&gt;=0,BU$5-$A46&lt;=19),INDEX(HU_ord,BU$5-$A46+1)*$B46,0)</f>
        <v>0.0</v>
      </c>
      <c r="BV46" s="14">
        <f>IF(AND(BV$5-$A46&gt;=0,BV$5-$A46&lt;=19),INDEX(HU_ord,BV$5-$A46+1)*$B46,0)</f>
        <v>0.0</v>
      </c>
      <c r="BW46" s="14">
        <f>IF(AND(BW$5-$A46&gt;=0,BW$5-$A46&lt;=19),INDEX(HU_ord,BW$5-$A46+1)*$B46,0)</f>
        <v>0.0</v>
      </c>
      <c r="BX46" s="14">
        <f>IF(AND(BX$5-$A46&gt;=0,BX$5-$A46&lt;=19),INDEX(HU_ord,BX$5-$A46+1)*$B46,0)</f>
        <v>0.0</v>
      </c>
      <c r="BY46" s="14">
        <f>IF(AND(BY$5-$A46&gt;=0,BY$5-$A46&lt;=19),INDEX(HU_ord,BY$5-$A46+1)*$B46,0)</f>
        <v>0.0</v>
      </c>
      <c r="BZ46" s="14">
        <f>IF(AND(BZ$5-$A46&gt;=0,BZ$5-$A46&lt;=19),INDEX(HU_ord,BZ$5-$A46+1)*$B46,0)</f>
        <v>0.0</v>
      </c>
      <c r="CA46" s="14">
        <f>IF(AND(CA$5-$A46&gt;=0,CA$5-$A46&lt;=19),INDEX(HU_ord,CA$5-$A46+1)*$B46,0)</f>
        <v>0.0</v>
      </c>
      <c r="CB46" s="14">
        <f>IF(AND(CB$5-$A46&gt;=0,CB$5-$A46&lt;=19),INDEX(HU_ord,CB$5-$A46+1)*$B46,0)</f>
        <v>0.0</v>
      </c>
      <c r="CC46" s="14">
        <f>IF(AND(CC$5-$A46&gt;=0,CC$5-$A46&lt;=19),INDEX(HU_ord,CC$5-$A46+1)*$B46,0)</f>
        <v>0.0</v>
      </c>
      <c r="CD46" s="14">
        <f>IF(AND(CD$5-$A46&gt;=0,CD$5-$A46&lt;=19),INDEX(HU_ord,CD$5-$A46+1)*$B46,0)</f>
        <v>0.0</v>
      </c>
      <c r="CE46" s="14">
        <f>IF(AND(CE$5-$A46&gt;=0,CE$5-$A46&lt;=19),INDEX(HU_ord,CE$5-$A46+1)*$B46,0)</f>
        <v>0.0</v>
      </c>
      <c r="CF46" s="14">
        <f>IF(AND(CF$5-$A46&gt;=0,CF$5-$A46&lt;=19),INDEX(HU_ord,CF$5-$A46+1)*$B46,0)</f>
        <v>0.0</v>
      </c>
      <c r="CG46" s="14">
        <f>IF(AND(CG$5-$A46&gt;=0,CG$5-$A46&lt;=19),INDEX(HU_ord,CG$5-$A46+1)*$B46,0)</f>
        <v>0.0</v>
      </c>
      <c r="CH46" s="14">
        <f>IF(AND(CH$5-$A46&gt;=0,CH$5-$A46&lt;=19),INDEX(HU_ord,CH$5-$A46+1)*$B46,0)</f>
        <v>0.0</v>
      </c>
      <c r="CI46" s="14">
        <f>IF(AND(CI$5-$A46&gt;=0,CI$5-$A46&lt;=19),INDEX(HU_ord,CI$5-$A46+1)*$B46,0)</f>
        <v>0.0</v>
      </c>
      <c r="CJ46" s="14">
        <f>IF(AND(CJ$5-$A46&gt;=0,CJ$5-$A46&lt;=19),INDEX(HU_ord,CJ$5-$A46+1)*$B46,0)</f>
        <v>0.0</v>
      </c>
      <c r="CK46" s="14">
        <f>IF(AND(CK$5-$A46&gt;=0,CK$5-$A46&lt;=19),INDEX(HU_ord,CK$5-$A46+1)*$B46,0)</f>
        <v>0.0</v>
      </c>
      <c r="CL46" s="14">
        <f>IF(AND(CL$5-$A46&gt;=0,CL$5-$A46&lt;=19),INDEX(HU_ord,CL$5-$A46+1)*$B46,0)</f>
        <v>0.0</v>
      </c>
      <c r="CM46" s="14">
        <f>IF(AND(CM$5-$A46&gt;=0,CM$5-$A46&lt;=19),INDEX(HU_ord,CM$5-$A46+1)*$B46,0)</f>
        <v>0.0</v>
      </c>
      <c r="CN46" s="14">
        <f>IF(AND(CN$5-$A46&gt;=0,CN$5-$A46&lt;=19),INDEX(HU_ord,CN$5-$A46+1)*$B46,0)</f>
        <v>0.0</v>
      </c>
      <c r="CO46" s="14">
        <f>IF(AND(CO$5-$A46&gt;=0,CO$5-$A46&lt;=19),INDEX(HU_ord,CO$5-$A46+1)*$B46,0)</f>
        <v>0.0</v>
      </c>
      <c r="CP46" s="14">
        <f>IF(AND(CP$5-$A46&gt;=0,CP$5-$A46&lt;=19),INDEX(HU_ord,CP$5-$A46+1)*$B46,0)</f>
        <v>0.0</v>
      </c>
      <c r="CQ46" s="14">
        <f>IF(AND(CQ$5-$A46&gt;=0,CQ$5-$A46&lt;=19),INDEX(HU_ord,CQ$5-$A46+1)*$B46,0)</f>
        <v>0.0</v>
      </c>
      <c r="CR46" s="14">
        <f>IF(AND(CR$5-$A46&gt;=0,CR$5-$A46&lt;=19),INDEX(HU_ord,CR$5-$A46+1)*$B46,0)</f>
        <v>0.0</v>
      </c>
      <c r="CS46" s="14">
        <f>IF(AND(CS$5-$A46&gt;=0,CS$5-$A46&lt;=19),INDEX(HU_ord,CS$5-$A46+1)*$B46,0)</f>
        <v>0.0</v>
      </c>
      <c r="CT46" s="14">
        <f>IF(AND(CT$5-$A46&gt;=0,CT$5-$A46&lt;=19),INDEX(HU_ord,CT$5-$A46+1)*$B46,0)</f>
        <v>0.0</v>
      </c>
      <c r="CU46" s="14">
        <f>IF(AND(CU$5-$A46&gt;=0,CU$5-$A46&lt;=19),INDEX(HU_ord,CU$5-$A46+1)*$B46,0)</f>
        <v>0.0</v>
      </c>
      <c r="CV46" s="14">
        <f>IF(AND(CV$5-$A46&gt;=0,CV$5-$A46&lt;=19),INDEX(HU_ord,CV$5-$A46+1)*$B46,0)</f>
        <v>0.0</v>
      </c>
      <c r="CW46" s="14">
        <f>IF(AND(CW$5-$A46&gt;=0,CW$5-$A46&lt;=19),INDEX(HU_ord,CW$5-$A46+1)*$B46,0)</f>
        <v>0.0</v>
      </c>
      <c r="CX46" s="14">
        <f>IF(AND(CX$5-$A46&gt;=0,CX$5-$A46&lt;=19),INDEX(HU_ord,CX$5-$A46+1)*$B46,0)</f>
        <v>0.0</v>
      </c>
      <c r="CY46" s="14">
        <f>IF(AND(CY$5-$A46&gt;=0,CY$5-$A46&lt;=19),INDEX(HU_ord,CY$5-$A46+1)*$B46,0)</f>
        <v>0.0</v>
      </c>
      <c r="CZ46" s="14">
        <f>IF(AND(CZ$5-$A46&gt;=0,CZ$5-$A46&lt;=19),INDEX(HU_ord,CZ$5-$A46+1)*$B46,0)</f>
        <v>0.0</v>
      </c>
      <c r="DA46" s="14">
        <f>IF(AND(DA$5-$A46&gt;=0,DA$5-$A46&lt;=19),INDEX(HU_ord,DA$5-$A46+1)*$B46,0)</f>
        <v>0.0</v>
      </c>
      <c r="DB46" s="14">
        <f>IF(AND(DB$5-$A46&gt;=0,DB$5-$A46&lt;=19),INDEX(HU_ord,DB$5-$A46+1)*$B46,0)</f>
        <v>0.0</v>
      </c>
      <c r="DC46" s="14">
        <f>IF(AND(DC$5-$A46&gt;=0,DC$5-$A46&lt;=19),INDEX(HU_ord,DC$5-$A46+1)*$B46,0)</f>
        <v>0.0</v>
      </c>
      <c r="DD46" s="14">
        <f>IF(AND(DD$5-$A46&gt;=0,DD$5-$A46&lt;=19),INDEX(HU_ord,DD$5-$A46+1)*$B46,0)</f>
        <v>0.0</v>
      </c>
      <c r="DE46" s="14">
        <f>IF(AND(DE$5-$A46&gt;=0,DE$5-$A46&lt;=19),INDEX(HU_ord,DE$5-$A46+1)*$B46,0)</f>
        <v>0.0</v>
      </c>
      <c r="DF46" s="14">
        <f>IF(AND(DF$5-$A46&gt;=0,DF$5-$A46&lt;=19),INDEX(HU_ord,DF$5-$A46+1)*$B46,0)</f>
        <v>0.0</v>
      </c>
      <c r="DG46" s="14">
        <f>IF(AND(DG$5-$A46&gt;=0,DG$5-$A46&lt;=19),INDEX(HU_ord,DG$5-$A46+1)*$B46,0)</f>
        <v>0.0</v>
      </c>
      <c r="DH46" s="14">
        <f>IF(AND(DH$5-$A46&gt;=0,DH$5-$A46&lt;=19),INDEX(HU_ord,DH$5-$A46+1)*$B46,0)</f>
        <v>0.0</v>
      </c>
      <c r="DI46" s="14">
        <f>IF(AND(DI$5-$A46&gt;=0,DI$5-$A46&lt;=19),INDEX(HU_ord,DI$5-$A46+1)*$B46,0)</f>
        <v>0.0</v>
      </c>
    </row>
    <row r="47" spans="1:113">
      <c r="A47">
        <v>41</v>
      </c>
      <c r="B47" s="10">
        <f>Serie_horaria!N43</f>
        <v>0.0</v>
      </c>
      <c r="C47" s="14">
        <f>IF(AND(C$5-$A47&gt;=0,C$5-$A47&lt;=19),INDEX(HU_ord,C$5-$A47+1)*$B47,0)</f>
        <v>0.0</v>
      </c>
      <c r="D47" s="14">
        <f>IF(AND(D$5-$A47&gt;=0,D$5-$A47&lt;=19),INDEX(HU_ord,D$5-$A47+1)*$B47,0)</f>
        <v>0.0</v>
      </c>
      <c r="E47" s="14">
        <f>IF(AND(E$5-$A47&gt;=0,E$5-$A47&lt;=19),INDEX(HU_ord,E$5-$A47+1)*$B47,0)</f>
        <v>0.0</v>
      </c>
      <c r="F47" s="14">
        <f>IF(AND(F$5-$A47&gt;=0,F$5-$A47&lt;=19),INDEX(HU_ord,F$5-$A47+1)*$B47,0)</f>
        <v>0.0</v>
      </c>
      <c r="G47" s="14">
        <f>IF(AND(G$5-$A47&gt;=0,G$5-$A47&lt;=19),INDEX(HU_ord,G$5-$A47+1)*$B47,0)</f>
        <v>0.0</v>
      </c>
      <c r="H47" s="14">
        <f>IF(AND(H$5-$A47&gt;=0,H$5-$A47&lt;=19),INDEX(HU_ord,H$5-$A47+1)*$B47,0)</f>
        <v>0.0</v>
      </c>
      <c r="I47" s="14">
        <f>IF(AND(I$5-$A47&gt;=0,I$5-$A47&lt;=19),INDEX(HU_ord,I$5-$A47+1)*$B47,0)</f>
        <v>0.0</v>
      </c>
      <c r="J47" s="14">
        <f>IF(AND(J$5-$A47&gt;=0,J$5-$A47&lt;=19),INDEX(HU_ord,J$5-$A47+1)*$B47,0)</f>
        <v>0.0</v>
      </c>
      <c r="K47" s="14">
        <f>IF(AND(K$5-$A47&gt;=0,K$5-$A47&lt;=19),INDEX(HU_ord,K$5-$A47+1)*$B47,0)</f>
        <v>0.0</v>
      </c>
      <c r="L47" s="14">
        <f>IF(AND(L$5-$A47&gt;=0,L$5-$A47&lt;=19),INDEX(HU_ord,L$5-$A47+1)*$B47,0)</f>
        <v>0.0</v>
      </c>
      <c r="M47" s="14">
        <f>IF(AND(M$5-$A47&gt;=0,M$5-$A47&lt;=19),INDEX(HU_ord,M$5-$A47+1)*$B47,0)</f>
        <v>0.0</v>
      </c>
      <c r="N47" s="14">
        <f>IF(AND(N$5-$A47&gt;=0,N$5-$A47&lt;=19),INDEX(HU_ord,N$5-$A47+1)*$B47,0)</f>
        <v>0.0</v>
      </c>
      <c r="O47" s="14">
        <f>IF(AND(O$5-$A47&gt;=0,O$5-$A47&lt;=19),INDEX(HU_ord,O$5-$A47+1)*$B47,0)</f>
        <v>0.0</v>
      </c>
      <c r="P47" s="14">
        <f>IF(AND(P$5-$A47&gt;=0,P$5-$A47&lt;=19),INDEX(HU_ord,P$5-$A47+1)*$B47,0)</f>
        <v>0.0</v>
      </c>
      <c r="Q47" s="14">
        <f>IF(AND(Q$5-$A47&gt;=0,Q$5-$A47&lt;=19),INDEX(HU_ord,Q$5-$A47+1)*$B47,0)</f>
        <v>0.0</v>
      </c>
      <c r="R47" s="14">
        <f>IF(AND(R$5-$A47&gt;=0,R$5-$A47&lt;=19),INDEX(HU_ord,R$5-$A47+1)*$B47,0)</f>
        <v>0.0</v>
      </c>
      <c r="S47" s="14">
        <f>IF(AND(S$5-$A47&gt;=0,S$5-$A47&lt;=19),INDEX(HU_ord,S$5-$A47+1)*$B47,0)</f>
        <v>0.0</v>
      </c>
      <c r="T47" s="14">
        <f>IF(AND(T$5-$A47&gt;=0,T$5-$A47&lt;=19),INDEX(HU_ord,T$5-$A47+1)*$B47,0)</f>
        <v>0.0</v>
      </c>
      <c r="U47" s="14">
        <f>IF(AND(U$5-$A47&gt;=0,U$5-$A47&lt;=19),INDEX(HU_ord,U$5-$A47+1)*$B47,0)</f>
        <v>0.0</v>
      </c>
      <c r="V47" s="14">
        <f>IF(AND(V$5-$A47&gt;=0,V$5-$A47&lt;=19),INDEX(HU_ord,V$5-$A47+1)*$B47,0)</f>
        <v>0.0</v>
      </c>
      <c r="W47" s="14">
        <f>IF(AND(W$5-$A47&gt;=0,W$5-$A47&lt;=19),INDEX(HU_ord,W$5-$A47+1)*$B47,0)</f>
        <v>0.0</v>
      </c>
      <c r="X47" s="14">
        <f>IF(AND(X$5-$A47&gt;=0,X$5-$A47&lt;=19),INDEX(HU_ord,X$5-$A47+1)*$B47,0)</f>
        <v>0.0</v>
      </c>
      <c r="Y47" s="14">
        <f>IF(AND(Y$5-$A47&gt;=0,Y$5-$A47&lt;=19),INDEX(HU_ord,Y$5-$A47+1)*$B47,0)</f>
        <v>0.0</v>
      </c>
      <c r="Z47" s="14">
        <f>IF(AND(Z$5-$A47&gt;=0,Z$5-$A47&lt;=19),INDEX(HU_ord,Z$5-$A47+1)*$B47,0)</f>
        <v>0.0</v>
      </c>
      <c r="AA47" s="14">
        <f>IF(AND(AA$5-$A47&gt;=0,AA$5-$A47&lt;=19),INDEX(HU_ord,AA$5-$A47+1)*$B47,0)</f>
        <v>0.0</v>
      </c>
      <c r="AB47" s="14">
        <f>IF(AND(AB$5-$A47&gt;=0,AB$5-$A47&lt;=19),INDEX(HU_ord,AB$5-$A47+1)*$B47,0)</f>
        <v>0.0</v>
      </c>
      <c r="AC47" s="14">
        <f>IF(AND(AC$5-$A47&gt;=0,AC$5-$A47&lt;=19),INDEX(HU_ord,AC$5-$A47+1)*$B47,0)</f>
        <v>0.0</v>
      </c>
      <c r="AD47" s="14">
        <f>IF(AND(AD$5-$A47&gt;=0,AD$5-$A47&lt;=19),INDEX(HU_ord,AD$5-$A47+1)*$B47,0)</f>
        <v>0.0</v>
      </c>
      <c r="AE47" s="14">
        <f>IF(AND(AE$5-$A47&gt;=0,AE$5-$A47&lt;=19),INDEX(HU_ord,AE$5-$A47+1)*$B47,0)</f>
        <v>0.0</v>
      </c>
      <c r="AF47" s="14">
        <f>IF(AND(AF$5-$A47&gt;=0,AF$5-$A47&lt;=19),INDEX(HU_ord,AF$5-$A47+1)*$B47,0)</f>
        <v>0.0</v>
      </c>
      <c r="AG47" s="14">
        <f>IF(AND(AG$5-$A47&gt;=0,AG$5-$A47&lt;=19),INDEX(HU_ord,AG$5-$A47+1)*$B47,0)</f>
        <v>0.0</v>
      </c>
      <c r="AH47" s="14">
        <f>IF(AND(AH$5-$A47&gt;=0,AH$5-$A47&lt;=19),INDEX(HU_ord,AH$5-$A47+1)*$B47,0)</f>
        <v>0.0</v>
      </c>
      <c r="AI47" s="14">
        <f>IF(AND(AI$5-$A47&gt;=0,AI$5-$A47&lt;=19),INDEX(HU_ord,AI$5-$A47+1)*$B47,0)</f>
        <v>0.0</v>
      </c>
      <c r="AJ47" s="14">
        <f>IF(AND(AJ$5-$A47&gt;=0,AJ$5-$A47&lt;=19),INDEX(HU_ord,AJ$5-$A47+1)*$B47,0)</f>
        <v>0.0</v>
      </c>
      <c r="AK47" s="14">
        <f>IF(AND(AK$5-$A47&gt;=0,AK$5-$A47&lt;=19),INDEX(HU_ord,AK$5-$A47+1)*$B47,0)</f>
        <v>0.0</v>
      </c>
      <c r="AL47" s="14">
        <f>IF(AND(AL$5-$A47&gt;=0,AL$5-$A47&lt;=19),INDEX(HU_ord,AL$5-$A47+1)*$B47,0)</f>
        <v>0.0</v>
      </c>
      <c r="AM47" s="14">
        <f>IF(AND(AM$5-$A47&gt;=0,AM$5-$A47&lt;=19),INDEX(HU_ord,AM$5-$A47+1)*$B47,0)</f>
        <v>0.0</v>
      </c>
      <c r="AN47" s="14">
        <f>IF(AND(AN$5-$A47&gt;=0,AN$5-$A47&lt;=19),INDEX(HU_ord,AN$5-$A47+1)*$B47,0)</f>
        <v>0.0</v>
      </c>
      <c r="AO47" s="14">
        <f>IF(AND(AO$5-$A47&gt;=0,AO$5-$A47&lt;=19),INDEX(HU_ord,AO$5-$A47+1)*$B47,0)</f>
        <v>0.0</v>
      </c>
      <c r="AP47" s="14">
        <f>IF(AND(AP$5-$A47&gt;=0,AP$5-$A47&lt;=19),INDEX(HU_ord,AP$5-$A47+1)*$B47,0)</f>
        <v>0.0</v>
      </c>
      <c r="AQ47" s="14">
        <f>IF(AND(AQ$5-$A47&gt;=0,AQ$5-$A47&lt;=19),INDEX(HU_ord,AQ$5-$A47+1)*$B47,0)</f>
        <v>0.0</v>
      </c>
      <c r="AR47" s="14">
        <f>IF(AND(AR$5-$A47&gt;=0,AR$5-$A47&lt;=19),INDEX(HU_ord,AR$5-$A47+1)*$B47,0)</f>
        <v>0.0</v>
      </c>
      <c r="AS47" s="14">
        <f>IF(AND(AS$5-$A47&gt;=0,AS$5-$A47&lt;=19),INDEX(HU_ord,AS$5-$A47+1)*$B47,0)</f>
        <v>0.0</v>
      </c>
      <c r="AT47" s="14">
        <f>IF(AND(AT$5-$A47&gt;=0,AT$5-$A47&lt;=19),INDEX(HU_ord,AT$5-$A47+1)*$B47,0)</f>
        <v>0.0</v>
      </c>
      <c r="AU47" s="14">
        <f>IF(AND(AU$5-$A47&gt;=0,AU$5-$A47&lt;=19),INDEX(HU_ord,AU$5-$A47+1)*$B47,0)</f>
        <v>0.0</v>
      </c>
      <c r="AV47" s="14">
        <f>IF(AND(AV$5-$A47&gt;=0,AV$5-$A47&lt;=19),INDEX(HU_ord,AV$5-$A47+1)*$B47,0)</f>
        <v>0.0</v>
      </c>
      <c r="AW47" s="14">
        <f>IF(AND(AW$5-$A47&gt;=0,AW$5-$A47&lt;=19),INDEX(HU_ord,AW$5-$A47+1)*$B47,0)</f>
        <v>0.0</v>
      </c>
      <c r="AX47" s="14">
        <f>IF(AND(AX$5-$A47&gt;=0,AX$5-$A47&lt;=19),INDEX(HU_ord,AX$5-$A47+1)*$B47,0)</f>
        <v>0.0</v>
      </c>
      <c r="AY47" s="14">
        <f>IF(AND(AY$5-$A47&gt;=0,AY$5-$A47&lt;=19),INDEX(HU_ord,AY$5-$A47+1)*$B47,0)</f>
        <v>0.0</v>
      </c>
      <c r="AZ47" s="14">
        <f>IF(AND(AZ$5-$A47&gt;=0,AZ$5-$A47&lt;=19),INDEX(HU_ord,AZ$5-$A47+1)*$B47,0)</f>
        <v>0.0</v>
      </c>
      <c r="BA47" s="14">
        <f>IF(AND(BA$5-$A47&gt;=0,BA$5-$A47&lt;=19),INDEX(HU_ord,BA$5-$A47+1)*$B47,0)</f>
        <v>0.0</v>
      </c>
      <c r="BB47" s="14">
        <f>IF(AND(BB$5-$A47&gt;=0,BB$5-$A47&lt;=19),INDEX(HU_ord,BB$5-$A47+1)*$B47,0)</f>
        <v>0.0</v>
      </c>
      <c r="BC47" s="14">
        <f>IF(AND(BC$5-$A47&gt;=0,BC$5-$A47&lt;=19),INDEX(HU_ord,BC$5-$A47+1)*$B47,0)</f>
        <v>0.0</v>
      </c>
      <c r="BD47" s="14">
        <f>IF(AND(BD$5-$A47&gt;=0,BD$5-$A47&lt;=19),INDEX(HU_ord,BD$5-$A47+1)*$B47,0)</f>
        <v>0.0</v>
      </c>
      <c r="BE47" s="14">
        <f>IF(AND(BE$5-$A47&gt;=0,BE$5-$A47&lt;=19),INDEX(HU_ord,BE$5-$A47+1)*$B47,0)</f>
        <v>0.0</v>
      </c>
      <c r="BF47" s="14">
        <f>IF(AND(BF$5-$A47&gt;=0,BF$5-$A47&lt;=19),INDEX(HU_ord,BF$5-$A47+1)*$B47,0)</f>
        <v>0.0</v>
      </c>
      <c r="BG47" s="14">
        <f>IF(AND(BG$5-$A47&gt;=0,BG$5-$A47&lt;=19),INDEX(HU_ord,BG$5-$A47+1)*$B47,0)</f>
        <v>0.0</v>
      </c>
      <c r="BH47" s="14">
        <f>IF(AND(BH$5-$A47&gt;=0,BH$5-$A47&lt;=19),INDEX(HU_ord,BH$5-$A47+1)*$B47,0)</f>
        <v>0.0</v>
      </c>
      <c r="BI47" s="14">
        <f>IF(AND(BI$5-$A47&gt;=0,BI$5-$A47&lt;=19),INDEX(HU_ord,BI$5-$A47+1)*$B47,0)</f>
        <v>0.0</v>
      </c>
      <c r="BJ47" s="14">
        <f>IF(AND(BJ$5-$A47&gt;=0,BJ$5-$A47&lt;=19),INDEX(HU_ord,BJ$5-$A47+1)*$B47,0)</f>
        <v>0.0</v>
      </c>
      <c r="BK47" s="14">
        <f>IF(AND(BK$5-$A47&gt;=0,BK$5-$A47&lt;=19),INDEX(HU_ord,BK$5-$A47+1)*$B47,0)</f>
        <v>0.0</v>
      </c>
      <c r="BL47" s="14">
        <f>IF(AND(BL$5-$A47&gt;=0,BL$5-$A47&lt;=19),INDEX(HU_ord,BL$5-$A47+1)*$B47,0)</f>
        <v>0.0</v>
      </c>
      <c r="BM47" s="14">
        <f>IF(AND(BM$5-$A47&gt;=0,BM$5-$A47&lt;=19),INDEX(HU_ord,BM$5-$A47+1)*$B47,0)</f>
        <v>0.0</v>
      </c>
      <c r="BN47" s="14">
        <f>IF(AND(BN$5-$A47&gt;=0,BN$5-$A47&lt;=19),INDEX(HU_ord,BN$5-$A47+1)*$B47,0)</f>
        <v>0.0</v>
      </c>
      <c r="BO47" s="14">
        <f>IF(AND(BO$5-$A47&gt;=0,BO$5-$A47&lt;=19),INDEX(HU_ord,BO$5-$A47+1)*$B47,0)</f>
        <v>0.0</v>
      </c>
      <c r="BP47" s="14">
        <f>IF(AND(BP$5-$A47&gt;=0,BP$5-$A47&lt;=19),INDEX(HU_ord,BP$5-$A47+1)*$B47,0)</f>
        <v>0.0</v>
      </c>
      <c r="BQ47" s="14">
        <f>IF(AND(BQ$5-$A47&gt;=0,BQ$5-$A47&lt;=19),INDEX(HU_ord,BQ$5-$A47+1)*$B47,0)</f>
        <v>0.0</v>
      </c>
      <c r="BR47" s="14">
        <f>IF(AND(BR$5-$A47&gt;=0,BR$5-$A47&lt;=19),INDEX(HU_ord,BR$5-$A47+1)*$B47,0)</f>
        <v>0.0</v>
      </c>
      <c r="BS47" s="14">
        <f>IF(AND(BS$5-$A47&gt;=0,BS$5-$A47&lt;=19),INDEX(HU_ord,BS$5-$A47+1)*$B47,0)</f>
        <v>0.0</v>
      </c>
      <c r="BT47" s="14">
        <f>IF(AND(BT$5-$A47&gt;=0,BT$5-$A47&lt;=19),INDEX(HU_ord,BT$5-$A47+1)*$B47,0)</f>
        <v>0.0</v>
      </c>
      <c r="BU47" s="14">
        <f>IF(AND(BU$5-$A47&gt;=0,BU$5-$A47&lt;=19),INDEX(HU_ord,BU$5-$A47+1)*$B47,0)</f>
        <v>0.0</v>
      </c>
      <c r="BV47" s="14">
        <f>IF(AND(BV$5-$A47&gt;=0,BV$5-$A47&lt;=19),INDEX(HU_ord,BV$5-$A47+1)*$B47,0)</f>
        <v>0.0</v>
      </c>
      <c r="BW47" s="14">
        <f>IF(AND(BW$5-$A47&gt;=0,BW$5-$A47&lt;=19),INDEX(HU_ord,BW$5-$A47+1)*$B47,0)</f>
        <v>0.0</v>
      </c>
      <c r="BX47" s="14">
        <f>IF(AND(BX$5-$A47&gt;=0,BX$5-$A47&lt;=19),INDEX(HU_ord,BX$5-$A47+1)*$B47,0)</f>
        <v>0.0</v>
      </c>
      <c r="BY47" s="14">
        <f>IF(AND(BY$5-$A47&gt;=0,BY$5-$A47&lt;=19),INDEX(HU_ord,BY$5-$A47+1)*$B47,0)</f>
        <v>0.0</v>
      </c>
      <c r="BZ47" s="14">
        <f>IF(AND(BZ$5-$A47&gt;=0,BZ$5-$A47&lt;=19),INDEX(HU_ord,BZ$5-$A47+1)*$B47,0)</f>
        <v>0.0</v>
      </c>
      <c r="CA47" s="14">
        <f>IF(AND(CA$5-$A47&gt;=0,CA$5-$A47&lt;=19),INDEX(HU_ord,CA$5-$A47+1)*$B47,0)</f>
        <v>0.0</v>
      </c>
      <c r="CB47" s="14">
        <f>IF(AND(CB$5-$A47&gt;=0,CB$5-$A47&lt;=19),INDEX(HU_ord,CB$5-$A47+1)*$B47,0)</f>
        <v>0.0</v>
      </c>
      <c r="CC47" s="14">
        <f>IF(AND(CC$5-$A47&gt;=0,CC$5-$A47&lt;=19),INDEX(HU_ord,CC$5-$A47+1)*$B47,0)</f>
        <v>0.0</v>
      </c>
      <c r="CD47" s="14">
        <f>IF(AND(CD$5-$A47&gt;=0,CD$5-$A47&lt;=19),INDEX(HU_ord,CD$5-$A47+1)*$B47,0)</f>
        <v>0.0</v>
      </c>
      <c r="CE47" s="14">
        <f>IF(AND(CE$5-$A47&gt;=0,CE$5-$A47&lt;=19),INDEX(HU_ord,CE$5-$A47+1)*$B47,0)</f>
        <v>0.0</v>
      </c>
      <c r="CF47" s="14">
        <f>IF(AND(CF$5-$A47&gt;=0,CF$5-$A47&lt;=19),INDEX(HU_ord,CF$5-$A47+1)*$B47,0)</f>
        <v>0.0</v>
      </c>
      <c r="CG47" s="14">
        <f>IF(AND(CG$5-$A47&gt;=0,CG$5-$A47&lt;=19),INDEX(HU_ord,CG$5-$A47+1)*$B47,0)</f>
        <v>0.0</v>
      </c>
      <c r="CH47" s="14">
        <f>IF(AND(CH$5-$A47&gt;=0,CH$5-$A47&lt;=19),INDEX(HU_ord,CH$5-$A47+1)*$B47,0)</f>
        <v>0.0</v>
      </c>
      <c r="CI47" s="14">
        <f>IF(AND(CI$5-$A47&gt;=0,CI$5-$A47&lt;=19),INDEX(HU_ord,CI$5-$A47+1)*$B47,0)</f>
        <v>0.0</v>
      </c>
      <c r="CJ47" s="14">
        <f>IF(AND(CJ$5-$A47&gt;=0,CJ$5-$A47&lt;=19),INDEX(HU_ord,CJ$5-$A47+1)*$B47,0)</f>
        <v>0.0</v>
      </c>
      <c r="CK47" s="14">
        <f>IF(AND(CK$5-$A47&gt;=0,CK$5-$A47&lt;=19),INDEX(HU_ord,CK$5-$A47+1)*$B47,0)</f>
        <v>0.0</v>
      </c>
      <c r="CL47" s="14">
        <f>IF(AND(CL$5-$A47&gt;=0,CL$5-$A47&lt;=19),INDEX(HU_ord,CL$5-$A47+1)*$B47,0)</f>
        <v>0.0</v>
      </c>
      <c r="CM47" s="14">
        <f>IF(AND(CM$5-$A47&gt;=0,CM$5-$A47&lt;=19),INDEX(HU_ord,CM$5-$A47+1)*$B47,0)</f>
        <v>0.0</v>
      </c>
      <c r="CN47" s="14">
        <f>IF(AND(CN$5-$A47&gt;=0,CN$5-$A47&lt;=19),INDEX(HU_ord,CN$5-$A47+1)*$B47,0)</f>
        <v>0.0</v>
      </c>
      <c r="CO47" s="14">
        <f>IF(AND(CO$5-$A47&gt;=0,CO$5-$A47&lt;=19),INDEX(HU_ord,CO$5-$A47+1)*$B47,0)</f>
        <v>0.0</v>
      </c>
      <c r="CP47" s="14">
        <f>IF(AND(CP$5-$A47&gt;=0,CP$5-$A47&lt;=19),INDEX(HU_ord,CP$5-$A47+1)*$B47,0)</f>
        <v>0.0</v>
      </c>
      <c r="CQ47" s="14">
        <f>IF(AND(CQ$5-$A47&gt;=0,CQ$5-$A47&lt;=19),INDEX(HU_ord,CQ$5-$A47+1)*$B47,0)</f>
        <v>0.0</v>
      </c>
      <c r="CR47" s="14">
        <f>IF(AND(CR$5-$A47&gt;=0,CR$5-$A47&lt;=19),INDEX(HU_ord,CR$5-$A47+1)*$B47,0)</f>
        <v>0.0</v>
      </c>
      <c r="CS47" s="14">
        <f>IF(AND(CS$5-$A47&gt;=0,CS$5-$A47&lt;=19),INDEX(HU_ord,CS$5-$A47+1)*$B47,0)</f>
        <v>0.0</v>
      </c>
      <c r="CT47" s="14">
        <f>IF(AND(CT$5-$A47&gt;=0,CT$5-$A47&lt;=19),INDEX(HU_ord,CT$5-$A47+1)*$B47,0)</f>
        <v>0.0</v>
      </c>
      <c r="CU47" s="14">
        <f>IF(AND(CU$5-$A47&gt;=0,CU$5-$A47&lt;=19),INDEX(HU_ord,CU$5-$A47+1)*$B47,0)</f>
        <v>0.0</v>
      </c>
      <c r="CV47" s="14">
        <f>IF(AND(CV$5-$A47&gt;=0,CV$5-$A47&lt;=19),INDEX(HU_ord,CV$5-$A47+1)*$B47,0)</f>
        <v>0.0</v>
      </c>
      <c r="CW47" s="14">
        <f>IF(AND(CW$5-$A47&gt;=0,CW$5-$A47&lt;=19),INDEX(HU_ord,CW$5-$A47+1)*$B47,0)</f>
        <v>0.0</v>
      </c>
      <c r="CX47" s="14">
        <f>IF(AND(CX$5-$A47&gt;=0,CX$5-$A47&lt;=19),INDEX(HU_ord,CX$5-$A47+1)*$B47,0)</f>
        <v>0.0</v>
      </c>
      <c r="CY47" s="14">
        <f>IF(AND(CY$5-$A47&gt;=0,CY$5-$A47&lt;=19),INDEX(HU_ord,CY$5-$A47+1)*$B47,0)</f>
        <v>0.0</v>
      </c>
      <c r="CZ47" s="14">
        <f>IF(AND(CZ$5-$A47&gt;=0,CZ$5-$A47&lt;=19),INDEX(HU_ord,CZ$5-$A47+1)*$B47,0)</f>
        <v>0.0</v>
      </c>
      <c r="DA47" s="14">
        <f>IF(AND(DA$5-$A47&gt;=0,DA$5-$A47&lt;=19),INDEX(HU_ord,DA$5-$A47+1)*$B47,0)</f>
        <v>0.0</v>
      </c>
      <c r="DB47" s="14">
        <f>IF(AND(DB$5-$A47&gt;=0,DB$5-$A47&lt;=19),INDEX(HU_ord,DB$5-$A47+1)*$B47,0)</f>
        <v>0.0</v>
      </c>
      <c r="DC47" s="14">
        <f>IF(AND(DC$5-$A47&gt;=0,DC$5-$A47&lt;=19),INDEX(HU_ord,DC$5-$A47+1)*$B47,0)</f>
        <v>0.0</v>
      </c>
      <c r="DD47" s="14">
        <f>IF(AND(DD$5-$A47&gt;=0,DD$5-$A47&lt;=19),INDEX(HU_ord,DD$5-$A47+1)*$B47,0)</f>
        <v>0.0</v>
      </c>
      <c r="DE47" s="14">
        <f>IF(AND(DE$5-$A47&gt;=0,DE$5-$A47&lt;=19),INDEX(HU_ord,DE$5-$A47+1)*$B47,0)</f>
        <v>0.0</v>
      </c>
      <c r="DF47" s="14">
        <f>IF(AND(DF$5-$A47&gt;=0,DF$5-$A47&lt;=19),INDEX(HU_ord,DF$5-$A47+1)*$B47,0)</f>
        <v>0.0</v>
      </c>
      <c r="DG47" s="14">
        <f>IF(AND(DG$5-$A47&gt;=0,DG$5-$A47&lt;=19),INDEX(HU_ord,DG$5-$A47+1)*$B47,0)</f>
        <v>0.0</v>
      </c>
      <c r="DH47" s="14">
        <f>IF(AND(DH$5-$A47&gt;=0,DH$5-$A47&lt;=19),INDEX(HU_ord,DH$5-$A47+1)*$B47,0)</f>
        <v>0.0</v>
      </c>
      <c r="DI47" s="14">
        <f>IF(AND(DI$5-$A47&gt;=0,DI$5-$A47&lt;=19),INDEX(HU_ord,DI$5-$A47+1)*$B47,0)</f>
        <v>0.0</v>
      </c>
    </row>
    <row r="48" spans="1:113">
      <c r="A48">
        <v>42</v>
      </c>
      <c r="B48" s="10">
        <f>Serie_horaria!N44</f>
        <v>0.0</v>
      </c>
      <c r="C48" s="14">
        <f>IF(AND(C$5-$A48&gt;=0,C$5-$A48&lt;=19),INDEX(HU_ord,C$5-$A48+1)*$B48,0)</f>
        <v>0.0</v>
      </c>
      <c r="D48" s="14">
        <f>IF(AND(D$5-$A48&gt;=0,D$5-$A48&lt;=19),INDEX(HU_ord,D$5-$A48+1)*$B48,0)</f>
        <v>0.0</v>
      </c>
      <c r="E48" s="14">
        <f>IF(AND(E$5-$A48&gt;=0,E$5-$A48&lt;=19),INDEX(HU_ord,E$5-$A48+1)*$B48,0)</f>
        <v>0.0</v>
      </c>
      <c r="F48" s="14">
        <f>IF(AND(F$5-$A48&gt;=0,F$5-$A48&lt;=19),INDEX(HU_ord,F$5-$A48+1)*$B48,0)</f>
        <v>0.0</v>
      </c>
      <c r="G48" s="14">
        <f>IF(AND(G$5-$A48&gt;=0,G$5-$A48&lt;=19),INDEX(HU_ord,G$5-$A48+1)*$B48,0)</f>
        <v>0.0</v>
      </c>
      <c r="H48" s="14">
        <f>IF(AND(H$5-$A48&gt;=0,H$5-$A48&lt;=19),INDEX(HU_ord,H$5-$A48+1)*$B48,0)</f>
        <v>0.0</v>
      </c>
      <c r="I48" s="14">
        <f>IF(AND(I$5-$A48&gt;=0,I$5-$A48&lt;=19),INDEX(HU_ord,I$5-$A48+1)*$B48,0)</f>
        <v>0.0</v>
      </c>
      <c r="J48" s="14">
        <f>IF(AND(J$5-$A48&gt;=0,J$5-$A48&lt;=19),INDEX(HU_ord,J$5-$A48+1)*$B48,0)</f>
        <v>0.0</v>
      </c>
      <c r="K48" s="14">
        <f>IF(AND(K$5-$A48&gt;=0,K$5-$A48&lt;=19),INDEX(HU_ord,K$5-$A48+1)*$B48,0)</f>
        <v>0.0</v>
      </c>
      <c r="L48" s="14">
        <f>IF(AND(L$5-$A48&gt;=0,L$5-$A48&lt;=19),INDEX(HU_ord,L$5-$A48+1)*$B48,0)</f>
        <v>0.0</v>
      </c>
      <c r="M48" s="14">
        <f>IF(AND(M$5-$A48&gt;=0,M$5-$A48&lt;=19),INDEX(HU_ord,M$5-$A48+1)*$B48,0)</f>
        <v>0.0</v>
      </c>
      <c r="N48" s="14">
        <f>IF(AND(N$5-$A48&gt;=0,N$5-$A48&lt;=19),INDEX(HU_ord,N$5-$A48+1)*$B48,0)</f>
        <v>0.0</v>
      </c>
      <c r="O48" s="14">
        <f>IF(AND(O$5-$A48&gt;=0,O$5-$A48&lt;=19),INDEX(HU_ord,O$5-$A48+1)*$B48,0)</f>
        <v>0.0</v>
      </c>
      <c r="P48" s="14">
        <f>IF(AND(P$5-$A48&gt;=0,P$5-$A48&lt;=19),INDEX(HU_ord,P$5-$A48+1)*$B48,0)</f>
        <v>0.0</v>
      </c>
      <c r="Q48" s="14">
        <f>IF(AND(Q$5-$A48&gt;=0,Q$5-$A48&lt;=19),INDEX(HU_ord,Q$5-$A48+1)*$B48,0)</f>
        <v>0.0</v>
      </c>
      <c r="R48" s="14">
        <f>IF(AND(R$5-$A48&gt;=0,R$5-$A48&lt;=19),INDEX(HU_ord,R$5-$A48+1)*$B48,0)</f>
        <v>0.0</v>
      </c>
      <c r="S48" s="14">
        <f>IF(AND(S$5-$A48&gt;=0,S$5-$A48&lt;=19),INDEX(HU_ord,S$5-$A48+1)*$B48,0)</f>
        <v>0.0</v>
      </c>
      <c r="T48" s="14">
        <f>IF(AND(T$5-$A48&gt;=0,T$5-$A48&lt;=19),INDEX(HU_ord,T$5-$A48+1)*$B48,0)</f>
        <v>0.0</v>
      </c>
      <c r="U48" s="14">
        <f>IF(AND(U$5-$A48&gt;=0,U$5-$A48&lt;=19),INDEX(HU_ord,U$5-$A48+1)*$B48,0)</f>
        <v>0.0</v>
      </c>
      <c r="V48" s="14">
        <f>IF(AND(V$5-$A48&gt;=0,V$5-$A48&lt;=19),INDEX(HU_ord,V$5-$A48+1)*$B48,0)</f>
        <v>0.0</v>
      </c>
      <c r="W48" s="14">
        <f>IF(AND(W$5-$A48&gt;=0,W$5-$A48&lt;=19),INDEX(HU_ord,W$5-$A48+1)*$B48,0)</f>
        <v>0.0</v>
      </c>
      <c r="X48" s="14">
        <f>IF(AND(X$5-$A48&gt;=0,X$5-$A48&lt;=19),INDEX(HU_ord,X$5-$A48+1)*$B48,0)</f>
        <v>0.0</v>
      </c>
      <c r="Y48" s="14">
        <f>IF(AND(Y$5-$A48&gt;=0,Y$5-$A48&lt;=19),INDEX(HU_ord,Y$5-$A48+1)*$B48,0)</f>
        <v>0.0</v>
      </c>
      <c r="Z48" s="14">
        <f>IF(AND(Z$5-$A48&gt;=0,Z$5-$A48&lt;=19),INDEX(HU_ord,Z$5-$A48+1)*$B48,0)</f>
        <v>0.0</v>
      </c>
      <c r="AA48" s="14">
        <f>IF(AND(AA$5-$A48&gt;=0,AA$5-$A48&lt;=19),INDEX(HU_ord,AA$5-$A48+1)*$B48,0)</f>
        <v>0.0</v>
      </c>
      <c r="AB48" s="14">
        <f>IF(AND(AB$5-$A48&gt;=0,AB$5-$A48&lt;=19),INDEX(HU_ord,AB$5-$A48+1)*$B48,0)</f>
        <v>0.0</v>
      </c>
      <c r="AC48" s="14">
        <f>IF(AND(AC$5-$A48&gt;=0,AC$5-$A48&lt;=19),INDEX(HU_ord,AC$5-$A48+1)*$B48,0)</f>
        <v>0.0</v>
      </c>
      <c r="AD48" s="14">
        <f>IF(AND(AD$5-$A48&gt;=0,AD$5-$A48&lt;=19),INDEX(HU_ord,AD$5-$A48+1)*$B48,0)</f>
        <v>0.0</v>
      </c>
      <c r="AE48" s="14">
        <f>IF(AND(AE$5-$A48&gt;=0,AE$5-$A48&lt;=19),INDEX(HU_ord,AE$5-$A48+1)*$B48,0)</f>
        <v>0.0</v>
      </c>
      <c r="AF48" s="14">
        <f>IF(AND(AF$5-$A48&gt;=0,AF$5-$A48&lt;=19),INDEX(HU_ord,AF$5-$A48+1)*$B48,0)</f>
        <v>0.0</v>
      </c>
      <c r="AG48" s="14">
        <f>IF(AND(AG$5-$A48&gt;=0,AG$5-$A48&lt;=19),INDEX(HU_ord,AG$5-$A48+1)*$B48,0)</f>
        <v>0.0</v>
      </c>
      <c r="AH48" s="14">
        <f>IF(AND(AH$5-$A48&gt;=0,AH$5-$A48&lt;=19),INDEX(HU_ord,AH$5-$A48+1)*$B48,0)</f>
        <v>0.0</v>
      </c>
      <c r="AI48" s="14">
        <f>IF(AND(AI$5-$A48&gt;=0,AI$5-$A48&lt;=19),INDEX(HU_ord,AI$5-$A48+1)*$B48,0)</f>
        <v>0.0</v>
      </c>
      <c r="AJ48" s="14">
        <f>IF(AND(AJ$5-$A48&gt;=0,AJ$5-$A48&lt;=19),INDEX(HU_ord,AJ$5-$A48+1)*$B48,0)</f>
        <v>0.0</v>
      </c>
      <c r="AK48" s="14">
        <f>IF(AND(AK$5-$A48&gt;=0,AK$5-$A48&lt;=19),INDEX(HU_ord,AK$5-$A48+1)*$B48,0)</f>
        <v>0.0</v>
      </c>
      <c r="AL48" s="14">
        <f>IF(AND(AL$5-$A48&gt;=0,AL$5-$A48&lt;=19),INDEX(HU_ord,AL$5-$A48+1)*$B48,0)</f>
        <v>0.0</v>
      </c>
      <c r="AM48" s="14">
        <f>IF(AND(AM$5-$A48&gt;=0,AM$5-$A48&lt;=19),INDEX(HU_ord,AM$5-$A48+1)*$B48,0)</f>
        <v>0.0</v>
      </c>
      <c r="AN48" s="14">
        <f>IF(AND(AN$5-$A48&gt;=0,AN$5-$A48&lt;=19),INDEX(HU_ord,AN$5-$A48+1)*$B48,0)</f>
        <v>0.0</v>
      </c>
      <c r="AO48" s="14">
        <f>IF(AND(AO$5-$A48&gt;=0,AO$5-$A48&lt;=19),INDEX(HU_ord,AO$5-$A48+1)*$B48,0)</f>
        <v>0.0</v>
      </c>
      <c r="AP48" s="14">
        <f>IF(AND(AP$5-$A48&gt;=0,AP$5-$A48&lt;=19),INDEX(HU_ord,AP$5-$A48+1)*$B48,0)</f>
        <v>0.0</v>
      </c>
      <c r="AQ48" s="14">
        <f>IF(AND(AQ$5-$A48&gt;=0,AQ$5-$A48&lt;=19),INDEX(HU_ord,AQ$5-$A48+1)*$B48,0)</f>
        <v>0.0</v>
      </c>
      <c r="AR48" s="14">
        <f>IF(AND(AR$5-$A48&gt;=0,AR$5-$A48&lt;=19),INDEX(HU_ord,AR$5-$A48+1)*$B48,0)</f>
        <v>0.0</v>
      </c>
      <c r="AS48" s="14">
        <f>IF(AND(AS$5-$A48&gt;=0,AS$5-$A48&lt;=19),INDEX(HU_ord,AS$5-$A48+1)*$B48,0)</f>
        <v>0.0</v>
      </c>
      <c r="AT48" s="14">
        <f>IF(AND(AT$5-$A48&gt;=0,AT$5-$A48&lt;=19),INDEX(HU_ord,AT$5-$A48+1)*$B48,0)</f>
        <v>0.0</v>
      </c>
      <c r="AU48" s="14">
        <f>IF(AND(AU$5-$A48&gt;=0,AU$5-$A48&lt;=19),INDEX(HU_ord,AU$5-$A48+1)*$B48,0)</f>
        <v>0.0</v>
      </c>
      <c r="AV48" s="14">
        <f>IF(AND(AV$5-$A48&gt;=0,AV$5-$A48&lt;=19),INDEX(HU_ord,AV$5-$A48+1)*$B48,0)</f>
        <v>0.0</v>
      </c>
      <c r="AW48" s="14">
        <f>IF(AND(AW$5-$A48&gt;=0,AW$5-$A48&lt;=19),INDEX(HU_ord,AW$5-$A48+1)*$B48,0)</f>
        <v>0.0</v>
      </c>
      <c r="AX48" s="14">
        <f>IF(AND(AX$5-$A48&gt;=0,AX$5-$A48&lt;=19),INDEX(HU_ord,AX$5-$A48+1)*$B48,0)</f>
        <v>0.0</v>
      </c>
      <c r="AY48" s="14">
        <f>IF(AND(AY$5-$A48&gt;=0,AY$5-$A48&lt;=19),INDEX(HU_ord,AY$5-$A48+1)*$B48,0)</f>
        <v>0.0</v>
      </c>
      <c r="AZ48" s="14">
        <f>IF(AND(AZ$5-$A48&gt;=0,AZ$5-$A48&lt;=19),INDEX(HU_ord,AZ$5-$A48+1)*$B48,0)</f>
        <v>0.0</v>
      </c>
      <c r="BA48" s="14">
        <f>IF(AND(BA$5-$A48&gt;=0,BA$5-$A48&lt;=19),INDEX(HU_ord,BA$5-$A48+1)*$B48,0)</f>
        <v>0.0</v>
      </c>
      <c r="BB48" s="14">
        <f>IF(AND(BB$5-$A48&gt;=0,BB$5-$A48&lt;=19),INDEX(HU_ord,BB$5-$A48+1)*$B48,0)</f>
        <v>0.0</v>
      </c>
      <c r="BC48" s="14">
        <f>IF(AND(BC$5-$A48&gt;=0,BC$5-$A48&lt;=19),INDEX(HU_ord,BC$5-$A48+1)*$B48,0)</f>
        <v>0.0</v>
      </c>
      <c r="BD48" s="14">
        <f>IF(AND(BD$5-$A48&gt;=0,BD$5-$A48&lt;=19),INDEX(HU_ord,BD$5-$A48+1)*$B48,0)</f>
        <v>0.0</v>
      </c>
      <c r="BE48" s="14">
        <f>IF(AND(BE$5-$A48&gt;=0,BE$5-$A48&lt;=19),INDEX(HU_ord,BE$5-$A48+1)*$B48,0)</f>
        <v>0.0</v>
      </c>
      <c r="BF48" s="14">
        <f>IF(AND(BF$5-$A48&gt;=0,BF$5-$A48&lt;=19),INDEX(HU_ord,BF$5-$A48+1)*$B48,0)</f>
        <v>0.0</v>
      </c>
      <c r="BG48" s="14">
        <f>IF(AND(BG$5-$A48&gt;=0,BG$5-$A48&lt;=19),INDEX(HU_ord,BG$5-$A48+1)*$B48,0)</f>
        <v>0.0</v>
      </c>
      <c r="BH48" s="14">
        <f>IF(AND(BH$5-$A48&gt;=0,BH$5-$A48&lt;=19),INDEX(HU_ord,BH$5-$A48+1)*$B48,0)</f>
        <v>0.0</v>
      </c>
      <c r="BI48" s="14">
        <f>IF(AND(BI$5-$A48&gt;=0,BI$5-$A48&lt;=19),INDEX(HU_ord,BI$5-$A48+1)*$B48,0)</f>
        <v>0.0</v>
      </c>
      <c r="BJ48" s="14">
        <f>IF(AND(BJ$5-$A48&gt;=0,BJ$5-$A48&lt;=19),INDEX(HU_ord,BJ$5-$A48+1)*$B48,0)</f>
        <v>0.0</v>
      </c>
      <c r="BK48" s="14">
        <f>IF(AND(BK$5-$A48&gt;=0,BK$5-$A48&lt;=19),INDEX(HU_ord,BK$5-$A48+1)*$B48,0)</f>
        <v>0.0</v>
      </c>
      <c r="BL48" s="14">
        <f>IF(AND(BL$5-$A48&gt;=0,BL$5-$A48&lt;=19),INDEX(HU_ord,BL$5-$A48+1)*$B48,0)</f>
        <v>0.0</v>
      </c>
      <c r="BM48" s="14">
        <f>IF(AND(BM$5-$A48&gt;=0,BM$5-$A48&lt;=19),INDEX(HU_ord,BM$5-$A48+1)*$B48,0)</f>
        <v>0.0</v>
      </c>
      <c r="BN48" s="14">
        <f>IF(AND(BN$5-$A48&gt;=0,BN$5-$A48&lt;=19),INDEX(HU_ord,BN$5-$A48+1)*$B48,0)</f>
        <v>0.0</v>
      </c>
      <c r="BO48" s="14">
        <f>IF(AND(BO$5-$A48&gt;=0,BO$5-$A48&lt;=19),INDEX(HU_ord,BO$5-$A48+1)*$B48,0)</f>
        <v>0.0</v>
      </c>
      <c r="BP48" s="14">
        <f>IF(AND(BP$5-$A48&gt;=0,BP$5-$A48&lt;=19),INDEX(HU_ord,BP$5-$A48+1)*$B48,0)</f>
        <v>0.0</v>
      </c>
      <c r="BQ48" s="14">
        <f>IF(AND(BQ$5-$A48&gt;=0,BQ$5-$A48&lt;=19),INDEX(HU_ord,BQ$5-$A48+1)*$B48,0)</f>
        <v>0.0</v>
      </c>
      <c r="BR48" s="14">
        <f>IF(AND(BR$5-$A48&gt;=0,BR$5-$A48&lt;=19),INDEX(HU_ord,BR$5-$A48+1)*$B48,0)</f>
        <v>0.0</v>
      </c>
      <c r="BS48" s="14">
        <f>IF(AND(BS$5-$A48&gt;=0,BS$5-$A48&lt;=19),INDEX(HU_ord,BS$5-$A48+1)*$B48,0)</f>
        <v>0.0</v>
      </c>
      <c r="BT48" s="14">
        <f>IF(AND(BT$5-$A48&gt;=0,BT$5-$A48&lt;=19),INDEX(HU_ord,BT$5-$A48+1)*$B48,0)</f>
        <v>0.0</v>
      </c>
      <c r="BU48" s="14">
        <f>IF(AND(BU$5-$A48&gt;=0,BU$5-$A48&lt;=19),INDEX(HU_ord,BU$5-$A48+1)*$B48,0)</f>
        <v>0.0</v>
      </c>
      <c r="BV48" s="14">
        <f>IF(AND(BV$5-$A48&gt;=0,BV$5-$A48&lt;=19),INDEX(HU_ord,BV$5-$A48+1)*$B48,0)</f>
        <v>0.0</v>
      </c>
      <c r="BW48" s="14">
        <f>IF(AND(BW$5-$A48&gt;=0,BW$5-$A48&lt;=19),INDEX(HU_ord,BW$5-$A48+1)*$B48,0)</f>
        <v>0.0</v>
      </c>
      <c r="BX48" s="14">
        <f>IF(AND(BX$5-$A48&gt;=0,BX$5-$A48&lt;=19),INDEX(HU_ord,BX$5-$A48+1)*$B48,0)</f>
        <v>0.0</v>
      </c>
      <c r="BY48" s="14">
        <f>IF(AND(BY$5-$A48&gt;=0,BY$5-$A48&lt;=19),INDEX(HU_ord,BY$5-$A48+1)*$B48,0)</f>
        <v>0.0</v>
      </c>
      <c r="BZ48" s="14">
        <f>IF(AND(BZ$5-$A48&gt;=0,BZ$5-$A48&lt;=19),INDEX(HU_ord,BZ$5-$A48+1)*$B48,0)</f>
        <v>0.0</v>
      </c>
      <c r="CA48" s="14">
        <f>IF(AND(CA$5-$A48&gt;=0,CA$5-$A48&lt;=19),INDEX(HU_ord,CA$5-$A48+1)*$B48,0)</f>
        <v>0.0</v>
      </c>
      <c r="CB48" s="14">
        <f>IF(AND(CB$5-$A48&gt;=0,CB$5-$A48&lt;=19),INDEX(HU_ord,CB$5-$A48+1)*$B48,0)</f>
        <v>0.0</v>
      </c>
      <c r="CC48" s="14">
        <f>IF(AND(CC$5-$A48&gt;=0,CC$5-$A48&lt;=19),INDEX(HU_ord,CC$5-$A48+1)*$B48,0)</f>
        <v>0.0</v>
      </c>
      <c r="CD48" s="14">
        <f>IF(AND(CD$5-$A48&gt;=0,CD$5-$A48&lt;=19),INDEX(HU_ord,CD$5-$A48+1)*$B48,0)</f>
        <v>0.0</v>
      </c>
      <c r="CE48" s="14">
        <f>IF(AND(CE$5-$A48&gt;=0,CE$5-$A48&lt;=19),INDEX(HU_ord,CE$5-$A48+1)*$B48,0)</f>
        <v>0.0</v>
      </c>
      <c r="CF48" s="14">
        <f>IF(AND(CF$5-$A48&gt;=0,CF$5-$A48&lt;=19),INDEX(HU_ord,CF$5-$A48+1)*$B48,0)</f>
        <v>0.0</v>
      </c>
      <c r="CG48" s="14">
        <f>IF(AND(CG$5-$A48&gt;=0,CG$5-$A48&lt;=19),INDEX(HU_ord,CG$5-$A48+1)*$B48,0)</f>
        <v>0.0</v>
      </c>
      <c r="CH48" s="14">
        <f>IF(AND(CH$5-$A48&gt;=0,CH$5-$A48&lt;=19),INDEX(HU_ord,CH$5-$A48+1)*$B48,0)</f>
        <v>0.0</v>
      </c>
      <c r="CI48" s="14">
        <f>IF(AND(CI$5-$A48&gt;=0,CI$5-$A48&lt;=19),INDEX(HU_ord,CI$5-$A48+1)*$B48,0)</f>
        <v>0.0</v>
      </c>
      <c r="CJ48" s="14">
        <f>IF(AND(CJ$5-$A48&gt;=0,CJ$5-$A48&lt;=19),INDEX(HU_ord,CJ$5-$A48+1)*$B48,0)</f>
        <v>0.0</v>
      </c>
      <c r="CK48" s="14">
        <f>IF(AND(CK$5-$A48&gt;=0,CK$5-$A48&lt;=19),INDEX(HU_ord,CK$5-$A48+1)*$B48,0)</f>
        <v>0.0</v>
      </c>
      <c r="CL48" s="14">
        <f>IF(AND(CL$5-$A48&gt;=0,CL$5-$A48&lt;=19),INDEX(HU_ord,CL$5-$A48+1)*$B48,0)</f>
        <v>0.0</v>
      </c>
      <c r="CM48" s="14">
        <f>IF(AND(CM$5-$A48&gt;=0,CM$5-$A48&lt;=19),INDEX(HU_ord,CM$5-$A48+1)*$B48,0)</f>
        <v>0.0</v>
      </c>
      <c r="CN48" s="14">
        <f>IF(AND(CN$5-$A48&gt;=0,CN$5-$A48&lt;=19),INDEX(HU_ord,CN$5-$A48+1)*$B48,0)</f>
        <v>0.0</v>
      </c>
      <c r="CO48" s="14">
        <f>IF(AND(CO$5-$A48&gt;=0,CO$5-$A48&lt;=19),INDEX(HU_ord,CO$5-$A48+1)*$B48,0)</f>
        <v>0.0</v>
      </c>
      <c r="CP48" s="14">
        <f>IF(AND(CP$5-$A48&gt;=0,CP$5-$A48&lt;=19),INDEX(HU_ord,CP$5-$A48+1)*$B48,0)</f>
        <v>0.0</v>
      </c>
      <c r="CQ48" s="14">
        <f>IF(AND(CQ$5-$A48&gt;=0,CQ$5-$A48&lt;=19),INDEX(HU_ord,CQ$5-$A48+1)*$B48,0)</f>
        <v>0.0</v>
      </c>
      <c r="CR48" s="14">
        <f>IF(AND(CR$5-$A48&gt;=0,CR$5-$A48&lt;=19),INDEX(HU_ord,CR$5-$A48+1)*$B48,0)</f>
        <v>0.0</v>
      </c>
      <c r="CS48" s="14">
        <f>IF(AND(CS$5-$A48&gt;=0,CS$5-$A48&lt;=19),INDEX(HU_ord,CS$5-$A48+1)*$B48,0)</f>
        <v>0.0</v>
      </c>
      <c r="CT48" s="14">
        <f>IF(AND(CT$5-$A48&gt;=0,CT$5-$A48&lt;=19),INDEX(HU_ord,CT$5-$A48+1)*$B48,0)</f>
        <v>0.0</v>
      </c>
      <c r="CU48" s="14">
        <f>IF(AND(CU$5-$A48&gt;=0,CU$5-$A48&lt;=19),INDEX(HU_ord,CU$5-$A48+1)*$B48,0)</f>
        <v>0.0</v>
      </c>
      <c r="CV48" s="14">
        <f>IF(AND(CV$5-$A48&gt;=0,CV$5-$A48&lt;=19),INDEX(HU_ord,CV$5-$A48+1)*$B48,0)</f>
        <v>0.0</v>
      </c>
      <c r="CW48" s="14">
        <f>IF(AND(CW$5-$A48&gt;=0,CW$5-$A48&lt;=19),INDEX(HU_ord,CW$5-$A48+1)*$B48,0)</f>
        <v>0.0</v>
      </c>
      <c r="CX48" s="14">
        <f>IF(AND(CX$5-$A48&gt;=0,CX$5-$A48&lt;=19),INDEX(HU_ord,CX$5-$A48+1)*$B48,0)</f>
        <v>0.0</v>
      </c>
      <c r="CY48" s="14">
        <f>IF(AND(CY$5-$A48&gt;=0,CY$5-$A48&lt;=19),INDEX(HU_ord,CY$5-$A48+1)*$B48,0)</f>
        <v>0.0</v>
      </c>
      <c r="CZ48" s="14">
        <f>IF(AND(CZ$5-$A48&gt;=0,CZ$5-$A48&lt;=19),INDEX(HU_ord,CZ$5-$A48+1)*$B48,0)</f>
        <v>0.0</v>
      </c>
      <c r="DA48" s="14">
        <f>IF(AND(DA$5-$A48&gt;=0,DA$5-$A48&lt;=19),INDEX(HU_ord,DA$5-$A48+1)*$B48,0)</f>
        <v>0.0</v>
      </c>
      <c r="DB48" s="14">
        <f>IF(AND(DB$5-$A48&gt;=0,DB$5-$A48&lt;=19),INDEX(HU_ord,DB$5-$A48+1)*$B48,0)</f>
        <v>0.0</v>
      </c>
      <c r="DC48" s="14">
        <f>IF(AND(DC$5-$A48&gt;=0,DC$5-$A48&lt;=19),INDEX(HU_ord,DC$5-$A48+1)*$B48,0)</f>
        <v>0.0</v>
      </c>
      <c r="DD48" s="14">
        <f>IF(AND(DD$5-$A48&gt;=0,DD$5-$A48&lt;=19),INDEX(HU_ord,DD$5-$A48+1)*$B48,0)</f>
        <v>0.0</v>
      </c>
      <c r="DE48" s="14">
        <f>IF(AND(DE$5-$A48&gt;=0,DE$5-$A48&lt;=19),INDEX(HU_ord,DE$5-$A48+1)*$B48,0)</f>
        <v>0.0</v>
      </c>
      <c r="DF48" s="14">
        <f>IF(AND(DF$5-$A48&gt;=0,DF$5-$A48&lt;=19),INDEX(HU_ord,DF$5-$A48+1)*$B48,0)</f>
        <v>0.0</v>
      </c>
      <c r="DG48" s="14">
        <f>IF(AND(DG$5-$A48&gt;=0,DG$5-$A48&lt;=19),INDEX(HU_ord,DG$5-$A48+1)*$B48,0)</f>
        <v>0.0</v>
      </c>
      <c r="DH48" s="14">
        <f>IF(AND(DH$5-$A48&gt;=0,DH$5-$A48&lt;=19),INDEX(HU_ord,DH$5-$A48+1)*$B48,0)</f>
        <v>0.0</v>
      </c>
      <c r="DI48" s="14">
        <f>IF(AND(DI$5-$A48&gt;=0,DI$5-$A48&lt;=19),INDEX(HU_ord,DI$5-$A48+1)*$B48,0)</f>
        <v>0.0</v>
      </c>
    </row>
    <row r="49" spans="1:113">
      <c r="A49">
        <v>43</v>
      </c>
      <c r="B49" s="10">
        <f>Serie_horaria!N45</f>
        <v>0.0</v>
      </c>
      <c r="C49" s="14">
        <f>IF(AND(C$5-$A49&gt;=0,C$5-$A49&lt;=19),INDEX(HU_ord,C$5-$A49+1)*$B49,0)</f>
        <v>0.0</v>
      </c>
      <c r="D49" s="14">
        <f>IF(AND(D$5-$A49&gt;=0,D$5-$A49&lt;=19),INDEX(HU_ord,D$5-$A49+1)*$B49,0)</f>
        <v>0.0</v>
      </c>
      <c r="E49" s="14">
        <f>IF(AND(E$5-$A49&gt;=0,E$5-$A49&lt;=19),INDEX(HU_ord,E$5-$A49+1)*$B49,0)</f>
        <v>0.0</v>
      </c>
      <c r="F49" s="14">
        <f>IF(AND(F$5-$A49&gt;=0,F$5-$A49&lt;=19),INDEX(HU_ord,F$5-$A49+1)*$B49,0)</f>
        <v>0.0</v>
      </c>
      <c r="G49" s="14">
        <f>IF(AND(G$5-$A49&gt;=0,G$5-$A49&lt;=19),INDEX(HU_ord,G$5-$A49+1)*$B49,0)</f>
        <v>0.0</v>
      </c>
      <c r="H49" s="14">
        <f>IF(AND(H$5-$A49&gt;=0,H$5-$A49&lt;=19),INDEX(HU_ord,H$5-$A49+1)*$B49,0)</f>
        <v>0.0</v>
      </c>
      <c r="I49" s="14">
        <f>IF(AND(I$5-$A49&gt;=0,I$5-$A49&lt;=19),INDEX(HU_ord,I$5-$A49+1)*$B49,0)</f>
        <v>0.0</v>
      </c>
      <c r="J49" s="14">
        <f>IF(AND(J$5-$A49&gt;=0,J$5-$A49&lt;=19),INDEX(HU_ord,J$5-$A49+1)*$B49,0)</f>
        <v>0.0</v>
      </c>
      <c r="K49" s="14">
        <f>IF(AND(K$5-$A49&gt;=0,K$5-$A49&lt;=19),INDEX(HU_ord,K$5-$A49+1)*$B49,0)</f>
        <v>0.0</v>
      </c>
      <c r="L49" s="14">
        <f>IF(AND(L$5-$A49&gt;=0,L$5-$A49&lt;=19),INDEX(HU_ord,L$5-$A49+1)*$B49,0)</f>
        <v>0.0</v>
      </c>
      <c r="M49" s="14">
        <f>IF(AND(M$5-$A49&gt;=0,M$5-$A49&lt;=19),INDEX(HU_ord,M$5-$A49+1)*$B49,0)</f>
        <v>0.0</v>
      </c>
      <c r="N49" s="14">
        <f>IF(AND(N$5-$A49&gt;=0,N$5-$A49&lt;=19),INDEX(HU_ord,N$5-$A49+1)*$B49,0)</f>
        <v>0.0</v>
      </c>
      <c r="O49" s="14">
        <f>IF(AND(O$5-$A49&gt;=0,O$5-$A49&lt;=19),INDEX(HU_ord,O$5-$A49+1)*$B49,0)</f>
        <v>0.0</v>
      </c>
      <c r="P49" s="14">
        <f>IF(AND(P$5-$A49&gt;=0,P$5-$A49&lt;=19),INDEX(HU_ord,P$5-$A49+1)*$B49,0)</f>
        <v>0.0</v>
      </c>
      <c r="Q49" s="14">
        <f>IF(AND(Q$5-$A49&gt;=0,Q$5-$A49&lt;=19),INDEX(HU_ord,Q$5-$A49+1)*$B49,0)</f>
        <v>0.0</v>
      </c>
      <c r="R49" s="14">
        <f>IF(AND(R$5-$A49&gt;=0,R$5-$A49&lt;=19),INDEX(HU_ord,R$5-$A49+1)*$B49,0)</f>
        <v>0.0</v>
      </c>
      <c r="S49" s="14">
        <f>IF(AND(S$5-$A49&gt;=0,S$5-$A49&lt;=19),INDEX(HU_ord,S$5-$A49+1)*$B49,0)</f>
        <v>0.0</v>
      </c>
      <c r="T49" s="14">
        <f>IF(AND(T$5-$A49&gt;=0,T$5-$A49&lt;=19),INDEX(HU_ord,T$5-$A49+1)*$B49,0)</f>
        <v>0.0</v>
      </c>
      <c r="U49" s="14">
        <f>IF(AND(U$5-$A49&gt;=0,U$5-$A49&lt;=19),INDEX(HU_ord,U$5-$A49+1)*$B49,0)</f>
        <v>0.0</v>
      </c>
      <c r="V49" s="14">
        <f>IF(AND(V$5-$A49&gt;=0,V$5-$A49&lt;=19),INDEX(HU_ord,V$5-$A49+1)*$B49,0)</f>
        <v>0.0</v>
      </c>
      <c r="W49" s="14">
        <f>IF(AND(W$5-$A49&gt;=0,W$5-$A49&lt;=19),INDEX(HU_ord,W$5-$A49+1)*$B49,0)</f>
        <v>0.0</v>
      </c>
      <c r="X49" s="14">
        <f>IF(AND(X$5-$A49&gt;=0,X$5-$A49&lt;=19),INDEX(HU_ord,X$5-$A49+1)*$B49,0)</f>
        <v>0.0</v>
      </c>
      <c r="Y49" s="14">
        <f>IF(AND(Y$5-$A49&gt;=0,Y$5-$A49&lt;=19),INDEX(HU_ord,Y$5-$A49+1)*$B49,0)</f>
        <v>0.0</v>
      </c>
      <c r="Z49" s="14">
        <f>IF(AND(Z$5-$A49&gt;=0,Z$5-$A49&lt;=19),INDEX(HU_ord,Z$5-$A49+1)*$B49,0)</f>
        <v>0.0</v>
      </c>
      <c r="AA49" s="14">
        <f>IF(AND(AA$5-$A49&gt;=0,AA$5-$A49&lt;=19),INDEX(HU_ord,AA$5-$A49+1)*$B49,0)</f>
        <v>0.0</v>
      </c>
      <c r="AB49" s="14">
        <f>IF(AND(AB$5-$A49&gt;=0,AB$5-$A49&lt;=19),INDEX(HU_ord,AB$5-$A49+1)*$B49,0)</f>
        <v>0.0</v>
      </c>
      <c r="AC49" s="14">
        <f>IF(AND(AC$5-$A49&gt;=0,AC$5-$A49&lt;=19),INDEX(HU_ord,AC$5-$A49+1)*$B49,0)</f>
        <v>0.0</v>
      </c>
      <c r="AD49" s="14">
        <f>IF(AND(AD$5-$A49&gt;=0,AD$5-$A49&lt;=19),INDEX(HU_ord,AD$5-$A49+1)*$B49,0)</f>
        <v>0.0</v>
      </c>
      <c r="AE49" s="14">
        <f>IF(AND(AE$5-$A49&gt;=0,AE$5-$A49&lt;=19),INDEX(HU_ord,AE$5-$A49+1)*$B49,0)</f>
        <v>0.0</v>
      </c>
      <c r="AF49" s="14">
        <f>IF(AND(AF$5-$A49&gt;=0,AF$5-$A49&lt;=19),INDEX(HU_ord,AF$5-$A49+1)*$B49,0)</f>
        <v>0.0</v>
      </c>
      <c r="AG49" s="14">
        <f>IF(AND(AG$5-$A49&gt;=0,AG$5-$A49&lt;=19),INDEX(HU_ord,AG$5-$A49+1)*$B49,0)</f>
        <v>0.0</v>
      </c>
      <c r="AH49" s="14">
        <f>IF(AND(AH$5-$A49&gt;=0,AH$5-$A49&lt;=19),INDEX(HU_ord,AH$5-$A49+1)*$B49,0)</f>
        <v>0.0</v>
      </c>
      <c r="AI49" s="14">
        <f>IF(AND(AI$5-$A49&gt;=0,AI$5-$A49&lt;=19),INDEX(HU_ord,AI$5-$A49+1)*$B49,0)</f>
        <v>0.0</v>
      </c>
      <c r="AJ49" s="14">
        <f>IF(AND(AJ$5-$A49&gt;=0,AJ$5-$A49&lt;=19),INDEX(HU_ord,AJ$5-$A49+1)*$B49,0)</f>
        <v>0.0</v>
      </c>
      <c r="AK49" s="14">
        <f>IF(AND(AK$5-$A49&gt;=0,AK$5-$A49&lt;=19),INDEX(HU_ord,AK$5-$A49+1)*$B49,0)</f>
        <v>0.0</v>
      </c>
      <c r="AL49" s="14">
        <f>IF(AND(AL$5-$A49&gt;=0,AL$5-$A49&lt;=19),INDEX(HU_ord,AL$5-$A49+1)*$B49,0)</f>
        <v>0.0</v>
      </c>
      <c r="AM49" s="14">
        <f>IF(AND(AM$5-$A49&gt;=0,AM$5-$A49&lt;=19),INDEX(HU_ord,AM$5-$A49+1)*$B49,0)</f>
        <v>0.0</v>
      </c>
      <c r="AN49" s="14">
        <f>IF(AND(AN$5-$A49&gt;=0,AN$5-$A49&lt;=19),INDEX(HU_ord,AN$5-$A49+1)*$B49,0)</f>
        <v>0.0</v>
      </c>
      <c r="AO49" s="14">
        <f>IF(AND(AO$5-$A49&gt;=0,AO$5-$A49&lt;=19),INDEX(HU_ord,AO$5-$A49+1)*$B49,0)</f>
        <v>0.0</v>
      </c>
      <c r="AP49" s="14">
        <f>IF(AND(AP$5-$A49&gt;=0,AP$5-$A49&lt;=19),INDEX(HU_ord,AP$5-$A49+1)*$B49,0)</f>
        <v>0.0</v>
      </c>
      <c r="AQ49" s="14">
        <f>IF(AND(AQ$5-$A49&gt;=0,AQ$5-$A49&lt;=19),INDEX(HU_ord,AQ$5-$A49+1)*$B49,0)</f>
        <v>0.0</v>
      </c>
      <c r="AR49" s="14">
        <f>IF(AND(AR$5-$A49&gt;=0,AR$5-$A49&lt;=19),INDEX(HU_ord,AR$5-$A49+1)*$B49,0)</f>
        <v>0.0</v>
      </c>
      <c r="AS49" s="14">
        <f>IF(AND(AS$5-$A49&gt;=0,AS$5-$A49&lt;=19),INDEX(HU_ord,AS$5-$A49+1)*$B49,0)</f>
        <v>0.0</v>
      </c>
      <c r="AT49" s="14">
        <f>IF(AND(AT$5-$A49&gt;=0,AT$5-$A49&lt;=19),INDEX(HU_ord,AT$5-$A49+1)*$B49,0)</f>
        <v>0.0</v>
      </c>
      <c r="AU49" s="14">
        <f>IF(AND(AU$5-$A49&gt;=0,AU$5-$A49&lt;=19),INDEX(HU_ord,AU$5-$A49+1)*$B49,0)</f>
        <v>0.0</v>
      </c>
      <c r="AV49" s="14">
        <f>IF(AND(AV$5-$A49&gt;=0,AV$5-$A49&lt;=19),INDEX(HU_ord,AV$5-$A49+1)*$B49,0)</f>
        <v>0.0</v>
      </c>
      <c r="AW49" s="14">
        <f>IF(AND(AW$5-$A49&gt;=0,AW$5-$A49&lt;=19),INDEX(HU_ord,AW$5-$A49+1)*$B49,0)</f>
        <v>0.0</v>
      </c>
      <c r="AX49" s="14">
        <f>IF(AND(AX$5-$A49&gt;=0,AX$5-$A49&lt;=19),INDEX(HU_ord,AX$5-$A49+1)*$B49,0)</f>
        <v>0.0</v>
      </c>
      <c r="AY49" s="14">
        <f>IF(AND(AY$5-$A49&gt;=0,AY$5-$A49&lt;=19),INDEX(HU_ord,AY$5-$A49+1)*$B49,0)</f>
        <v>0.0</v>
      </c>
      <c r="AZ49" s="14">
        <f>IF(AND(AZ$5-$A49&gt;=0,AZ$5-$A49&lt;=19),INDEX(HU_ord,AZ$5-$A49+1)*$B49,0)</f>
        <v>0.0</v>
      </c>
      <c r="BA49" s="14">
        <f>IF(AND(BA$5-$A49&gt;=0,BA$5-$A49&lt;=19),INDEX(HU_ord,BA$5-$A49+1)*$B49,0)</f>
        <v>0.0</v>
      </c>
      <c r="BB49" s="14">
        <f>IF(AND(BB$5-$A49&gt;=0,BB$5-$A49&lt;=19),INDEX(HU_ord,BB$5-$A49+1)*$B49,0)</f>
        <v>0.0</v>
      </c>
      <c r="BC49" s="14">
        <f>IF(AND(BC$5-$A49&gt;=0,BC$5-$A49&lt;=19),INDEX(HU_ord,BC$5-$A49+1)*$B49,0)</f>
        <v>0.0</v>
      </c>
      <c r="BD49" s="14">
        <f>IF(AND(BD$5-$A49&gt;=0,BD$5-$A49&lt;=19),INDEX(HU_ord,BD$5-$A49+1)*$B49,0)</f>
        <v>0.0</v>
      </c>
      <c r="BE49" s="14">
        <f>IF(AND(BE$5-$A49&gt;=0,BE$5-$A49&lt;=19),INDEX(HU_ord,BE$5-$A49+1)*$B49,0)</f>
        <v>0.0</v>
      </c>
      <c r="BF49" s="14">
        <f>IF(AND(BF$5-$A49&gt;=0,BF$5-$A49&lt;=19),INDEX(HU_ord,BF$5-$A49+1)*$B49,0)</f>
        <v>0.0</v>
      </c>
      <c r="BG49" s="14">
        <f>IF(AND(BG$5-$A49&gt;=0,BG$5-$A49&lt;=19),INDEX(HU_ord,BG$5-$A49+1)*$B49,0)</f>
        <v>0.0</v>
      </c>
      <c r="BH49" s="14">
        <f>IF(AND(BH$5-$A49&gt;=0,BH$5-$A49&lt;=19),INDEX(HU_ord,BH$5-$A49+1)*$B49,0)</f>
        <v>0.0</v>
      </c>
      <c r="BI49" s="14">
        <f>IF(AND(BI$5-$A49&gt;=0,BI$5-$A49&lt;=19),INDEX(HU_ord,BI$5-$A49+1)*$B49,0)</f>
        <v>0.0</v>
      </c>
      <c r="BJ49" s="14">
        <f>IF(AND(BJ$5-$A49&gt;=0,BJ$5-$A49&lt;=19),INDEX(HU_ord,BJ$5-$A49+1)*$B49,0)</f>
        <v>0.0</v>
      </c>
      <c r="BK49" s="14">
        <f>IF(AND(BK$5-$A49&gt;=0,BK$5-$A49&lt;=19),INDEX(HU_ord,BK$5-$A49+1)*$B49,0)</f>
        <v>0.0</v>
      </c>
      <c r="BL49" s="14">
        <f>IF(AND(BL$5-$A49&gt;=0,BL$5-$A49&lt;=19),INDEX(HU_ord,BL$5-$A49+1)*$B49,0)</f>
        <v>0.0</v>
      </c>
      <c r="BM49" s="14">
        <f>IF(AND(BM$5-$A49&gt;=0,BM$5-$A49&lt;=19),INDEX(HU_ord,BM$5-$A49+1)*$B49,0)</f>
        <v>0.0</v>
      </c>
      <c r="BN49" s="14">
        <f>IF(AND(BN$5-$A49&gt;=0,BN$5-$A49&lt;=19),INDEX(HU_ord,BN$5-$A49+1)*$B49,0)</f>
        <v>0.0</v>
      </c>
      <c r="BO49" s="14">
        <f>IF(AND(BO$5-$A49&gt;=0,BO$5-$A49&lt;=19),INDEX(HU_ord,BO$5-$A49+1)*$B49,0)</f>
        <v>0.0</v>
      </c>
      <c r="BP49" s="14">
        <f>IF(AND(BP$5-$A49&gt;=0,BP$5-$A49&lt;=19),INDEX(HU_ord,BP$5-$A49+1)*$B49,0)</f>
        <v>0.0</v>
      </c>
      <c r="BQ49" s="14">
        <f>IF(AND(BQ$5-$A49&gt;=0,BQ$5-$A49&lt;=19),INDEX(HU_ord,BQ$5-$A49+1)*$B49,0)</f>
        <v>0.0</v>
      </c>
      <c r="BR49" s="14">
        <f>IF(AND(BR$5-$A49&gt;=0,BR$5-$A49&lt;=19),INDEX(HU_ord,BR$5-$A49+1)*$B49,0)</f>
        <v>0.0</v>
      </c>
      <c r="BS49" s="14">
        <f>IF(AND(BS$5-$A49&gt;=0,BS$5-$A49&lt;=19),INDEX(HU_ord,BS$5-$A49+1)*$B49,0)</f>
        <v>0.0</v>
      </c>
      <c r="BT49" s="14">
        <f>IF(AND(BT$5-$A49&gt;=0,BT$5-$A49&lt;=19),INDEX(HU_ord,BT$5-$A49+1)*$B49,0)</f>
        <v>0.0</v>
      </c>
      <c r="BU49" s="14">
        <f>IF(AND(BU$5-$A49&gt;=0,BU$5-$A49&lt;=19),INDEX(HU_ord,BU$5-$A49+1)*$B49,0)</f>
        <v>0.0</v>
      </c>
      <c r="BV49" s="14">
        <f>IF(AND(BV$5-$A49&gt;=0,BV$5-$A49&lt;=19),INDEX(HU_ord,BV$5-$A49+1)*$B49,0)</f>
        <v>0.0</v>
      </c>
      <c r="BW49" s="14">
        <f>IF(AND(BW$5-$A49&gt;=0,BW$5-$A49&lt;=19),INDEX(HU_ord,BW$5-$A49+1)*$B49,0)</f>
        <v>0.0</v>
      </c>
      <c r="BX49" s="14">
        <f>IF(AND(BX$5-$A49&gt;=0,BX$5-$A49&lt;=19),INDEX(HU_ord,BX$5-$A49+1)*$B49,0)</f>
        <v>0.0</v>
      </c>
      <c r="BY49" s="14">
        <f>IF(AND(BY$5-$A49&gt;=0,BY$5-$A49&lt;=19),INDEX(HU_ord,BY$5-$A49+1)*$B49,0)</f>
        <v>0.0</v>
      </c>
      <c r="BZ49" s="14">
        <f>IF(AND(BZ$5-$A49&gt;=0,BZ$5-$A49&lt;=19),INDEX(HU_ord,BZ$5-$A49+1)*$B49,0)</f>
        <v>0.0</v>
      </c>
      <c r="CA49" s="14">
        <f>IF(AND(CA$5-$A49&gt;=0,CA$5-$A49&lt;=19),INDEX(HU_ord,CA$5-$A49+1)*$B49,0)</f>
        <v>0.0</v>
      </c>
      <c r="CB49" s="14">
        <f>IF(AND(CB$5-$A49&gt;=0,CB$5-$A49&lt;=19),INDEX(HU_ord,CB$5-$A49+1)*$B49,0)</f>
        <v>0.0</v>
      </c>
      <c r="CC49" s="14">
        <f>IF(AND(CC$5-$A49&gt;=0,CC$5-$A49&lt;=19),INDEX(HU_ord,CC$5-$A49+1)*$B49,0)</f>
        <v>0.0</v>
      </c>
      <c r="CD49" s="14">
        <f>IF(AND(CD$5-$A49&gt;=0,CD$5-$A49&lt;=19),INDEX(HU_ord,CD$5-$A49+1)*$B49,0)</f>
        <v>0.0</v>
      </c>
      <c r="CE49" s="14">
        <f>IF(AND(CE$5-$A49&gt;=0,CE$5-$A49&lt;=19),INDEX(HU_ord,CE$5-$A49+1)*$B49,0)</f>
        <v>0.0</v>
      </c>
      <c r="CF49" s="14">
        <f>IF(AND(CF$5-$A49&gt;=0,CF$5-$A49&lt;=19),INDEX(HU_ord,CF$5-$A49+1)*$B49,0)</f>
        <v>0.0</v>
      </c>
      <c r="CG49" s="14">
        <f>IF(AND(CG$5-$A49&gt;=0,CG$5-$A49&lt;=19),INDEX(HU_ord,CG$5-$A49+1)*$B49,0)</f>
        <v>0.0</v>
      </c>
      <c r="CH49" s="14">
        <f>IF(AND(CH$5-$A49&gt;=0,CH$5-$A49&lt;=19),INDEX(HU_ord,CH$5-$A49+1)*$B49,0)</f>
        <v>0.0</v>
      </c>
      <c r="CI49" s="14">
        <f>IF(AND(CI$5-$A49&gt;=0,CI$5-$A49&lt;=19),INDEX(HU_ord,CI$5-$A49+1)*$B49,0)</f>
        <v>0.0</v>
      </c>
      <c r="CJ49" s="14">
        <f>IF(AND(CJ$5-$A49&gt;=0,CJ$5-$A49&lt;=19),INDEX(HU_ord,CJ$5-$A49+1)*$B49,0)</f>
        <v>0.0</v>
      </c>
      <c r="CK49" s="14">
        <f>IF(AND(CK$5-$A49&gt;=0,CK$5-$A49&lt;=19),INDEX(HU_ord,CK$5-$A49+1)*$B49,0)</f>
        <v>0.0</v>
      </c>
      <c r="CL49" s="14">
        <f>IF(AND(CL$5-$A49&gt;=0,CL$5-$A49&lt;=19),INDEX(HU_ord,CL$5-$A49+1)*$B49,0)</f>
        <v>0.0</v>
      </c>
      <c r="CM49" s="14">
        <f>IF(AND(CM$5-$A49&gt;=0,CM$5-$A49&lt;=19),INDEX(HU_ord,CM$5-$A49+1)*$B49,0)</f>
        <v>0.0</v>
      </c>
      <c r="CN49" s="14">
        <f>IF(AND(CN$5-$A49&gt;=0,CN$5-$A49&lt;=19),INDEX(HU_ord,CN$5-$A49+1)*$B49,0)</f>
        <v>0.0</v>
      </c>
      <c r="CO49" s="14">
        <f>IF(AND(CO$5-$A49&gt;=0,CO$5-$A49&lt;=19),INDEX(HU_ord,CO$5-$A49+1)*$B49,0)</f>
        <v>0.0</v>
      </c>
      <c r="CP49" s="14">
        <f>IF(AND(CP$5-$A49&gt;=0,CP$5-$A49&lt;=19),INDEX(HU_ord,CP$5-$A49+1)*$B49,0)</f>
        <v>0.0</v>
      </c>
      <c r="CQ49" s="14">
        <f>IF(AND(CQ$5-$A49&gt;=0,CQ$5-$A49&lt;=19),INDEX(HU_ord,CQ$5-$A49+1)*$B49,0)</f>
        <v>0.0</v>
      </c>
      <c r="CR49" s="14">
        <f>IF(AND(CR$5-$A49&gt;=0,CR$5-$A49&lt;=19),INDEX(HU_ord,CR$5-$A49+1)*$B49,0)</f>
        <v>0.0</v>
      </c>
      <c r="CS49" s="14">
        <f>IF(AND(CS$5-$A49&gt;=0,CS$5-$A49&lt;=19),INDEX(HU_ord,CS$5-$A49+1)*$B49,0)</f>
        <v>0.0</v>
      </c>
      <c r="CT49" s="14">
        <f>IF(AND(CT$5-$A49&gt;=0,CT$5-$A49&lt;=19),INDEX(HU_ord,CT$5-$A49+1)*$B49,0)</f>
        <v>0.0</v>
      </c>
      <c r="CU49" s="14">
        <f>IF(AND(CU$5-$A49&gt;=0,CU$5-$A49&lt;=19),INDEX(HU_ord,CU$5-$A49+1)*$B49,0)</f>
        <v>0.0</v>
      </c>
      <c r="CV49" s="14">
        <f>IF(AND(CV$5-$A49&gt;=0,CV$5-$A49&lt;=19),INDEX(HU_ord,CV$5-$A49+1)*$B49,0)</f>
        <v>0.0</v>
      </c>
      <c r="CW49" s="14">
        <f>IF(AND(CW$5-$A49&gt;=0,CW$5-$A49&lt;=19),INDEX(HU_ord,CW$5-$A49+1)*$B49,0)</f>
        <v>0.0</v>
      </c>
      <c r="CX49" s="14">
        <f>IF(AND(CX$5-$A49&gt;=0,CX$5-$A49&lt;=19),INDEX(HU_ord,CX$5-$A49+1)*$B49,0)</f>
        <v>0.0</v>
      </c>
      <c r="CY49" s="14">
        <f>IF(AND(CY$5-$A49&gt;=0,CY$5-$A49&lt;=19),INDEX(HU_ord,CY$5-$A49+1)*$B49,0)</f>
        <v>0.0</v>
      </c>
      <c r="CZ49" s="14">
        <f>IF(AND(CZ$5-$A49&gt;=0,CZ$5-$A49&lt;=19),INDEX(HU_ord,CZ$5-$A49+1)*$B49,0)</f>
        <v>0.0</v>
      </c>
      <c r="DA49" s="14">
        <f>IF(AND(DA$5-$A49&gt;=0,DA$5-$A49&lt;=19),INDEX(HU_ord,DA$5-$A49+1)*$B49,0)</f>
        <v>0.0</v>
      </c>
      <c r="DB49" s="14">
        <f>IF(AND(DB$5-$A49&gt;=0,DB$5-$A49&lt;=19),INDEX(HU_ord,DB$5-$A49+1)*$B49,0)</f>
        <v>0.0</v>
      </c>
      <c r="DC49" s="14">
        <f>IF(AND(DC$5-$A49&gt;=0,DC$5-$A49&lt;=19),INDEX(HU_ord,DC$5-$A49+1)*$B49,0)</f>
        <v>0.0</v>
      </c>
      <c r="DD49" s="14">
        <f>IF(AND(DD$5-$A49&gt;=0,DD$5-$A49&lt;=19),INDEX(HU_ord,DD$5-$A49+1)*$B49,0)</f>
        <v>0.0</v>
      </c>
      <c r="DE49" s="14">
        <f>IF(AND(DE$5-$A49&gt;=0,DE$5-$A49&lt;=19),INDEX(HU_ord,DE$5-$A49+1)*$B49,0)</f>
        <v>0.0</v>
      </c>
      <c r="DF49" s="14">
        <f>IF(AND(DF$5-$A49&gt;=0,DF$5-$A49&lt;=19),INDEX(HU_ord,DF$5-$A49+1)*$B49,0)</f>
        <v>0.0</v>
      </c>
      <c r="DG49" s="14">
        <f>IF(AND(DG$5-$A49&gt;=0,DG$5-$A49&lt;=19),INDEX(HU_ord,DG$5-$A49+1)*$B49,0)</f>
        <v>0.0</v>
      </c>
      <c r="DH49" s="14">
        <f>IF(AND(DH$5-$A49&gt;=0,DH$5-$A49&lt;=19),INDEX(HU_ord,DH$5-$A49+1)*$B49,0)</f>
        <v>0.0</v>
      </c>
      <c r="DI49" s="14">
        <f>IF(AND(DI$5-$A49&gt;=0,DI$5-$A49&lt;=19),INDEX(HU_ord,DI$5-$A49+1)*$B49,0)</f>
        <v>0.0</v>
      </c>
    </row>
    <row r="50" spans="1:113">
      <c r="A50">
        <v>44</v>
      </c>
      <c r="B50" s="10">
        <f>Serie_horaria!N46</f>
        <v>0.0</v>
      </c>
      <c r="C50" s="14">
        <f>IF(AND(C$5-$A50&gt;=0,C$5-$A50&lt;=19),INDEX(HU_ord,C$5-$A50+1)*$B50,0)</f>
        <v>0.0</v>
      </c>
      <c r="D50" s="14">
        <f>IF(AND(D$5-$A50&gt;=0,D$5-$A50&lt;=19),INDEX(HU_ord,D$5-$A50+1)*$B50,0)</f>
        <v>0.0</v>
      </c>
      <c r="E50" s="14">
        <f>IF(AND(E$5-$A50&gt;=0,E$5-$A50&lt;=19),INDEX(HU_ord,E$5-$A50+1)*$B50,0)</f>
        <v>0.0</v>
      </c>
      <c r="F50" s="14">
        <f>IF(AND(F$5-$A50&gt;=0,F$5-$A50&lt;=19),INDEX(HU_ord,F$5-$A50+1)*$B50,0)</f>
        <v>0.0</v>
      </c>
      <c r="G50" s="14">
        <f>IF(AND(G$5-$A50&gt;=0,G$5-$A50&lt;=19),INDEX(HU_ord,G$5-$A50+1)*$B50,0)</f>
        <v>0.0</v>
      </c>
      <c r="H50" s="14">
        <f>IF(AND(H$5-$A50&gt;=0,H$5-$A50&lt;=19),INDEX(HU_ord,H$5-$A50+1)*$B50,0)</f>
        <v>0.0</v>
      </c>
      <c r="I50" s="14">
        <f>IF(AND(I$5-$A50&gt;=0,I$5-$A50&lt;=19),INDEX(HU_ord,I$5-$A50+1)*$B50,0)</f>
        <v>0.0</v>
      </c>
      <c r="J50" s="14">
        <f>IF(AND(J$5-$A50&gt;=0,J$5-$A50&lt;=19),INDEX(HU_ord,J$5-$A50+1)*$B50,0)</f>
        <v>0.0</v>
      </c>
      <c r="K50" s="14">
        <f>IF(AND(K$5-$A50&gt;=0,K$5-$A50&lt;=19),INDEX(HU_ord,K$5-$A50+1)*$B50,0)</f>
        <v>0.0</v>
      </c>
      <c r="L50" s="14">
        <f>IF(AND(L$5-$A50&gt;=0,L$5-$A50&lt;=19),INDEX(HU_ord,L$5-$A50+1)*$B50,0)</f>
        <v>0.0</v>
      </c>
      <c r="M50" s="14">
        <f>IF(AND(M$5-$A50&gt;=0,M$5-$A50&lt;=19),INDEX(HU_ord,M$5-$A50+1)*$B50,0)</f>
        <v>0.0</v>
      </c>
      <c r="N50" s="14">
        <f>IF(AND(N$5-$A50&gt;=0,N$5-$A50&lt;=19),INDEX(HU_ord,N$5-$A50+1)*$B50,0)</f>
        <v>0.0</v>
      </c>
      <c r="O50" s="14">
        <f>IF(AND(O$5-$A50&gt;=0,O$5-$A50&lt;=19),INDEX(HU_ord,O$5-$A50+1)*$B50,0)</f>
        <v>0.0</v>
      </c>
      <c r="P50" s="14">
        <f>IF(AND(P$5-$A50&gt;=0,P$5-$A50&lt;=19),INDEX(HU_ord,P$5-$A50+1)*$B50,0)</f>
        <v>0.0</v>
      </c>
      <c r="Q50" s="14">
        <f>IF(AND(Q$5-$A50&gt;=0,Q$5-$A50&lt;=19),INDEX(HU_ord,Q$5-$A50+1)*$B50,0)</f>
        <v>0.0</v>
      </c>
      <c r="R50" s="14">
        <f>IF(AND(R$5-$A50&gt;=0,R$5-$A50&lt;=19),INDEX(HU_ord,R$5-$A50+1)*$B50,0)</f>
        <v>0.0</v>
      </c>
      <c r="S50" s="14">
        <f>IF(AND(S$5-$A50&gt;=0,S$5-$A50&lt;=19),INDEX(HU_ord,S$5-$A50+1)*$B50,0)</f>
        <v>0.0</v>
      </c>
      <c r="T50" s="14">
        <f>IF(AND(T$5-$A50&gt;=0,T$5-$A50&lt;=19),INDEX(HU_ord,T$5-$A50+1)*$B50,0)</f>
        <v>0.0</v>
      </c>
      <c r="U50" s="14">
        <f>IF(AND(U$5-$A50&gt;=0,U$5-$A50&lt;=19),INDEX(HU_ord,U$5-$A50+1)*$B50,0)</f>
        <v>0.0</v>
      </c>
      <c r="V50" s="14">
        <f>IF(AND(V$5-$A50&gt;=0,V$5-$A50&lt;=19),INDEX(HU_ord,V$5-$A50+1)*$B50,0)</f>
        <v>0.0</v>
      </c>
      <c r="W50" s="14">
        <f>IF(AND(W$5-$A50&gt;=0,W$5-$A50&lt;=19),INDEX(HU_ord,W$5-$A50+1)*$B50,0)</f>
        <v>0.0</v>
      </c>
      <c r="X50" s="14">
        <f>IF(AND(X$5-$A50&gt;=0,X$5-$A50&lt;=19),INDEX(HU_ord,X$5-$A50+1)*$B50,0)</f>
        <v>0.0</v>
      </c>
      <c r="Y50" s="14">
        <f>IF(AND(Y$5-$A50&gt;=0,Y$5-$A50&lt;=19),INDEX(HU_ord,Y$5-$A50+1)*$B50,0)</f>
        <v>0.0</v>
      </c>
      <c r="Z50" s="14">
        <f>IF(AND(Z$5-$A50&gt;=0,Z$5-$A50&lt;=19),INDEX(HU_ord,Z$5-$A50+1)*$B50,0)</f>
        <v>0.0</v>
      </c>
      <c r="AA50" s="14">
        <f>IF(AND(AA$5-$A50&gt;=0,AA$5-$A50&lt;=19),INDEX(HU_ord,AA$5-$A50+1)*$B50,0)</f>
        <v>0.0</v>
      </c>
      <c r="AB50" s="14">
        <f>IF(AND(AB$5-$A50&gt;=0,AB$5-$A50&lt;=19),INDEX(HU_ord,AB$5-$A50+1)*$B50,0)</f>
        <v>0.0</v>
      </c>
      <c r="AC50" s="14">
        <f>IF(AND(AC$5-$A50&gt;=0,AC$5-$A50&lt;=19),INDEX(HU_ord,AC$5-$A50+1)*$B50,0)</f>
        <v>0.0</v>
      </c>
      <c r="AD50" s="14">
        <f>IF(AND(AD$5-$A50&gt;=0,AD$5-$A50&lt;=19),INDEX(HU_ord,AD$5-$A50+1)*$B50,0)</f>
        <v>0.0</v>
      </c>
      <c r="AE50" s="14">
        <f>IF(AND(AE$5-$A50&gt;=0,AE$5-$A50&lt;=19),INDEX(HU_ord,AE$5-$A50+1)*$B50,0)</f>
        <v>0.0</v>
      </c>
      <c r="AF50" s="14">
        <f>IF(AND(AF$5-$A50&gt;=0,AF$5-$A50&lt;=19),INDEX(HU_ord,AF$5-$A50+1)*$B50,0)</f>
        <v>0.0</v>
      </c>
      <c r="AG50" s="14">
        <f>IF(AND(AG$5-$A50&gt;=0,AG$5-$A50&lt;=19),INDEX(HU_ord,AG$5-$A50+1)*$B50,0)</f>
        <v>0.0</v>
      </c>
      <c r="AH50" s="14">
        <f>IF(AND(AH$5-$A50&gt;=0,AH$5-$A50&lt;=19),INDEX(HU_ord,AH$5-$A50+1)*$B50,0)</f>
        <v>0.0</v>
      </c>
      <c r="AI50" s="14">
        <f>IF(AND(AI$5-$A50&gt;=0,AI$5-$A50&lt;=19),INDEX(HU_ord,AI$5-$A50+1)*$B50,0)</f>
        <v>0.0</v>
      </c>
      <c r="AJ50" s="14">
        <f>IF(AND(AJ$5-$A50&gt;=0,AJ$5-$A50&lt;=19),INDEX(HU_ord,AJ$5-$A50+1)*$B50,0)</f>
        <v>0.0</v>
      </c>
      <c r="AK50" s="14">
        <f>IF(AND(AK$5-$A50&gt;=0,AK$5-$A50&lt;=19),INDEX(HU_ord,AK$5-$A50+1)*$B50,0)</f>
        <v>0.0</v>
      </c>
      <c r="AL50" s="14">
        <f>IF(AND(AL$5-$A50&gt;=0,AL$5-$A50&lt;=19),INDEX(HU_ord,AL$5-$A50+1)*$B50,0)</f>
        <v>0.0</v>
      </c>
      <c r="AM50" s="14">
        <f>IF(AND(AM$5-$A50&gt;=0,AM$5-$A50&lt;=19),INDEX(HU_ord,AM$5-$A50+1)*$B50,0)</f>
        <v>0.0</v>
      </c>
      <c r="AN50" s="14">
        <f>IF(AND(AN$5-$A50&gt;=0,AN$5-$A50&lt;=19),INDEX(HU_ord,AN$5-$A50+1)*$B50,0)</f>
        <v>0.0</v>
      </c>
      <c r="AO50" s="14">
        <f>IF(AND(AO$5-$A50&gt;=0,AO$5-$A50&lt;=19),INDEX(HU_ord,AO$5-$A50+1)*$B50,0)</f>
        <v>0.0</v>
      </c>
      <c r="AP50" s="14">
        <f>IF(AND(AP$5-$A50&gt;=0,AP$5-$A50&lt;=19),INDEX(HU_ord,AP$5-$A50+1)*$B50,0)</f>
        <v>0.0</v>
      </c>
      <c r="AQ50" s="14">
        <f>IF(AND(AQ$5-$A50&gt;=0,AQ$5-$A50&lt;=19),INDEX(HU_ord,AQ$5-$A50+1)*$B50,0)</f>
        <v>0.0</v>
      </c>
      <c r="AR50" s="14">
        <f>IF(AND(AR$5-$A50&gt;=0,AR$5-$A50&lt;=19),INDEX(HU_ord,AR$5-$A50+1)*$B50,0)</f>
        <v>0.0</v>
      </c>
      <c r="AS50" s="14">
        <f>IF(AND(AS$5-$A50&gt;=0,AS$5-$A50&lt;=19),INDEX(HU_ord,AS$5-$A50+1)*$B50,0)</f>
        <v>0.0</v>
      </c>
      <c r="AT50" s="14">
        <f>IF(AND(AT$5-$A50&gt;=0,AT$5-$A50&lt;=19),INDEX(HU_ord,AT$5-$A50+1)*$B50,0)</f>
        <v>0.0</v>
      </c>
      <c r="AU50" s="14">
        <f>IF(AND(AU$5-$A50&gt;=0,AU$5-$A50&lt;=19),INDEX(HU_ord,AU$5-$A50+1)*$B50,0)</f>
        <v>0.0</v>
      </c>
      <c r="AV50" s="14">
        <f>IF(AND(AV$5-$A50&gt;=0,AV$5-$A50&lt;=19),INDEX(HU_ord,AV$5-$A50+1)*$B50,0)</f>
        <v>0.0</v>
      </c>
      <c r="AW50" s="14">
        <f>IF(AND(AW$5-$A50&gt;=0,AW$5-$A50&lt;=19),INDEX(HU_ord,AW$5-$A50+1)*$B50,0)</f>
        <v>0.0</v>
      </c>
      <c r="AX50" s="14">
        <f>IF(AND(AX$5-$A50&gt;=0,AX$5-$A50&lt;=19),INDEX(HU_ord,AX$5-$A50+1)*$B50,0)</f>
        <v>0.0</v>
      </c>
      <c r="AY50" s="14">
        <f>IF(AND(AY$5-$A50&gt;=0,AY$5-$A50&lt;=19),INDEX(HU_ord,AY$5-$A50+1)*$B50,0)</f>
        <v>0.0</v>
      </c>
      <c r="AZ50" s="14">
        <f>IF(AND(AZ$5-$A50&gt;=0,AZ$5-$A50&lt;=19),INDEX(HU_ord,AZ$5-$A50+1)*$B50,0)</f>
        <v>0.0</v>
      </c>
      <c r="BA50" s="14">
        <f>IF(AND(BA$5-$A50&gt;=0,BA$5-$A50&lt;=19),INDEX(HU_ord,BA$5-$A50+1)*$B50,0)</f>
        <v>0.0</v>
      </c>
      <c r="BB50" s="14">
        <f>IF(AND(BB$5-$A50&gt;=0,BB$5-$A50&lt;=19),INDEX(HU_ord,BB$5-$A50+1)*$B50,0)</f>
        <v>0.0</v>
      </c>
      <c r="BC50" s="14">
        <f>IF(AND(BC$5-$A50&gt;=0,BC$5-$A50&lt;=19),INDEX(HU_ord,BC$5-$A50+1)*$B50,0)</f>
        <v>0.0</v>
      </c>
      <c r="BD50" s="14">
        <f>IF(AND(BD$5-$A50&gt;=0,BD$5-$A50&lt;=19),INDEX(HU_ord,BD$5-$A50+1)*$B50,0)</f>
        <v>0.0</v>
      </c>
      <c r="BE50" s="14">
        <f>IF(AND(BE$5-$A50&gt;=0,BE$5-$A50&lt;=19),INDEX(HU_ord,BE$5-$A50+1)*$B50,0)</f>
        <v>0.0</v>
      </c>
      <c r="BF50" s="14">
        <f>IF(AND(BF$5-$A50&gt;=0,BF$5-$A50&lt;=19),INDEX(HU_ord,BF$5-$A50+1)*$B50,0)</f>
        <v>0.0</v>
      </c>
      <c r="BG50" s="14">
        <f>IF(AND(BG$5-$A50&gt;=0,BG$5-$A50&lt;=19),INDEX(HU_ord,BG$5-$A50+1)*$B50,0)</f>
        <v>0.0</v>
      </c>
      <c r="BH50" s="14">
        <f>IF(AND(BH$5-$A50&gt;=0,BH$5-$A50&lt;=19),INDEX(HU_ord,BH$5-$A50+1)*$B50,0)</f>
        <v>0.0</v>
      </c>
      <c r="BI50" s="14">
        <f>IF(AND(BI$5-$A50&gt;=0,BI$5-$A50&lt;=19),INDEX(HU_ord,BI$5-$A50+1)*$B50,0)</f>
        <v>0.0</v>
      </c>
      <c r="BJ50" s="14">
        <f>IF(AND(BJ$5-$A50&gt;=0,BJ$5-$A50&lt;=19),INDEX(HU_ord,BJ$5-$A50+1)*$B50,0)</f>
        <v>0.0</v>
      </c>
      <c r="BK50" s="14">
        <f>IF(AND(BK$5-$A50&gt;=0,BK$5-$A50&lt;=19),INDEX(HU_ord,BK$5-$A50+1)*$B50,0)</f>
        <v>0.0</v>
      </c>
      <c r="BL50" s="14">
        <f>IF(AND(BL$5-$A50&gt;=0,BL$5-$A50&lt;=19),INDEX(HU_ord,BL$5-$A50+1)*$B50,0)</f>
        <v>0.0</v>
      </c>
      <c r="BM50" s="14">
        <f>IF(AND(BM$5-$A50&gt;=0,BM$5-$A50&lt;=19),INDEX(HU_ord,BM$5-$A50+1)*$B50,0)</f>
        <v>0.0</v>
      </c>
      <c r="BN50" s="14">
        <f>IF(AND(BN$5-$A50&gt;=0,BN$5-$A50&lt;=19),INDEX(HU_ord,BN$5-$A50+1)*$B50,0)</f>
        <v>0.0</v>
      </c>
      <c r="BO50" s="14">
        <f>IF(AND(BO$5-$A50&gt;=0,BO$5-$A50&lt;=19),INDEX(HU_ord,BO$5-$A50+1)*$B50,0)</f>
        <v>0.0</v>
      </c>
      <c r="BP50" s="14">
        <f>IF(AND(BP$5-$A50&gt;=0,BP$5-$A50&lt;=19),INDEX(HU_ord,BP$5-$A50+1)*$B50,0)</f>
        <v>0.0</v>
      </c>
      <c r="BQ50" s="14">
        <f>IF(AND(BQ$5-$A50&gt;=0,BQ$5-$A50&lt;=19),INDEX(HU_ord,BQ$5-$A50+1)*$B50,0)</f>
        <v>0.0</v>
      </c>
      <c r="BR50" s="14">
        <f>IF(AND(BR$5-$A50&gt;=0,BR$5-$A50&lt;=19),INDEX(HU_ord,BR$5-$A50+1)*$B50,0)</f>
        <v>0.0</v>
      </c>
      <c r="BS50" s="14">
        <f>IF(AND(BS$5-$A50&gt;=0,BS$5-$A50&lt;=19),INDEX(HU_ord,BS$5-$A50+1)*$B50,0)</f>
        <v>0.0</v>
      </c>
      <c r="BT50" s="14">
        <f>IF(AND(BT$5-$A50&gt;=0,BT$5-$A50&lt;=19),INDEX(HU_ord,BT$5-$A50+1)*$B50,0)</f>
        <v>0.0</v>
      </c>
      <c r="BU50" s="14">
        <f>IF(AND(BU$5-$A50&gt;=0,BU$5-$A50&lt;=19),INDEX(HU_ord,BU$5-$A50+1)*$B50,0)</f>
        <v>0.0</v>
      </c>
      <c r="BV50" s="14">
        <f>IF(AND(BV$5-$A50&gt;=0,BV$5-$A50&lt;=19),INDEX(HU_ord,BV$5-$A50+1)*$B50,0)</f>
        <v>0.0</v>
      </c>
      <c r="BW50" s="14">
        <f>IF(AND(BW$5-$A50&gt;=0,BW$5-$A50&lt;=19),INDEX(HU_ord,BW$5-$A50+1)*$B50,0)</f>
        <v>0.0</v>
      </c>
      <c r="BX50" s="14">
        <f>IF(AND(BX$5-$A50&gt;=0,BX$5-$A50&lt;=19),INDEX(HU_ord,BX$5-$A50+1)*$B50,0)</f>
        <v>0.0</v>
      </c>
      <c r="BY50" s="14">
        <f>IF(AND(BY$5-$A50&gt;=0,BY$5-$A50&lt;=19),INDEX(HU_ord,BY$5-$A50+1)*$B50,0)</f>
        <v>0.0</v>
      </c>
      <c r="BZ50" s="14">
        <f>IF(AND(BZ$5-$A50&gt;=0,BZ$5-$A50&lt;=19),INDEX(HU_ord,BZ$5-$A50+1)*$B50,0)</f>
        <v>0.0</v>
      </c>
      <c r="CA50" s="14">
        <f>IF(AND(CA$5-$A50&gt;=0,CA$5-$A50&lt;=19),INDEX(HU_ord,CA$5-$A50+1)*$B50,0)</f>
        <v>0.0</v>
      </c>
      <c r="CB50" s="14">
        <f>IF(AND(CB$5-$A50&gt;=0,CB$5-$A50&lt;=19),INDEX(HU_ord,CB$5-$A50+1)*$B50,0)</f>
        <v>0.0</v>
      </c>
      <c r="CC50" s="14">
        <f>IF(AND(CC$5-$A50&gt;=0,CC$5-$A50&lt;=19),INDEX(HU_ord,CC$5-$A50+1)*$B50,0)</f>
        <v>0.0</v>
      </c>
      <c r="CD50" s="14">
        <f>IF(AND(CD$5-$A50&gt;=0,CD$5-$A50&lt;=19),INDEX(HU_ord,CD$5-$A50+1)*$B50,0)</f>
        <v>0.0</v>
      </c>
      <c r="CE50" s="14">
        <f>IF(AND(CE$5-$A50&gt;=0,CE$5-$A50&lt;=19),INDEX(HU_ord,CE$5-$A50+1)*$B50,0)</f>
        <v>0.0</v>
      </c>
      <c r="CF50" s="14">
        <f>IF(AND(CF$5-$A50&gt;=0,CF$5-$A50&lt;=19),INDEX(HU_ord,CF$5-$A50+1)*$B50,0)</f>
        <v>0.0</v>
      </c>
      <c r="CG50" s="14">
        <f>IF(AND(CG$5-$A50&gt;=0,CG$5-$A50&lt;=19),INDEX(HU_ord,CG$5-$A50+1)*$B50,0)</f>
        <v>0.0</v>
      </c>
      <c r="CH50" s="14">
        <f>IF(AND(CH$5-$A50&gt;=0,CH$5-$A50&lt;=19),INDEX(HU_ord,CH$5-$A50+1)*$B50,0)</f>
        <v>0.0</v>
      </c>
      <c r="CI50" s="14">
        <f>IF(AND(CI$5-$A50&gt;=0,CI$5-$A50&lt;=19),INDEX(HU_ord,CI$5-$A50+1)*$B50,0)</f>
        <v>0.0</v>
      </c>
      <c r="CJ50" s="14">
        <f>IF(AND(CJ$5-$A50&gt;=0,CJ$5-$A50&lt;=19),INDEX(HU_ord,CJ$5-$A50+1)*$B50,0)</f>
        <v>0.0</v>
      </c>
      <c r="CK50" s="14">
        <f>IF(AND(CK$5-$A50&gt;=0,CK$5-$A50&lt;=19),INDEX(HU_ord,CK$5-$A50+1)*$B50,0)</f>
        <v>0.0</v>
      </c>
      <c r="CL50" s="14">
        <f>IF(AND(CL$5-$A50&gt;=0,CL$5-$A50&lt;=19),INDEX(HU_ord,CL$5-$A50+1)*$B50,0)</f>
        <v>0.0</v>
      </c>
      <c r="CM50" s="14">
        <f>IF(AND(CM$5-$A50&gt;=0,CM$5-$A50&lt;=19),INDEX(HU_ord,CM$5-$A50+1)*$B50,0)</f>
        <v>0.0</v>
      </c>
      <c r="CN50" s="14">
        <f>IF(AND(CN$5-$A50&gt;=0,CN$5-$A50&lt;=19),INDEX(HU_ord,CN$5-$A50+1)*$B50,0)</f>
        <v>0.0</v>
      </c>
      <c r="CO50" s="14">
        <f>IF(AND(CO$5-$A50&gt;=0,CO$5-$A50&lt;=19),INDEX(HU_ord,CO$5-$A50+1)*$B50,0)</f>
        <v>0.0</v>
      </c>
      <c r="CP50" s="14">
        <f>IF(AND(CP$5-$A50&gt;=0,CP$5-$A50&lt;=19),INDEX(HU_ord,CP$5-$A50+1)*$B50,0)</f>
        <v>0.0</v>
      </c>
      <c r="CQ50" s="14">
        <f>IF(AND(CQ$5-$A50&gt;=0,CQ$5-$A50&lt;=19),INDEX(HU_ord,CQ$5-$A50+1)*$B50,0)</f>
        <v>0.0</v>
      </c>
      <c r="CR50" s="14">
        <f>IF(AND(CR$5-$A50&gt;=0,CR$5-$A50&lt;=19),INDEX(HU_ord,CR$5-$A50+1)*$B50,0)</f>
        <v>0.0</v>
      </c>
      <c r="CS50" s="14">
        <f>IF(AND(CS$5-$A50&gt;=0,CS$5-$A50&lt;=19),INDEX(HU_ord,CS$5-$A50+1)*$B50,0)</f>
        <v>0.0</v>
      </c>
      <c r="CT50" s="14">
        <f>IF(AND(CT$5-$A50&gt;=0,CT$5-$A50&lt;=19),INDEX(HU_ord,CT$5-$A50+1)*$B50,0)</f>
        <v>0.0</v>
      </c>
      <c r="CU50" s="14">
        <f>IF(AND(CU$5-$A50&gt;=0,CU$5-$A50&lt;=19),INDEX(HU_ord,CU$5-$A50+1)*$B50,0)</f>
        <v>0.0</v>
      </c>
      <c r="CV50" s="14">
        <f>IF(AND(CV$5-$A50&gt;=0,CV$5-$A50&lt;=19),INDEX(HU_ord,CV$5-$A50+1)*$B50,0)</f>
        <v>0.0</v>
      </c>
      <c r="CW50" s="14">
        <f>IF(AND(CW$5-$A50&gt;=0,CW$5-$A50&lt;=19),INDEX(HU_ord,CW$5-$A50+1)*$B50,0)</f>
        <v>0.0</v>
      </c>
      <c r="CX50" s="14">
        <f>IF(AND(CX$5-$A50&gt;=0,CX$5-$A50&lt;=19),INDEX(HU_ord,CX$5-$A50+1)*$B50,0)</f>
        <v>0.0</v>
      </c>
      <c r="CY50" s="14">
        <f>IF(AND(CY$5-$A50&gt;=0,CY$5-$A50&lt;=19),INDEX(HU_ord,CY$5-$A50+1)*$B50,0)</f>
        <v>0.0</v>
      </c>
      <c r="CZ50" s="14">
        <f>IF(AND(CZ$5-$A50&gt;=0,CZ$5-$A50&lt;=19),INDEX(HU_ord,CZ$5-$A50+1)*$B50,0)</f>
        <v>0.0</v>
      </c>
      <c r="DA50" s="14">
        <f>IF(AND(DA$5-$A50&gt;=0,DA$5-$A50&lt;=19),INDEX(HU_ord,DA$5-$A50+1)*$B50,0)</f>
        <v>0.0</v>
      </c>
      <c r="DB50" s="14">
        <f>IF(AND(DB$5-$A50&gt;=0,DB$5-$A50&lt;=19),INDEX(HU_ord,DB$5-$A50+1)*$B50,0)</f>
        <v>0.0</v>
      </c>
      <c r="DC50" s="14">
        <f>IF(AND(DC$5-$A50&gt;=0,DC$5-$A50&lt;=19),INDEX(HU_ord,DC$5-$A50+1)*$B50,0)</f>
        <v>0.0</v>
      </c>
      <c r="DD50" s="14">
        <f>IF(AND(DD$5-$A50&gt;=0,DD$5-$A50&lt;=19),INDEX(HU_ord,DD$5-$A50+1)*$B50,0)</f>
        <v>0.0</v>
      </c>
      <c r="DE50" s="14">
        <f>IF(AND(DE$5-$A50&gt;=0,DE$5-$A50&lt;=19),INDEX(HU_ord,DE$5-$A50+1)*$B50,0)</f>
        <v>0.0</v>
      </c>
      <c r="DF50" s="14">
        <f>IF(AND(DF$5-$A50&gt;=0,DF$5-$A50&lt;=19),INDEX(HU_ord,DF$5-$A50+1)*$B50,0)</f>
        <v>0.0</v>
      </c>
      <c r="DG50" s="14">
        <f>IF(AND(DG$5-$A50&gt;=0,DG$5-$A50&lt;=19),INDEX(HU_ord,DG$5-$A50+1)*$B50,0)</f>
        <v>0.0</v>
      </c>
      <c r="DH50" s="14">
        <f>IF(AND(DH$5-$A50&gt;=0,DH$5-$A50&lt;=19),INDEX(HU_ord,DH$5-$A50+1)*$B50,0)</f>
        <v>0.0</v>
      </c>
      <c r="DI50" s="14">
        <f>IF(AND(DI$5-$A50&gt;=0,DI$5-$A50&lt;=19),INDEX(HU_ord,DI$5-$A50+1)*$B50,0)</f>
        <v>0.0</v>
      </c>
    </row>
    <row r="51" spans="1:113">
      <c r="A51">
        <v>45</v>
      </c>
      <c r="B51" s="10">
        <f>Serie_horaria!N47</f>
        <v>0.0</v>
      </c>
      <c r="C51" s="14">
        <f>IF(AND(C$5-$A51&gt;=0,C$5-$A51&lt;=19),INDEX(HU_ord,C$5-$A51+1)*$B51,0)</f>
        <v>0.0</v>
      </c>
      <c r="D51" s="14">
        <f>IF(AND(D$5-$A51&gt;=0,D$5-$A51&lt;=19),INDEX(HU_ord,D$5-$A51+1)*$B51,0)</f>
        <v>0.0</v>
      </c>
      <c r="E51" s="14">
        <f>IF(AND(E$5-$A51&gt;=0,E$5-$A51&lt;=19),INDEX(HU_ord,E$5-$A51+1)*$B51,0)</f>
        <v>0.0</v>
      </c>
      <c r="F51" s="14">
        <f>IF(AND(F$5-$A51&gt;=0,F$5-$A51&lt;=19),INDEX(HU_ord,F$5-$A51+1)*$B51,0)</f>
        <v>0.0</v>
      </c>
      <c r="G51" s="14">
        <f>IF(AND(G$5-$A51&gt;=0,G$5-$A51&lt;=19),INDEX(HU_ord,G$5-$A51+1)*$B51,0)</f>
        <v>0.0</v>
      </c>
      <c r="H51" s="14">
        <f>IF(AND(H$5-$A51&gt;=0,H$5-$A51&lt;=19),INDEX(HU_ord,H$5-$A51+1)*$B51,0)</f>
        <v>0.0</v>
      </c>
      <c r="I51" s="14">
        <f>IF(AND(I$5-$A51&gt;=0,I$5-$A51&lt;=19),INDEX(HU_ord,I$5-$A51+1)*$B51,0)</f>
        <v>0.0</v>
      </c>
      <c r="J51" s="14">
        <f>IF(AND(J$5-$A51&gt;=0,J$5-$A51&lt;=19),INDEX(HU_ord,J$5-$A51+1)*$B51,0)</f>
        <v>0.0</v>
      </c>
      <c r="K51" s="14">
        <f>IF(AND(K$5-$A51&gt;=0,K$5-$A51&lt;=19),INDEX(HU_ord,K$5-$A51+1)*$B51,0)</f>
        <v>0.0</v>
      </c>
      <c r="L51" s="14">
        <f>IF(AND(L$5-$A51&gt;=0,L$5-$A51&lt;=19),INDEX(HU_ord,L$5-$A51+1)*$B51,0)</f>
        <v>0.0</v>
      </c>
      <c r="M51" s="14">
        <f>IF(AND(M$5-$A51&gt;=0,M$5-$A51&lt;=19),INDEX(HU_ord,M$5-$A51+1)*$B51,0)</f>
        <v>0.0</v>
      </c>
      <c r="N51" s="14">
        <f>IF(AND(N$5-$A51&gt;=0,N$5-$A51&lt;=19),INDEX(HU_ord,N$5-$A51+1)*$B51,0)</f>
        <v>0.0</v>
      </c>
      <c r="O51" s="14">
        <f>IF(AND(O$5-$A51&gt;=0,O$5-$A51&lt;=19),INDEX(HU_ord,O$5-$A51+1)*$B51,0)</f>
        <v>0.0</v>
      </c>
      <c r="P51" s="14">
        <f>IF(AND(P$5-$A51&gt;=0,P$5-$A51&lt;=19),INDEX(HU_ord,P$5-$A51+1)*$B51,0)</f>
        <v>0.0</v>
      </c>
      <c r="Q51" s="14">
        <f>IF(AND(Q$5-$A51&gt;=0,Q$5-$A51&lt;=19),INDEX(HU_ord,Q$5-$A51+1)*$B51,0)</f>
        <v>0.0</v>
      </c>
      <c r="R51" s="14">
        <f>IF(AND(R$5-$A51&gt;=0,R$5-$A51&lt;=19),INDEX(HU_ord,R$5-$A51+1)*$B51,0)</f>
        <v>0.0</v>
      </c>
      <c r="S51" s="14">
        <f>IF(AND(S$5-$A51&gt;=0,S$5-$A51&lt;=19),INDEX(HU_ord,S$5-$A51+1)*$B51,0)</f>
        <v>0.0</v>
      </c>
      <c r="T51" s="14">
        <f>IF(AND(T$5-$A51&gt;=0,T$5-$A51&lt;=19),INDEX(HU_ord,T$5-$A51+1)*$B51,0)</f>
        <v>0.0</v>
      </c>
      <c r="U51" s="14">
        <f>IF(AND(U$5-$A51&gt;=0,U$5-$A51&lt;=19),INDEX(HU_ord,U$5-$A51+1)*$B51,0)</f>
        <v>0.0</v>
      </c>
      <c r="V51" s="14">
        <f>IF(AND(V$5-$A51&gt;=0,V$5-$A51&lt;=19),INDEX(HU_ord,V$5-$A51+1)*$B51,0)</f>
        <v>0.0</v>
      </c>
      <c r="W51" s="14">
        <f>IF(AND(W$5-$A51&gt;=0,W$5-$A51&lt;=19),INDEX(HU_ord,W$5-$A51+1)*$B51,0)</f>
        <v>0.0</v>
      </c>
      <c r="X51" s="14">
        <f>IF(AND(X$5-$A51&gt;=0,X$5-$A51&lt;=19),INDEX(HU_ord,X$5-$A51+1)*$B51,0)</f>
        <v>0.0</v>
      </c>
      <c r="Y51" s="14">
        <f>IF(AND(Y$5-$A51&gt;=0,Y$5-$A51&lt;=19),INDEX(HU_ord,Y$5-$A51+1)*$B51,0)</f>
        <v>0.0</v>
      </c>
      <c r="Z51" s="14">
        <f>IF(AND(Z$5-$A51&gt;=0,Z$5-$A51&lt;=19),INDEX(HU_ord,Z$5-$A51+1)*$B51,0)</f>
        <v>0.0</v>
      </c>
      <c r="AA51" s="14">
        <f>IF(AND(AA$5-$A51&gt;=0,AA$5-$A51&lt;=19),INDEX(HU_ord,AA$5-$A51+1)*$B51,0)</f>
        <v>0.0</v>
      </c>
      <c r="AB51" s="14">
        <f>IF(AND(AB$5-$A51&gt;=0,AB$5-$A51&lt;=19),INDEX(HU_ord,AB$5-$A51+1)*$B51,0)</f>
        <v>0.0</v>
      </c>
      <c r="AC51" s="14">
        <f>IF(AND(AC$5-$A51&gt;=0,AC$5-$A51&lt;=19),INDEX(HU_ord,AC$5-$A51+1)*$B51,0)</f>
        <v>0.0</v>
      </c>
      <c r="AD51" s="14">
        <f>IF(AND(AD$5-$A51&gt;=0,AD$5-$A51&lt;=19),INDEX(HU_ord,AD$5-$A51+1)*$B51,0)</f>
        <v>0.0</v>
      </c>
      <c r="AE51" s="14">
        <f>IF(AND(AE$5-$A51&gt;=0,AE$5-$A51&lt;=19),INDEX(HU_ord,AE$5-$A51+1)*$B51,0)</f>
        <v>0.0</v>
      </c>
      <c r="AF51" s="14">
        <f>IF(AND(AF$5-$A51&gt;=0,AF$5-$A51&lt;=19),INDEX(HU_ord,AF$5-$A51+1)*$B51,0)</f>
        <v>0.0</v>
      </c>
      <c r="AG51" s="14">
        <f>IF(AND(AG$5-$A51&gt;=0,AG$5-$A51&lt;=19),INDEX(HU_ord,AG$5-$A51+1)*$B51,0)</f>
        <v>0.0</v>
      </c>
      <c r="AH51" s="14">
        <f>IF(AND(AH$5-$A51&gt;=0,AH$5-$A51&lt;=19),INDEX(HU_ord,AH$5-$A51+1)*$B51,0)</f>
        <v>0.0</v>
      </c>
      <c r="AI51" s="14">
        <f>IF(AND(AI$5-$A51&gt;=0,AI$5-$A51&lt;=19),INDEX(HU_ord,AI$5-$A51+1)*$B51,0)</f>
        <v>0.0</v>
      </c>
      <c r="AJ51" s="14">
        <f>IF(AND(AJ$5-$A51&gt;=0,AJ$5-$A51&lt;=19),INDEX(HU_ord,AJ$5-$A51+1)*$B51,0)</f>
        <v>0.0</v>
      </c>
      <c r="AK51" s="14">
        <f>IF(AND(AK$5-$A51&gt;=0,AK$5-$A51&lt;=19),INDEX(HU_ord,AK$5-$A51+1)*$B51,0)</f>
        <v>0.0</v>
      </c>
      <c r="AL51" s="14">
        <f>IF(AND(AL$5-$A51&gt;=0,AL$5-$A51&lt;=19),INDEX(HU_ord,AL$5-$A51+1)*$B51,0)</f>
        <v>0.0</v>
      </c>
      <c r="AM51" s="14">
        <f>IF(AND(AM$5-$A51&gt;=0,AM$5-$A51&lt;=19),INDEX(HU_ord,AM$5-$A51+1)*$B51,0)</f>
        <v>0.0</v>
      </c>
      <c r="AN51" s="14">
        <f>IF(AND(AN$5-$A51&gt;=0,AN$5-$A51&lt;=19),INDEX(HU_ord,AN$5-$A51+1)*$B51,0)</f>
        <v>0.0</v>
      </c>
      <c r="AO51" s="14">
        <f>IF(AND(AO$5-$A51&gt;=0,AO$5-$A51&lt;=19),INDEX(HU_ord,AO$5-$A51+1)*$B51,0)</f>
        <v>0.0</v>
      </c>
      <c r="AP51" s="14">
        <f>IF(AND(AP$5-$A51&gt;=0,AP$5-$A51&lt;=19),INDEX(HU_ord,AP$5-$A51+1)*$B51,0)</f>
        <v>0.0</v>
      </c>
      <c r="AQ51" s="14">
        <f>IF(AND(AQ$5-$A51&gt;=0,AQ$5-$A51&lt;=19),INDEX(HU_ord,AQ$5-$A51+1)*$B51,0)</f>
        <v>0.0</v>
      </c>
      <c r="AR51" s="14">
        <f>IF(AND(AR$5-$A51&gt;=0,AR$5-$A51&lt;=19),INDEX(HU_ord,AR$5-$A51+1)*$B51,0)</f>
        <v>0.0</v>
      </c>
      <c r="AS51" s="14">
        <f>IF(AND(AS$5-$A51&gt;=0,AS$5-$A51&lt;=19),INDEX(HU_ord,AS$5-$A51+1)*$B51,0)</f>
        <v>0.0</v>
      </c>
      <c r="AT51" s="14">
        <f>IF(AND(AT$5-$A51&gt;=0,AT$5-$A51&lt;=19),INDEX(HU_ord,AT$5-$A51+1)*$B51,0)</f>
        <v>0.0</v>
      </c>
      <c r="AU51" s="14">
        <f>IF(AND(AU$5-$A51&gt;=0,AU$5-$A51&lt;=19),INDEX(HU_ord,AU$5-$A51+1)*$B51,0)</f>
        <v>0.0</v>
      </c>
      <c r="AV51" s="14">
        <f>IF(AND(AV$5-$A51&gt;=0,AV$5-$A51&lt;=19),INDEX(HU_ord,AV$5-$A51+1)*$B51,0)</f>
        <v>0.0</v>
      </c>
      <c r="AW51" s="14">
        <f>IF(AND(AW$5-$A51&gt;=0,AW$5-$A51&lt;=19),INDEX(HU_ord,AW$5-$A51+1)*$B51,0)</f>
        <v>0.0</v>
      </c>
      <c r="AX51" s="14">
        <f>IF(AND(AX$5-$A51&gt;=0,AX$5-$A51&lt;=19),INDEX(HU_ord,AX$5-$A51+1)*$B51,0)</f>
        <v>0.0</v>
      </c>
      <c r="AY51" s="14">
        <f>IF(AND(AY$5-$A51&gt;=0,AY$5-$A51&lt;=19),INDEX(HU_ord,AY$5-$A51+1)*$B51,0)</f>
        <v>0.0</v>
      </c>
      <c r="AZ51" s="14">
        <f>IF(AND(AZ$5-$A51&gt;=0,AZ$5-$A51&lt;=19),INDEX(HU_ord,AZ$5-$A51+1)*$B51,0)</f>
        <v>0.0</v>
      </c>
      <c r="BA51" s="14">
        <f>IF(AND(BA$5-$A51&gt;=0,BA$5-$A51&lt;=19),INDEX(HU_ord,BA$5-$A51+1)*$B51,0)</f>
        <v>0.0</v>
      </c>
      <c r="BB51" s="14">
        <f>IF(AND(BB$5-$A51&gt;=0,BB$5-$A51&lt;=19),INDEX(HU_ord,BB$5-$A51+1)*$B51,0)</f>
        <v>0.0</v>
      </c>
      <c r="BC51" s="14">
        <f>IF(AND(BC$5-$A51&gt;=0,BC$5-$A51&lt;=19),INDEX(HU_ord,BC$5-$A51+1)*$B51,0)</f>
        <v>0.0</v>
      </c>
      <c r="BD51" s="14">
        <f>IF(AND(BD$5-$A51&gt;=0,BD$5-$A51&lt;=19),INDEX(HU_ord,BD$5-$A51+1)*$B51,0)</f>
        <v>0.0</v>
      </c>
      <c r="BE51" s="14">
        <f>IF(AND(BE$5-$A51&gt;=0,BE$5-$A51&lt;=19),INDEX(HU_ord,BE$5-$A51+1)*$B51,0)</f>
        <v>0.0</v>
      </c>
      <c r="BF51" s="14">
        <f>IF(AND(BF$5-$A51&gt;=0,BF$5-$A51&lt;=19),INDEX(HU_ord,BF$5-$A51+1)*$B51,0)</f>
        <v>0.0</v>
      </c>
      <c r="BG51" s="14">
        <f>IF(AND(BG$5-$A51&gt;=0,BG$5-$A51&lt;=19),INDEX(HU_ord,BG$5-$A51+1)*$B51,0)</f>
        <v>0.0</v>
      </c>
      <c r="BH51" s="14">
        <f>IF(AND(BH$5-$A51&gt;=0,BH$5-$A51&lt;=19),INDEX(HU_ord,BH$5-$A51+1)*$B51,0)</f>
        <v>0.0</v>
      </c>
      <c r="BI51" s="14">
        <f>IF(AND(BI$5-$A51&gt;=0,BI$5-$A51&lt;=19),INDEX(HU_ord,BI$5-$A51+1)*$B51,0)</f>
        <v>0.0</v>
      </c>
      <c r="BJ51" s="14">
        <f>IF(AND(BJ$5-$A51&gt;=0,BJ$5-$A51&lt;=19),INDEX(HU_ord,BJ$5-$A51+1)*$B51,0)</f>
        <v>0.0</v>
      </c>
      <c r="BK51" s="14">
        <f>IF(AND(BK$5-$A51&gt;=0,BK$5-$A51&lt;=19),INDEX(HU_ord,BK$5-$A51+1)*$B51,0)</f>
        <v>0.0</v>
      </c>
      <c r="BL51" s="14">
        <f>IF(AND(BL$5-$A51&gt;=0,BL$5-$A51&lt;=19),INDEX(HU_ord,BL$5-$A51+1)*$B51,0)</f>
        <v>0.0</v>
      </c>
      <c r="BM51" s="14">
        <f>IF(AND(BM$5-$A51&gt;=0,BM$5-$A51&lt;=19),INDEX(HU_ord,BM$5-$A51+1)*$B51,0)</f>
        <v>0.0</v>
      </c>
      <c r="BN51" s="14">
        <f>IF(AND(BN$5-$A51&gt;=0,BN$5-$A51&lt;=19),INDEX(HU_ord,BN$5-$A51+1)*$B51,0)</f>
        <v>0.0</v>
      </c>
      <c r="BO51" s="14">
        <f>IF(AND(BO$5-$A51&gt;=0,BO$5-$A51&lt;=19),INDEX(HU_ord,BO$5-$A51+1)*$B51,0)</f>
        <v>0.0</v>
      </c>
      <c r="BP51" s="14">
        <f>IF(AND(BP$5-$A51&gt;=0,BP$5-$A51&lt;=19),INDEX(HU_ord,BP$5-$A51+1)*$B51,0)</f>
        <v>0.0</v>
      </c>
      <c r="BQ51" s="14">
        <f>IF(AND(BQ$5-$A51&gt;=0,BQ$5-$A51&lt;=19),INDEX(HU_ord,BQ$5-$A51+1)*$B51,0)</f>
        <v>0.0</v>
      </c>
      <c r="BR51" s="14">
        <f>IF(AND(BR$5-$A51&gt;=0,BR$5-$A51&lt;=19),INDEX(HU_ord,BR$5-$A51+1)*$B51,0)</f>
        <v>0.0</v>
      </c>
      <c r="BS51" s="14">
        <f>IF(AND(BS$5-$A51&gt;=0,BS$5-$A51&lt;=19),INDEX(HU_ord,BS$5-$A51+1)*$B51,0)</f>
        <v>0.0</v>
      </c>
      <c r="BT51" s="14">
        <f>IF(AND(BT$5-$A51&gt;=0,BT$5-$A51&lt;=19),INDEX(HU_ord,BT$5-$A51+1)*$B51,0)</f>
        <v>0.0</v>
      </c>
      <c r="BU51" s="14">
        <f>IF(AND(BU$5-$A51&gt;=0,BU$5-$A51&lt;=19),INDEX(HU_ord,BU$5-$A51+1)*$B51,0)</f>
        <v>0.0</v>
      </c>
      <c r="BV51" s="14">
        <f>IF(AND(BV$5-$A51&gt;=0,BV$5-$A51&lt;=19),INDEX(HU_ord,BV$5-$A51+1)*$B51,0)</f>
        <v>0.0</v>
      </c>
      <c r="BW51" s="14">
        <f>IF(AND(BW$5-$A51&gt;=0,BW$5-$A51&lt;=19),INDEX(HU_ord,BW$5-$A51+1)*$B51,0)</f>
        <v>0.0</v>
      </c>
      <c r="BX51" s="14">
        <f>IF(AND(BX$5-$A51&gt;=0,BX$5-$A51&lt;=19),INDEX(HU_ord,BX$5-$A51+1)*$B51,0)</f>
        <v>0.0</v>
      </c>
      <c r="BY51" s="14">
        <f>IF(AND(BY$5-$A51&gt;=0,BY$5-$A51&lt;=19),INDEX(HU_ord,BY$5-$A51+1)*$B51,0)</f>
        <v>0.0</v>
      </c>
      <c r="BZ51" s="14">
        <f>IF(AND(BZ$5-$A51&gt;=0,BZ$5-$A51&lt;=19),INDEX(HU_ord,BZ$5-$A51+1)*$B51,0)</f>
        <v>0.0</v>
      </c>
      <c r="CA51" s="14">
        <f>IF(AND(CA$5-$A51&gt;=0,CA$5-$A51&lt;=19),INDEX(HU_ord,CA$5-$A51+1)*$B51,0)</f>
        <v>0.0</v>
      </c>
      <c r="CB51" s="14">
        <f>IF(AND(CB$5-$A51&gt;=0,CB$5-$A51&lt;=19),INDEX(HU_ord,CB$5-$A51+1)*$B51,0)</f>
        <v>0.0</v>
      </c>
      <c r="CC51" s="14">
        <f>IF(AND(CC$5-$A51&gt;=0,CC$5-$A51&lt;=19),INDEX(HU_ord,CC$5-$A51+1)*$B51,0)</f>
        <v>0.0</v>
      </c>
      <c r="CD51" s="14">
        <f>IF(AND(CD$5-$A51&gt;=0,CD$5-$A51&lt;=19),INDEX(HU_ord,CD$5-$A51+1)*$B51,0)</f>
        <v>0.0</v>
      </c>
      <c r="CE51" s="14">
        <f>IF(AND(CE$5-$A51&gt;=0,CE$5-$A51&lt;=19),INDEX(HU_ord,CE$5-$A51+1)*$B51,0)</f>
        <v>0.0</v>
      </c>
      <c r="CF51" s="14">
        <f>IF(AND(CF$5-$A51&gt;=0,CF$5-$A51&lt;=19),INDEX(HU_ord,CF$5-$A51+1)*$B51,0)</f>
        <v>0.0</v>
      </c>
      <c r="CG51" s="14">
        <f>IF(AND(CG$5-$A51&gt;=0,CG$5-$A51&lt;=19),INDEX(HU_ord,CG$5-$A51+1)*$B51,0)</f>
        <v>0.0</v>
      </c>
      <c r="CH51" s="14">
        <f>IF(AND(CH$5-$A51&gt;=0,CH$5-$A51&lt;=19),INDEX(HU_ord,CH$5-$A51+1)*$B51,0)</f>
        <v>0.0</v>
      </c>
      <c r="CI51" s="14">
        <f>IF(AND(CI$5-$A51&gt;=0,CI$5-$A51&lt;=19),INDEX(HU_ord,CI$5-$A51+1)*$B51,0)</f>
        <v>0.0</v>
      </c>
      <c r="CJ51" s="14">
        <f>IF(AND(CJ$5-$A51&gt;=0,CJ$5-$A51&lt;=19),INDEX(HU_ord,CJ$5-$A51+1)*$B51,0)</f>
        <v>0.0</v>
      </c>
      <c r="CK51" s="14">
        <f>IF(AND(CK$5-$A51&gt;=0,CK$5-$A51&lt;=19),INDEX(HU_ord,CK$5-$A51+1)*$B51,0)</f>
        <v>0.0</v>
      </c>
      <c r="CL51" s="14">
        <f>IF(AND(CL$5-$A51&gt;=0,CL$5-$A51&lt;=19),INDEX(HU_ord,CL$5-$A51+1)*$B51,0)</f>
        <v>0.0</v>
      </c>
      <c r="CM51" s="14">
        <f>IF(AND(CM$5-$A51&gt;=0,CM$5-$A51&lt;=19),INDEX(HU_ord,CM$5-$A51+1)*$B51,0)</f>
        <v>0.0</v>
      </c>
      <c r="CN51" s="14">
        <f>IF(AND(CN$5-$A51&gt;=0,CN$5-$A51&lt;=19),INDEX(HU_ord,CN$5-$A51+1)*$B51,0)</f>
        <v>0.0</v>
      </c>
      <c r="CO51" s="14">
        <f>IF(AND(CO$5-$A51&gt;=0,CO$5-$A51&lt;=19),INDEX(HU_ord,CO$5-$A51+1)*$B51,0)</f>
        <v>0.0</v>
      </c>
      <c r="CP51" s="14">
        <f>IF(AND(CP$5-$A51&gt;=0,CP$5-$A51&lt;=19),INDEX(HU_ord,CP$5-$A51+1)*$B51,0)</f>
        <v>0.0</v>
      </c>
      <c r="CQ51" s="14">
        <f>IF(AND(CQ$5-$A51&gt;=0,CQ$5-$A51&lt;=19),INDEX(HU_ord,CQ$5-$A51+1)*$B51,0)</f>
        <v>0.0</v>
      </c>
      <c r="CR51" s="14">
        <f>IF(AND(CR$5-$A51&gt;=0,CR$5-$A51&lt;=19),INDEX(HU_ord,CR$5-$A51+1)*$B51,0)</f>
        <v>0.0</v>
      </c>
      <c r="CS51" s="14">
        <f>IF(AND(CS$5-$A51&gt;=0,CS$5-$A51&lt;=19),INDEX(HU_ord,CS$5-$A51+1)*$B51,0)</f>
        <v>0.0</v>
      </c>
      <c r="CT51" s="14">
        <f>IF(AND(CT$5-$A51&gt;=0,CT$5-$A51&lt;=19),INDEX(HU_ord,CT$5-$A51+1)*$B51,0)</f>
        <v>0.0</v>
      </c>
      <c r="CU51" s="14">
        <f>IF(AND(CU$5-$A51&gt;=0,CU$5-$A51&lt;=19),INDEX(HU_ord,CU$5-$A51+1)*$B51,0)</f>
        <v>0.0</v>
      </c>
      <c r="CV51" s="14">
        <f>IF(AND(CV$5-$A51&gt;=0,CV$5-$A51&lt;=19),INDEX(HU_ord,CV$5-$A51+1)*$B51,0)</f>
        <v>0.0</v>
      </c>
      <c r="CW51" s="14">
        <f>IF(AND(CW$5-$A51&gt;=0,CW$5-$A51&lt;=19),INDEX(HU_ord,CW$5-$A51+1)*$B51,0)</f>
        <v>0.0</v>
      </c>
      <c r="CX51" s="14">
        <f>IF(AND(CX$5-$A51&gt;=0,CX$5-$A51&lt;=19),INDEX(HU_ord,CX$5-$A51+1)*$B51,0)</f>
        <v>0.0</v>
      </c>
      <c r="CY51" s="14">
        <f>IF(AND(CY$5-$A51&gt;=0,CY$5-$A51&lt;=19),INDEX(HU_ord,CY$5-$A51+1)*$B51,0)</f>
        <v>0.0</v>
      </c>
      <c r="CZ51" s="14">
        <f>IF(AND(CZ$5-$A51&gt;=0,CZ$5-$A51&lt;=19),INDEX(HU_ord,CZ$5-$A51+1)*$B51,0)</f>
        <v>0.0</v>
      </c>
      <c r="DA51" s="14">
        <f>IF(AND(DA$5-$A51&gt;=0,DA$5-$A51&lt;=19),INDEX(HU_ord,DA$5-$A51+1)*$B51,0)</f>
        <v>0.0</v>
      </c>
      <c r="DB51" s="14">
        <f>IF(AND(DB$5-$A51&gt;=0,DB$5-$A51&lt;=19),INDEX(HU_ord,DB$5-$A51+1)*$B51,0)</f>
        <v>0.0</v>
      </c>
      <c r="DC51" s="14">
        <f>IF(AND(DC$5-$A51&gt;=0,DC$5-$A51&lt;=19),INDEX(HU_ord,DC$5-$A51+1)*$B51,0)</f>
        <v>0.0</v>
      </c>
      <c r="DD51" s="14">
        <f>IF(AND(DD$5-$A51&gt;=0,DD$5-$A51&lt;=19),INDEX(HU_ord,DD$5-$A51+1)*$B51,0)</f>
        <v>0.0</v>
      </c>
      <c r="DE51" s="14">
        <f>IF(AND(DE$5-$A51&gt;=0,DE$5-$A51&lt;=19),INDEX(HU_ord,DE$5-$A51+1)*$B51,0)</f>
        <v>0.0</v>
      </c>
      <c r="DF51" s="14">
        <f>IF(AND(DF$5-$A51&gt;=0,DF$5-$A51&lt;=19),INDEX(HU_ord,DF$5-$A51+1)*$B51,0)</f>
        <v>0.0</v>
      </c>
      <c r="DG51" s="14">
        <f>IF(AND(DG$5-$A51&gt;=0,DG$5-$A51&lt;=19),INDEX(HU_ord,DG$5-$A51+1)*$B51,0)</f>
        <v>0.0</v>
      </c>
      <c r="DH51" s="14">
        <f>IF(AND(DH$5-$A51&gt;=0,DH$5-$A51&lt;=19),INDEX(HU_ord,DH$5-$A51+1)*$B51,0)</f>
        <v>0.0</v>
      </c>
      <c r="DI51" s="14">
        <f>IF(AND(DI$5-$A51&gt;=0,DI$5-$A51&lt;=19),INDEX(HU_ord,DI$5-$A51+1)*$B51,0)</f>
        <v>0.0</v>
      </c>
    </row>
    <row r="52" spans="1:113">
      <c r="A52">
        <v>46</v>
      </c>
      <c r="B52" s="10">
        <f>Serie_horaria!N48</f>
        <v>0.0021380031454036443</v>
      </c>
      <c r="C52" s="14">
        <f>IF(AND(C$5-$A52&gt;=0,C$5-$A52&lt;=19),INDEX(HU_ord,C$5-$A52+1)*$B52,0)</f>
        <v>0.0</v>
      </c>
      <c r="D52" s="14">
        <f>IF(AND(D$5-$A52&gt;=0,D$5-$A52&lt;=19),INDEX(HU_ord,D$5-$A52+1)*$B52,0)</f>
        <v>0.0</v>
      </c>
      <c r="E52" s="14">
        <f>IF(AND(E$5-$A52&gt;=0,E$5-$A52&lt;=19),INDEX(HU_ord,E$5-$A52+1)*$B52,0)</f>
        <v>0.0</v>
      </c>
      <c r="F52" s="14">
        <f>IF(AND(F$5-$A52&gt;=0,F$5-$A52&lt;=19),INDEX(HU_ord,F$5-$A52+1)*$B52,0)</f>
        <v>0.0</v>
      </c>
      <c r="G52" s="14">
        <f>IF(AND(G$5-$A52&gt;=0,G$5-$A52&lt;=19),INDEX(HU_ord,G$5-$A52+1)*$B52,0)</f>
        <v>0.0</v>
      </c>
      <c r="H52" s="14">
        <f>IF(AND(H$5-$A52&gt;=0,H$5-$A52&lt;=19),INDEX(HU_ord,H$5-$A52+1)*$B52,0)</f>
        <v>0.0</v>
      </c>
      <c r="I52" s="14">
        <f>IF(AND(I$5-$A52&gt;=0,I$5-$A52&lt;=19),INDEX(HU_ord,I$5-$A52+1)*$B52,0)</f>
        <v>0.0</v>
      </c>
      <c r="J52" s="14">
        <f>IF(AND(J$5-$A52&gt;=0,J$5-$A52&lt;=19),INDEX(HU_ord,J$5-$A52+1)*$B52,0)</f>
        <v>0.0</v>
      </c>
      <c r="K52" s="14">
        <f>IF(AND(K$5-$A52&gt;=0,K$5-$A52&lt;=19),INDEX(HU_ord,K$5-$A52+1)*$B52,0)</f>
        <v>0.0</v>
      </c>
      <c r="L52" s="14">
        <f>IF(AND(L$5-$A52&gt;=0,L$5-$A52&lt;=19),INDEX(HU_ord,L$5-$A52+1)*$B52,0)</f>
        <v>0.0</v>
      </c>
      <c r="M52" s="14">
        <f>IF(AND(M$5-$A52&gt;=0,M$5-$A52&lt;=19),INDEX(HU_ord,M$5-$A52+1)*$B52,0)</f>
        <v>0.0</v>
      </c>
      <c r="N52" s="14">
        <f>IF(AND(N$5-$A52&gt;=0,N$5-$A52&lt;=19),INDEX(HU_ord,N$5-$A52+1)*$B52,0)</f>
        <v>0.0</v>
      </c>
      <c r="O52" s="14">
        <f>IF(AND(O$5-$A52&gt;=0,O$5-$A52&lt;=19),INDEX(HU_ord,O$5-$A52+1)*$B52,0)</f>
        <v>0.0</v>
      </c>
      <c r="P52" s="14">
        <f>IF(AND(P$5-$A52&gt;=0,P$5-$A52&lt;=19),INDEX(HU_ord,P$5-$A52+1)*$B52,0)</f>
        <v>0.0</v>
      </c>
      <c r="Q52" s="14">
        <f>IF(AND(Q$5-$A52&gt;=0,Q$5-$A52&lt;=19),INDEX(HU_ord,Q$5-$A52+1)*$B52,0)</f>
        <v>0.0</v>
      </c>
      <c r="R52" s="14">
        <f>IF(AND(R$5-$A52&gt;=0,R$5-$A52&lt;=19),INDEX(HU_ord,R$5-$A52+1)*$B52,0)</f>
        <v>0.0</v>
      </c>
      <c r="S52" s="14">
        <f>IF(AND(S$5-$A52&gt;=0,S$5-$A52&lt;=19),INDEX(HU_ord,S$5-$A52+1)*$B52,0)</f>
        <v>0.0</v>
      </c>
      <c r="T52" s="14">
        <f>IF(AND(T$5-$A52&gt;=0,T$5-$A52&lt;=19),INDEX(HU_ord,T$5-$A52+1)*$B52,0)</f>
        <v>0.0</v>
      </c>
      <c r="U52" s="14">
        <f>IF(AND(U$5-$A52&gt;=0,U$5-$A52&lt;=19),INDEX(HU_ord,U$5-$A52+1)*$B52,0)</f>
        <v>0.0</v>
      </c>
      <c r="V52" s="14">
        <f>IF(AND(V$5-$A52&gt;=0,V$5-$A52&lt;=19),INDEX(HU_ord,V$5-$A52+1)*$B52,0)</f>
        <v>0.0</v>
      </c>
      <c r="W52" s="14">
        <f>IF(AND(W$5-$A52&gt;=0,W$5-$A52&lt;=19),INDEX(HU_ord,W$5-$A52+1)*$B52,0)</f>
        <v>0.0</v>
      </c>
      <c r="X52" s="14">
        <f>IF(AND(X$5-$A52&gt;=0,X$5-$A52&lt;=19),INDEX(HU_ord,X$5-$A52+1)*$B52,0)</f>
        <v>0.0</v>
      </c>
      <c r="Y52" s="14">
        <f>IF(AND(Y$5-$A52&gt;=0,Y$5-$A52&lt;=19),INDEX(HU_ord,Y$5-$A52+1)*$B52,0)</f>
        <v>0.0</v>
      </c>
      <c r="Z52" s="14">
        <f>IF(AND(Z$5-$A52&gt;=0,Z$5-$A52&lt;=19),INDEX(HU_ord,Z$5-$A52+1)*$B52,0)</f>
        <v>0.0</v>
      </c>
      <c r="AA52" s="14">
        <f>IF(AND(AA$5-$A52&gt;=0,AA$5-$A52&lt;=19),INDEX(HU_ord,AA$5-$A52+1)*$B52,0)</f>
        <v>0.0</v>
      </c>
      <c r="AB52" s="14">
        <f>IF(AND(AB$5-$A52&gt;=0,AB$5-$A52&lt;=19),INDEX(HU_ord,AB$5-$A52+1)*$B52,0)</f>
        <v>0.0</v>
      </c>
      <c r="AC52" s="14">
        <f>IF(AND(AC$5-$A52&gt;=0,AC$5-$A52&lt;=19),INDEX(HU_ord,AC$5-$A52+1)*$B52,0)</f>
        <v>0.0</v>
      </c>
      <c r="AD52" s="14">
        <f>IF(AND(AD$5-$A52&gt;=0,AD$5-$A52&lt;=19),INDEX(HU_ord,AD$5-$A52+1)*$B52,0)</f>
        <v>0.0</v>
      </c>
      <c r="AE52" s="14">
        <f>IF(AND(AE$5-$A52&gt;=0,AE$5-$A52&lt;=19),INDEX(HU_ord,AE$5-$A52+1)*$B52,0)</f>
        <v>0.0</v>
      </c>
      <c r="AF52" s="14">
        <f>IF(AND(AF$5-$A52&gt;=0,AF$5-$A52&lt;=19),INDEX(HU_ord,AF$5-$A52+1)*$B52,0)</f>
        <v>0.0</v>
      </c>
      <c r="AG52" s="14">
        <f>IF(AND(AG$5-$A52&gt;=0,AG$5-$A52&lt;=19),INDEX(HU_ord,AG$5-$A52+1)*$B52,0)</f>
        <v>0.0</v>
      </c>
      <c r="AH52" s="14">
        <f>IF(AND(AH$5-$A52&gt;=0,AH$5-$A52&lt;=19),INDEX(HU_ord,AH$5-$A52+1)*$B52,0)</f>
        <v>0.0</v>
      </c>
      <c r="AI52" s="14">
        <f>IF(AND(AI$5-$A52&gt;=0,AI$5-$A52&lt;=19),INDEX(HU_ord,AI$5-$A52+1)*$B52,0)</f>
        <v>0.0</v>
      </c>
      <c r="AJ52" s="14">
        <f>IF(AND(AJ$5-$A52&gt;=0,AJ$5-$A52&lt;=19),INDEX(HU_ord,AJ$5-$A52+1)*$B52,0)</f>
        <v>0.0</v>
      </c>
      <c r="AK52" s="14">
        <f>IF(AND(AK$5-$A52&gt;=0,AK$5-$A52&lt;=19),INDEX(HU_ord,AK$5-$A52+1)*$B52,0)</f>
        <v>0.0</v>
      </c>
      <c r="AL52" s="14">
        <f>IF(AND(AL$5-$A52&gt;=0,AL$5-$A52&lt;=19),INDEX(HU_ord,AL$5-$A52+1)*$B52,0)</f>
        <v>0.0</v>
      </c>
      <c r="AM52" s="14">
        <f>IF(AND(AM$5-$A52&gt;=0,AM$5-$A52&lt;=19),INDEX(HU_ord,AM$5-$A52+1)*$B52,0)</f>
        <v>0.0</v>
      </c>
      <c r="AN52" s="14">
        <f>IF(AND(AN$5-$A52&gt;=0,AN$5-$A52&lt;=19),INDEX(HU_ord,AN$5-$A52+1)*$B52,0)</f>
        <v>0.0</v>
      </c>
      <c r="AO52" s="14">
        <f>IF(AND(AO$5-$A52&gt;=0,AO$5-$A52&lt;=19),INDEX(HU_ord,AO$5-$A52+1)*$B52,0)</f>
        <v>0.0</v>
      </c>
      <c r="AP52" s="14">
        <f>IF(AND(AP$5-$A52&gt;=0,AP$5-$A52&lt;=19),INDEX(HU_ord,AP$5-$A52+1)*$B52,0)</f>
        <v>0.0</v>
      </c>
      <c r="AQ52" s="14">
        <f>IF(AND(AQ$5-$A52&gt;=0,AQ$5-$A52&lt;=19),INDEX(HU_ord,AQ$5-$A52+1)*$B52,0)</f>
        <v>0.0</v>
      </c>
      <c r="AR52" s="14">
        <f>IF(AND(AR$5-$A52&gt;=0,AR$5-$A52&lt;=19),INDEX(HU_ord,AR$5-$A52+1)*$B52,0)</f>
        <v>0.0</v>
      </c>
      <c r="AS52" s="14">
        <f>IF(AND(AS$5-$A52&gt;=0,AS$5-$A52&lt;=19),INDEX(HU_ord,AS$5-$A52+1)*$B52,0)</f>
        <v>0.0</v>
      </c>
      <c r="AT52" s="14">
        <f>IF(AND(AT$5-$A52&gt;=0,AT$5-$A52&lt;=19),INDEX(HU_ord,AT$5-$A52+1)*$B52,0)</f>
        <v>0.0</v>
      </c>
      <c r="AU52" s="14">
        <f>IF(AND(AU$5-$A52&gt;=0,AU$5-$A52&lt;=19),INDEX(HU_ord,AU$5-$A52+1)*$B52,0)</f>
        <v>0.0</v>
      </c>
      <c r="AV52" s="14">
        <f>IF(AND(AV$5-$A52&gt;=0,AV$5-$A52&lt;=19),INDEX(HU_ord,AV$5-$A52+1)*$B52,0)</f>
        <v>0.0</v>
      </c>
      <c r="AW52" s="14">
        <f>IF(AND(AW$5-$A52&gt;=0,AW$5-$A52&lt;=19),INDEX(HU_ord,AW$5-$A52+1)*$B52,0)</f>
        <v>0.0</v>
      </c>
      <c r="AX52" s="14">
        <f>IF(AND(AX$5-$A52&gt;=0,AX$5-$A52&lt;=19),INDEX(HU_ord,AX$5-$A52+1)*$B52,0)</f>
        <v>0.006948660428232896</v>
      </c>
      <c r="AY52" s="14">
        <f>IF(AND(AY$5-$A52&gt;=0,AY$5-$A52&lt;=19),INDEX(HU_ord,AY$5-$A52+1)*$B52,0)</f>
        <v>0.013897320856465792</v>
      </c>
      <c r="AZ52" s="14">
        <f>IF(AND(AZ$5-$A52&gt;=0,AZ$5-$A52&lt;=19),INDEX(HU_ord,AZ$5-$A52+1)*$B52,0)</f>
        <v>0.02084598128469869</v>
      </c>
      <c r="BA52" s="14">
        <f>IF(AND(BA$5-$A52&gt;=0,BA$5-$A52&lt;=19),INDEX(HU_ord,BA$5-$A52+1)*$B52,0)</f>
        <v>0.027794641712931584</v>
      </c>
      <c r="BB52" s="14">
        <f>IF(AND(BB$5-$A52&gt;=0,BB$5-$A52&lt;=19),INDEX(HU_ord,BB$5-$A52+1)*$B52,0)</f>
        <v>0.03474330214116449</v>
      </c>
      <c r="BC52" s="14">
        <f>IF(AND(BC$5-$A52&gt;=0,BC$5-$A52&lt;=19),INDEX(HU_ord,BC$5-$A52+1)*$B52,0)</f>
        <v>0.04169196256939738</v>
      </c>
      <c r="BD52" s="14">
        <f>IF(AND(BD$5-$A52&gt;=0,BD$5-$A52&lt;=19),INDEX(HU_ord,BD$5-$A52+1)*$B52,0)</f>
        <v>0.04743190559657641</v>
      </c>
      <c r="BE52" s="14">
        <f>IF(AND(BE$5-$A52&gt;=0,BE$5-$A52&lt;=19),INDEX(HU_ord,BE$5-$A52+1)*$B52,0)</f>
        <v>0.043271031088652524</v>
      </c>
      <c r="BF52" s="14">
        <f>IF(AND(BF$5-$A52&gt;=0,BF$5-$A52&lt;=19),INDEX(HU_ord,BF$5-$A52+1)*$B52,0)</f>
        <v>0.03911015658072863</v>
      </c>
      <c r="BG52" s="14">
        <f>IF(AND(BG$5-$A52&gt;=0,BG$5-$A52&lt;=19),INDEX(HU_ord,BG$5-$A52+1)*$B52,0)</f>
        <v>0.03494928207280474</v>
      </c>
      <c r="BH52" s="14">
        <f>IF(AND(BH$5-$A52&gt;=0,BH$5-$A52&lt;=19),INDEX(HU_ord,BH$5-$A52+1)*$B52,0)</f>
        <v>0.030788407564880844</v>
      </c>
      <c r="BI52" s="14">
        <f>IF(AND(BI$5-$A52&gt;=0,BI$5-$A52&lt;=19),INDEX(HU_ord,BI$5-$A52+1)*$B52,0)</f>
        <v>0.026627533056956955</v>
      </c>
      <c r="BJ52" s="14">
        <f>IF(AND(BJ$5-$A52&gt;=0,BJ$5-$A52&lt;=19),INDEX(HU_ord,BJ$5-$A52+1)*$B52,0)</f>
        <v>0.022466658549033066</v>
      </c>
      <c r="BK52" s="14">
        <f>IF(AND(BK$5-$A52&gt;=0,BK$5-$A52&lt;=19),INDEX(HU_ord,BK$5-$A52+1)*$B52,0)</f>
        <v>0.018305784041109177</v>
      </c>
      <c r="BL52" s="14">
        <f>IF(AND(BL$5-$A52&gt;=0,BL$5-$A52&lt;=19),INDEX(HU_ord,BL$5-$A52+1)*$B52,0)</f>
        <v>0.014144909533185287</v>
      </c>
      <c r="BM52" s="14">
        <f>IF(AND(BM$5-$A52&gt;=0,BM$5-$A52&lt;=19),INDEX(HU_ord,BM$5-$A52+1)*$B52,0)</f>
        <v>0.009984035025261394</v>
      </c>
      <c r="BN52" s="14">
        <f>IF(AND(BN$5-$A52&gt;=0,BN$5-$A52&lt;=19),INDEX(HU_ord,BN$5-$A52+1)*$B52,0)</f>
        <v>0.005823160517337503</v>
      </c>
      <c r="BO52" s="14">
        <f>IF(AND(BO$5-$A52&gt;=0,BO$5-$A52&lt;=19),INDEX(HU_ord,BO$5-$A52+1)*$B52,0)</f>
        <v>0.0016622860094136125</v>
      </c>
      <c r="BP52" s="14">
        <f>IF(AND(BP$5-$A52&gt;=0,BP$5-$A52&lt;=19),INDEX(HU_ord,BP$5-$A52+1)*$B52,0)</f>
        <v>0.0</v>
      </c>
      <c r="BQ52" s="14">
        <f>IF(AND(BQ$5-$A52&gt;=0,BQ$5-$A52&lt;=19),INDEX(HU_ord,BQ$5-$A52+1)*$B52,0)</f>
        <v>0.0</v>
      </c>
      <c r="BR52" s="14">
        <f>IF(AND(BR$5-$A52&gt;=0,BR$5-$A52&lt;=19),INDEX(HU_ord,BR$5-$A52+1)*$B52,0)</f>
        <v>0.0</v>
      </c>
      <c r="BS52" s="14">
        <f>IF(AND(BS$5-$A52&gt;=0,BS$5-$A52&lt;=19),INDEX(HU_ord,BS$5-$A52+1)*$B52,0)</f>
        <v>0.0</v>
      </c>
      <c r="BT52" s="14">
        <f>IF(AND(BT$5-$A52&gt;=0,BT$5-$A52&lt;=19),INDEX(HU_ord,BT$5-$A52+1)*$B52,0)</f>
        <v>0.0</v>
      </c>
      <c r="BU52" s="14">
        <f>IF(AND(BU$5-$A52&gt;=0,BU$5-$A52&lt;=19),INDEX(HU_ord,BU$5-$A52+1)*$B52,0)</f>
        <v>0.0</v>
      </c>
      <c r="BV52" s="14">
        <f>IF(AND(BV$5-$A52&gt;=0,BV$5-$A52&lt;=19),INDEX(HU_ord,BV$5-$A52+1)*$B52,0)</f>
        <v>0.0</v>
      </c>
      <c r="BW52" s="14">
        <f>IF(AND(BW$5-$A52&gt;=0,BW$5-$A52&lt;=19),INDEX(HU_ord,BW$5-$A52+1)*$B52,0)</f>
        <v>0.0</v>
      </c>
      <c r="BX52" s="14">
        <f>IF(AND(BX$5-$A52&gt;=0,BX$5-$A52&lt;=19),INDEX(HU_ord,BX$5-$A52+1)*$B52,0)</f>
        <v>0.0</v>
      </c>
      <c r="BY52" s="14">
        <f>IF(AND(BY$5-$A52&gt;=0,BY$5-$A52&lt;=19),INDEX(HU_ord,BY$5-$A52+1)*$B52,0)</f>
        <v>0.0</v>
      </c>
      <c r="BZ52" s="14">
        <f>IF(AND(BZ$5-$A52&gt;=0,BZ$5-$A52&lt;=19),INDEX(HU_ord,BZ$5-$A52+1)*$B52,0)</f>
        <v>0.0</v>
      </c>
      <c r="CA52" s="14">
        <f>IF(AND(CA$5-$A52&gt;=0,CA$5-$A52&lt;=19),INDEX(HU_ord,CA$5-$A52+1)*$B52,0)</f>
        <v>0.0</v>
      </c>
      <c r="CB52" s="14">
        <f>IF(AND(CB$5-$A52&gt;=0,CB$5-$A52&lt;=19),INDEX(HU_ord,CB$5-$A52+1)*$B52,0)</f>
        <v>0.0</v>
      </c>
      <c r="CC52" s="14">
        <f>IF(AND(CC$5-$A52&gt;=0,CC$5-$A52&lt;=19),INDEX(HU_ord,CC$5-$A52+1)*$B52,0)</f>
        <v>0.0</v>
      </c>
      <c r="CD52" s="14">
        <f>IF(AND(CD$5-$A52&gt;=0,CD$5-$A52&lt;=19),INDEX(HU_ord,CD$5-$A52+1)*$B52,0)</f>
        <v>0.0</v>
      </c>
      <c r="CE52" s="14">
        <f>IF(AND(CE$5-$A52&gt;=0,CE$5-$A52&lt;=19),INDEX(HU_ord,CE$5-$A52+1)*$B52,0)</f>
        <v>0.0</v>
      </c>
      <c r="CF52" s="14">
        <f>IF(AND(CF$5-$A52&gt;=0,CF$5-$A52&lt;=19),INDEX(HU_ord,CF$5-$A52+1)*$B52,0)</f>
        <v>0.0</v>
      </c>
      <c r="CG52" s="14">
        <f>IF(AND(CG$5-$A52&gt;=0,CG$5-$A52&lt;=19),INDEX(HU_ord,CG$5-$A52+1)*$B52,0)</f>
        <v>0.0</v>
      </c>
      <c r="CH52" s="14">
        <f>IF(AND(CH$5-$A52&gt;=0,CH$5-$A52&lt;=19),INDEX(HU_ord,CH$5-$A52+1)*$B52,0)</f>
        <v>0.0</v>
      </c>
      <c r="CI52" s="14">
        <f>IF(AND(CI$5-$A52&gt;=0,CI$5-$A52&lt;=19),INDEX(HU_ord,CI$5-$A52+1)*$B52,0)</f>
        <v>0.0</v>
      </c>
      <c r="CJ52" s="14">
        <f>IF(AND(CJ$5-$A52&gt;=0,CJ$5-$A52&lt;=19),INDEX(HU_ord,CJ$5-$A52+1)*$B52,0)</f>
        <v>0.0</v>
      </c>
      <c r="CK52" s="14">
        <f>IF(AND(CK$5-$A52&gt;=0,CK$5-$A52&lt;=19),INDEX(HU_ord,CK$5-$A52+1)*$B52,0)</f>
        <v>0.0</v>
      </c>
      <c r="CL52" s="14">
        <f>IF(AND(CL$5-$A52&gt;=0,CL$5-$A52&lt;=19),INDEX(HU_ord,CL$5-$A52+1)*$B52,0)</f>
        <v>0.0</v>
      </c>
      <c r="CM52" s="14">
        <f>IF(AND(CM$5-$A52&gt;=0,CM$5-$A52&lt;=19),INDEX(HU_ord,CM$5-$A52+1)*$B52,0)</f>
        <v>0.0</v>
      </c>
      <c r="CN52" s="14">
        <f>IF(AND(CN$5-$A52&gt;=0,CN$5-$A52&lt;=19),INDEX(HU_ord,CN$5-$A52+1)*$B52,0)</f>
        <v>0.0</v>
      </c>
      <c r="CO52" s="14">
        <f>IF(AND(CO$5-$A52&gt;=0,CO$5-$A52&lt;=19),INDEX(HU_ord,CO$5-$A52+1)*$B52,0)</f>
        <v>0.0</v>
      </c>
      <c r="CP52" s="14">
        <f>IF(AND(CP$5-$A52&gt;=0,CP$5-$A52&lt;=19),INDEX(HU_ord,CP$5-$A52+1)*$B52,0)</f>
        <v>0.0</v>
      </c>
      <c r="CQ52" s="14">
        <f>IF(AND(CQ$5-$A52&gt;=0,CQ$5-$A52&lt;=19),INDEX(HU_ord,CQ$5-$A52+1)*$B52,0)</f>
        <v>0.0</v>
      </c>
      <c r="CR52" s="14">
        <f>IF(AND(CR$5-$A52&gt;=0,CR$5-$A52&lt;=19),INDEX(HU_ord,CR$5-$A52+1)*$B52,0)</f>
        <v>0.0</v>
      </c>
      <c r="CS52" s="14">
        <f>IF(AND(CS$5-$A52&gt;=0,CS$5-$A52&lt;=19),INDEX(HU_ord,CS$5-$A52+1)*$B52,0)</f>
        <v>0.0</v>
      </c>
      <c r="CT52" s="14">
        <f>IF(AND(CT$5-$A52&gt;=0,CT$5-$A52&lt;=19),INDEX(HU_ord,CT$5-$A52+1)*$B52,0)</f>
        <v>0.0</v>
      </c>
      <c r="CU52" s="14">
        <f>IF(AND(CU$5-$A52&gt;=0,CU$5-$A52&lt;=19),INDEX(HU_ord,CU$5-$A52+1)*$B52,0)</f>
        <v>0.0</v>
      </c>
      <c r="CV52" s="14">
        <f>IF(AND(CV$5-$A52&gt;=0,CV$5-$A52&lt;=19),INDEX(HU_ord,CV$5-$A52+1)*$B52,0)</f>
        <v>0.0</v>
      </c>
      <c r="CW52" s="14">
        <f>IF(AND(CW$5-$A52&gt;=0,CW$5-$A52&lt;=19),INDEX(HU_ord,CW$5-$A52+1)*$B52,0)</f>
        <v>0.0</v>
      </c>
      <c r="CX52" s="14">
        <f>IF(AND(CX$5-$A52&gt;=0,CX$5-$A52&lt;=19),INDEX(HU_ord,CX$5-$A52+1)*$B52,0)</f>
        <v>0.0</v>
      </c>
      <c r="CY52" s="14">
        <f>IF(AND(CY$5-$A52&gt;=0,CY$5-$A52&lt;=19),INDEX(HU_ord,CY$5-$A52+1)*$B52,0)</f>
        <v>0.0</v>
      </c>
      <c r="CZ52" s="14">
        <f>IF(AND(CZ$5-$A52&gt;=0,CZ$5-$A52&lt;=19),INDEX(HU_ord,CZ$5-$A52+1)*$B52,0)</f>
        <v>0.0</v>
      </c>
      <c r="DA52" s="14">
        <f>IF(AND(DA$5-$A52&gt;=0,DA$5-$A52&lt;=19),INDEX(HU_ord,DA$5-$A52+1)*$B52,0)</f>
        <v>0.0</v>
      </c>
      <c r="DB52" s="14">
        <f>IF(AND(DB$5-$A52&gt;=0,DB$5-$A52&lt;=19),INDEX(HU_ord,DB$5-$A52+1)*$B52,0)</f>
        <v>0.0</v>
      </c>
      <c r="DC52" s="14">
        <f>IF(AND(DC$5-$A52&gt;=0,DC$5-$A52&lt;=19),INDEX(HU_ord,DC$5-$A52+1)*$B52,0)</f>
        <v>0.0</v>
      </c>
      <c r="DD52" s="14">
        <f>IF(AND(DD$5-$A52&gt;=0,DD$5-$A52&lt;=19),INDEX(HU_ord,DD$5-$A52+1)*$B52,0)</f>
        <v>0.0</v>
      </c>
      <c r="DE52" s="14">
        <f>IF(AND(DE$5-$A52&gt;=0,DE$5-$A52&lt;=19),INDEX(HU_ord,DE$5-$A52+1)*$B52,0)</f>
        <v>0.0</v>
      </c>
      <c r="DF52" s="14">
        <f>IF(AND(DF$5-$A52&gt;=0,DF$5-$A52&lt;=19),INDEX(HU_ord,DF$5-$A52+1)*$B52,0)</f>
        <v>0.0</v>
      </c>
      <c r="DG52" s="14">
        <f>IF(AND(DG$5-$A52&gt;=0,DG$5-$A52&lt;=19),INDEX(HU_ord,DG$5-$A52+1)*$B52,0)</f>
        <v>0.0</v>
      </c>
      <c r="DH52" s="14">
        <f>IF(AND(DH$5-$A52&gt;=0,DH$5-$A52&lt;=19),INDEX(HU_ord,DH$5-$A52+1)*$B52,0)</f>
        <v>0.0</v>
      </c>
      <c r="DI52" s="14">
        <f>IF(AND(DI$5-$A52&gt;=0,DI$5-$A52&lt;=19),INDEX(HU_ord,DI$5-$A52+1)*$B52,0)</f>
        <v>0.0</v>
      </c>
    </row>
    <row r="53" spans="1:113">
      <c r="A53">
        <v>47</v>
      </c>
      <c r="B53" s="10">
        <f>Serie_horaria!N49</f>
        <v>0.0</v>
      </c>
      <c r="C53" s="14">
        <f>IF(AND(C$5-$A53&gt;=0,C$5-$A53&lt;=19),INDEX(HU_ord,C$5-$A53+1)*$B53,0)</f>
        <v>0.0</v>
      </c>
      <c r="D53" s="14">
        <f>IF(AND(D$5-$A53&gt;=0,D$5-$A53&lt;=19),INDEX(HU_ord,D$5-$A53+1)*$B53,0)</f>
        <v>0.0</v>
      </c>
      <c r="E53" s="14">
        <f>IF(AND(E$5-$A53&gt;=0,E$5-$A53&lt;=19),INDEX(HU_ord,E$5-$A53+1)*$B53,0)</f>
        <v>0.0</v>
      </c>
      <c r="F53" s="14">
        <f>IF(AND(F$5-$A53&gt;=0,F$5-$A53&lt;=19),INDEX(HU_ord,F$5-$A53+1)*$B53,0)</f>
        <v>0.0</v>
      </c>
      <c r="G53" s="14">
        <f>IF(AND(G$5-$A53&gt;=0,G$5-$A53&lt;=19),INDEX(HU_ord,G$5-$A53+1)*$B53,0)</f>
        <v>0.0</v>
      </c>
      <c r="H53" s="14">
        <f>IF(AND(H$5-$A53&gt;=0,H$5-$A53&lt;=19),INDEX(HU_ord,H$5-$A53+1)*$B53,0)</f>
        <v>0.0</v>
      </c>
      <c r="I53" s="14">
        <f>IF(AND(I$5-$A53&gt;=0,I$5-$A53&lt;=19),INDEX(HU_ord,I$5-$A53+1)*$B53,0)</f>
        <v>0.0</v>
      </c>
      <c r="J53" s="14">
        <f>IF(AND(J$5-$A53&gt;=0,J$5-$A53&lt;=19),INDEX(HU_ord,J$5-$A53+1)*$B53,0)</f>
        <v>0.0</v>
      </c>
      <c r="K53" s="14">
        <f>IF(AND(K$5-$A53&gt;=0,K$5-$A53&lt;=19),INDEX(HU_ord,K$5-$A53+1)*$B53,0)</f>
        <v>0.0</v>
      </c>
      <c r="L53" s="14">
        <f>IF(AND(L$5-$A53&gt;=0,L$5-$A53&lt;=19),INDEX(HU_ord,L$5-$A53+1)*$B53,0)</f>
        <v>0.0</v>
      </c>
      <c r="M53" s="14">
        <f>IF(AND(M$5-$A53&gt;=0,M$5-$A53&lt;=19),INDEX(HU_ord,M$5-$A53+1)*$B53,0)</f>
        <v>0.0</v>
      </c>
      <c r="N53" s="14">
        <f>IF(AND(N$5-$A53&gt;=0,N$5-$A53&lt;=19),INDEX(HU_ord,N$5-$A53+1)*$B53,0)</f>
        <v>0.0</v>
      </c>
      <c r="O53" s="14">
        <f>IF(AND(O$5-$A53&gt;=0,O$5-$A53&lt;=19),INDEX(HU_ord,O$5-$A53+1)*$B53,0)</f>
        <v>0.0</v>
      </c>
      <c r="P53" s="14">
        <f>IF(AND(P$5-$A53&gt;=0,P$5-$A53&lt;=19),INDEX(HU_ord,P$5-$A53+1)*$B53,0)</f>
        <v>0.0</v>
      </c>
      <c r="Q53" s="14">
        <f>IF(AND(Q$5-$A53&gt;=0,Q$5-$A53&lt;=19),INDEX(HU_ord,Q$5-$A53+1)*$B53,0)</f>
        <v>0.0</v>
      </c>
      <c r="R53" s="14">
        <f>IF(AND(R$5-$A53&gt;=0,R$5-$A53&lt;=19),INDEX(HU_ord,R$5-$A53+1)*$B53,0)</f>
        <v>0.0</v>
      </c>
      <c r="S53" s="14">
        <f>IF(AND(S$5-$A53&gt;=0,S$5-$A53&lt;=19),INDEX(HU_ord,S$5-$A53+1)*$B53,0)</f>
        <v>0.0</v>
      </c>
      <c r="T53" s="14">
        <f>IF(AND(T$5-$A53&gt;=0,T$5-$A53&lt;=19),INDEX(HU_ord,T$5-$A53+1)*$B53,0)</f>
        <v>0.0</v>
      </c>
      <c r="U53" s="14">
        <f>IF(AND(U$5-$A53&gt;=0,U$5-$A53&lt;=19),INDEX(HU_ord,U$5-$A53+1)*$B53,0)</f>
        <v>0.0</v>
      </c>
      <c r="V53" s="14">
        <f>IF(AND(V$5-$A53&gt;=0,V$5-$A53&lt;=19),INDEX(HU_ord,V$5-$A53+1)*$B53,0)</f>
        <v>0.0</v>
      </c>
      <c r="W53" s="14">
        <f>IF(AND(W$5-$A53&gt;=0,W$5-$A53&lt;=19),INDEX(HU_ord,W$5-$A53+1)*$B53,0)</f>
        <v>0.0</v>
      </c>
      <c r="X53" s="14">
        <f>IF(AND(X$5-$A53&gt;=0,X$5-$A53&lt;=19),INDEX(HU_ord,X$5-$A53+1)*$B53,0)</f>
        <v>0.0</v>
      </c>
      <c r="Y53" s="14">
        <f>IF(AND(Y$5-$A53&gt;=0,Y$5-$A53&lt;=19),INDEX(HU_ord,Y$5-$A53+1)*$B53,0)</f>
        <v>0.0</v>
      </c>
      <c r="Z53" s="14">
        <f>IF(AND(Z$5-$A53&gt;=0,Z$5-$A53&lt;=19),INDEX(HU_ord,Z$5-$A53+1)*$B53,0)</f>
        <v>0.0</v>
      </c>
      <c r="AA53" s="14">
        <f>IF(AND(AA$5-$A53&gt;=0,AA$5-$A53&lt;=19),INDEX(HU_ord,AA$5-$A53+1)*$B53,0)</f>
        <v>0.0</v>
      </c>
      <c r="AB53" s="14">
        <f>IF(AND(AB$5-$A53&gt;=0,AB$5-$A53&lt;=19),INDEX(HU_ord,AB$5-$A53+1)*$B53,0)</f>
        <v>0.0</v>
      </c>
      <c r="AC53" s="14">
        <f>IF(AND(AC$5-$A53&gt;=0,AC$5-$A53&lt;=19),INDEX(HU_ord,AC$5-$A53+1)*$B53,0)</f>
        <v>0.0</v>
      </c>
      <c r="AD53" s="14">
        <f>IF(AND(AD$5-$A53&gt;=0,AD$5-$A53&lt;=19),INDEX(HU_ord,AD$5-$A53+1)*$B53,0)</f>
        <v>0.0</v>
      </c>
      <c r="AE53" s="14">
        <f>IF(AND(AE$5-$A53&gt;=0,AE$5-$A53&lt;=19),INDEX(HU_ord,AE$5-$A53+1)*$B53,0)</f>
        <v>0.0</v>
      </c>
      <c r="AF53" s="14">
        <f>IF(AND(AF$5-$A53&gt;=0,AF$5-$A53&lt;=19),INDEX(HU_ord,AF$5-$A53+1)*$B53,0)</f>
        <v>0.0</v>
      </c>
      <c r="AG53" s="14">
        <f>IF(AND(AG$5-$A53&gt;=0,AG$5-$A53&lt;=19),INDEX(HU_ord,AG$5-$A53+1)*$B53,0)</f>
        <v>0.0</v>
      </c>
      <c r="AH53" s="14">
        <f>IF(AND(AH$5-$A53&gt;=0,AH$5-$A53&lt;=19),INDEX(HU_ord,AH$5-$A53+1)*$B53,0)</f>
        <v>0.0</v>
      </c>
      <c r="AI53" s="14">
        <f>IF(AND(AI$5-$A53&gt;=0,AI$5-$A53&lt;=19),INDEX(HU_ord,AI$5-$A53+1)*$B53,0)</f>
        <v>0.0</v>
      </c>
      <c r="AJ53" s="14">
        <f>IF(AND(AJ$5-$A53&gt;=0,AJ$5-$A53&lt;=19),INDEX(HU_ord,AJ$5-$A53+1)*$B53,0)</f>
        <v>0.0</v>
      </c>
      <c r="AK53" s="14">
        <f>IF(AND(AK$5-$A53&gt;=0,AK$5-$A53&lt;=19),INDEX(HU_ord,AK$5-$A53+1)*$B53,0)</f>
        <v>0.0</v>
      </c>
      <c r="AL53" s="14">
        <f>IF(AND(AL$5-$A53&gt;=0,AL$5-$A53&lt;=19),INDEX(HU_ord,AL$5-$A53+1)*$B53,0)</f>
        <v>0.0</v>
      </c>
      <c r="AM53" s="14">
        <f>IF(AND(AM$5-$A53&gt;=0,AM$5-$A53&lt;=19),INDEX(HU_ord,AM$5-$A53+1)*$B53,0)</f>
        <v>0.0</v>
      </c>
      <c r="AN53" s="14">
        <f>IF(AND(AN$5-$A53&gt;=0,AN$5-$A53&lt;=19),INDEX(HU_ord,AN$5-$A53+1)*$B53,0)</f>
        <v>0.0</v>
      </c>
      <c r="AO53" s="14">
        <f>IF(AND(AO$5-$A53&gt;=0,AO$5-$A53&lt;=19),INDEX(HU_ord,AO$5-$A53+1)*$B53,0)</f>
        <v>0.0</v>
      </c>
      <c r="AP53" s="14">
        <f>IF(AND(AP$5-$A53&gt;=0,AP$5-$A53&lt;=19),INDEX(HU_ord,AP$5-$A53+1)*$B53,0)</f>
        <v>0.0</v>
      </c>
      <c r="AQ53" s="14">
        <f>IF(AND(AQ$5-$A53&gt;=0,AQ$5-$A53&lt;=19),INDEX(HU_ord,AQ$5-$A53+1)*$B53,0)</f>
        <v>0.0</v>
      </c>
      <c r="AR53" s="14">
        <f>IF(AND(AR$5-$A53&gt;=0,AR$5-$A53&lt;=19),INDEX(HU_ord,AR$5-$A53+1)*$B53,0)</f>
        <v>0.0</v>
      </c>
      <c r="AS53" s="14">
        <f>IF(AND(AS$5-$A53&gt;=0,AS$5-$A53&lt;=19),INDEX(HU_ord,AS$5-$A53+1)*$B53,0)</f>
        <v>0.0</v>
      </c>
      <c r="AT53" s="14">
        <f>IF(AND(AT$5-$A53&gt;=0,AT$5-$A53&lt;=19),INDEX(HU_ord,AT$5-$A53+1)*$B53,0)</f>
        <v>0.0</v>
      </c>
      <c r="AU53" s="14">
        <f>IF(AND(AU$5-$A53&gt;=0,AU$5-$A53&lt;=19),INDEX(HU_ord,AU$5-$A53+1)*$B53,0)</f>
        <v>0.0</v>
      </c>
      <c r="AV53" s="14">
        <f>IF(AND(AV$5-$A53&gt;=0,AV$5-$A53&lt;=19),INDEX(HU_ord,AV$5-$A53+1)*$B53,0)</f>
        <v>0.0</v>
      </c>
      <c r="AW53" s="14">
        <f>IF(AND(AW$5-$A53&gt;=0,AW$5-$A53&lt;=19),INDEX(HU_ord,AW$5-$A53+1)*$B53,0)</f>
        <v>0.0</v>
      </c>
      <c r="AX53" s="14">
        <f>IF(AND(AX$5-$A53&gt;=0,AX$5-$A53&lt;=19),INDEX(HU_ord,AX$5-$A53+1)*$B53,0)</f>
        <v>0.0</v>
      </c>
      <c r="AY53" s="14">
        <f>IF(AND(AY$5-$A53&gt;=0,AY$5-$A53&lt;=19),INDEX(HU_ord,AY$5-$A53+1)*$B53,0)</f>
        <v>0.0</v>
      </c>
      <c r="AZ53" s="14">
        <f>IF(AND(AZ$5-$A53&gt;=0,AZ$5-$A53&lt;=19),INDEX(HU_ord,AZ$5-$A53+1)*$B53,0)</f>
        <v>0.0</v>
      </c>
      <c r="BA53" s="14">
        <f>IF(AND(BA$5-$A53&gt;=0,BA$5-$A53&lt;=19),INDEX(HU_ord,BA$5-$A53+1)*$B53,0)</f>
        <v>0.0</v>
      </c>
      <c r="BB53" s="14">
        <f>IF(AND(BB$5-$A53&gt;=0,BB$5-$A53&lt;=19),INDEX(HU_ord,BB$5-$A53+1)*$B53,0)</f>
        <v>0.0</v>
      </c>
      <c r="BC53" s="14">
        <f>IF(AND(BC$5-$A53&gt;=0,BC$5-$A53&lt;=19),INDEX(HU_ord,BC$5-$A53+1)*$B53,0)</f>
        <v>0.0</v>
      </c>
      <c r="BD53" s="14">
        <f>IF(AND(BD$5-$A53&gt;=0,BD$5-$A53&lt;=19),INDEX(HU_ord,BD$5-$A53+1)*$B53,0)</f>
        <v>0.0</v>
      </c>
      <c r="BE53" s="14">
        <f>IF(AND(BE$5-$A53&gt;=0,BE$5-$A53&lt;=19),INDEX(HU_ord,BE$5-$A53+1)*$B53,0)</f>
        <v>0.0</v>
      </c>
      <c r="BF53" s="14">
        <f>IF(AND(BF$5-$A53&gt;=0,BF$5-$A53&lt;=19),INDEX(HU_ord,BF$5-$A53+1)*$B53,0)</f>
        <v>0.0</v>
      </c>
      <c r="BG53" s="14">
        <f>IF(AND(BG$5-$A53&gt;=0,BG$5-$A53&lt;=19),INDEX(HU_ord,BG$5-$A53+1)*$B53,0)</f>
        <v>0.0</v>
      </c>
      <c r="BH53" s="14">
        <f>IF(AND(BH$5-$A53&gt;=0,BH$5-$A53&lt;=19),INDEX(HU_ord,BH$5-$A53+1)*$B53,0)</f>
        <v>0.0</v>
      </c>
      <c r="BI53" s="14">
        <f>IF(AND(BI$5-$A53&gt;=0,BI$5-$A53&lt;=19),INDEX(HU_ord,BI$5-$A53+1)*$B53,0)</f>
        <v>0.0</v>
      </c>
      <c r="BJ53" s="14">
        <f>IF(AND(BJ$5-$A53&gt;=0,BJ$5-$A53&lt;=19),INDEX(HU_ord,BJ$5-$A53+1)*$B53,0)</f>
        <v>0.0</v>
      </c>
      <c r="BK53" s="14">
        <f>IF(AND(BK$5-$A53&gt;=0,BK$5-$A53&lt;=19),INDEX(HU_ord,BK$5-$A53+1)*$B53,0)</f>
        <v>0.0</v>
      </c>
      <c r="BL53" s="14">
        <f>IF(AND(BL$5-$A53&gt;=0,BL$5-$A53&lt;=19),INDEX(HU_ord,BL$5-$A53+1)*$B53,0)</f>
        <v>0.0</v>
      </c>
      <c r="BM53" s="14">
        <f>IF(AND(BM$5-$A53&gt;=0,BM$5-$A53&lt;=19),INDEX(HU_ord,BM$5-$A53+1)*$B53,0)</f>
        <v>0.0</v>
      </c>
      <c r="BN53" s="14">
        <f>IF(AND(BN$5-$A53&gt;=0,BN$5-$A53&lt;=19),INDEX(HU_ord,BN$5-$A53+1)*$B53,0)</f>
        <v>0.0</v>
      </c>
      <c r="BO53" s="14">
        <f>IF(AND(BO$5-$A53&gt;=0,BO$5-$A53&lt;=19),INDEX(HU_ord,BO$5-$A53+1)*$B53,0)</f>
        <v>0.0</v>
      </c>
      <c r="BP53" s="14">
        <f>IF(AND(BP$5-$A53&gt;=0,BP$5-$A53&lt;=19),INDEX(HU_ord,BP$5-$A53+1)*$B53,0)</f>
        <v>0.0</v>
      </c>
      <c r="BQ53" s="14">
        <f>IF(AND(BQ$5-$A53&gt;=0,BQ$5-$A53&lt;=19),INDEX(HU_ord,BQ$5-$A53+1)*$B53,0)</f>
        <v>0.0</v>
      </c>
      <c r="BR53" s="14">
        <f>IF(AND(BR$5-$A53&gt;=0,BR$5-$A53&lt;=19),INDEX(HU_ord,BR$5-$A53+1)*$B53,0)</f>
        <v>0.0</v>
      </c>
      <c r="BS53" s="14">
        <f>IF(AND(BS$5-$A53&gt;=0,BS$5-$A53&lt;=19),INDEX(HU_ord,BS$5-$A53+1)*$B53,0)</f>
        <v>0.0</v>
      </c>
      <c r="BT53" s="14">
        <f>IF(AND(BT$5-$A53&gt;=0,BT$5-$A53&lt;=19),INDEX(HU_ord,BT$5-$A53+1)*$B53,0)</f>
        <v>0.0</v>
      </c>
      <c r="BU53" s="14">
        <f>IF(AND(BU$5-$A53&gt;=0,BU$5-$A53&lt;=19),INDEX(HU_ord,BU$5-$A53+1)*$B53,0)</f>
        <v>0.0</v>
      </c>
      <c r="BV53" s="14">
        <f>IF(AND(BV$5-$A53&gt;=0,BV$5-$A53&lt;=19),INDEX(HU_ord,BV$5-$A53+1)*$B53,0)</f>
        <v>0.0</v>
      </c>
      <c r="BW53" s="14">
        <f>IF(AND(BW$5-$A53&gt;=0,BW$5-$A53&lt;=19),INDEX(HU_ord,BW$5-$A53+1)*$B53,0)</f>
        <v>0.0</v>
      </c>
      <c r="BX53" s="14">
        <f>IF(AND(BX$5-$A53&gt;=0,BX$5-$A53&lt;=19),INDEX(HU_ord,BX$5-$A53+1)*$B53,0)</f>
        <v>0.0</v>
      </c>
      <c r="BY53" s="14">
        <f>IF(AND(BY$5-$A53&gt;=0,BY$5-$A53&lt;=19),INDEX(HU_ord,BY$5-$A53+1)*$B53,0)</f>
        <v>0.0</v>
      </c>
      <c r="BZ53" s="14">
        <f>IF(AND(BZ$5-$A53&gt;=0,BZ$5-$A53&lt;=19),INDEX(HU_ord,BZ$5-$A53+1)*$B53,0)</f>
        <v>0.0</v>
      </c>
      <c r="CA53" s="14">
        <f>IF(AND(CA$5-$A53&gt;=0,CA$5-$A53&lt;=19),INDEX(HU_ord,CA$5-$A53+1)*$B53,0)</f>
        <v>0.0</v>
      </c>
      <c r="CB53" s="14">
        <f>IF(AND(CB$5-$A53&gt;=0,CB$5-$A53&lt;=19),INDEX(HU_ord,CB$5-$A53+1)*$B53,0)</f>
        <v>0.0</v>
      </c>
      <c r="CC53" s="14">
        <f>IF(AND(CC$5-$A53&gt;=0,CC$5-$A53&lt;=19),INDEX(HU_ord,CC$5-$A53+1)*$B53,0)</f>
        <v>0.0</v>
      </c>
      <c r="CD53" s="14">
        <f>IF(AND(CD$5-$A53&gt;=0,CD$5-$A53&lt;=19),INDEX(HU_ord,CD$5-$A53+1)*$B53,0)</f>
        <v>0.0</v>
      </c>
      <c r="CE53" s="14">
        <f>IF(AND(CE$5-$A53&gt;=0,CE$5-$A53&lt;=19),INDEX(HU_ord,CE$5-$A53+1)*$B53,0)</f>
        <v>0.0</v>
      </c>
      <c r="CF53" s="14">
        <f>IF(AND(CF$5-$A53&gt;=0,CF$5-$A53&lt;=19),INDEX(HU_ord,CF$5-$A53+1)*$B53,0)</f>
        <v>0.0</v>
      </c>
      <c r="CG53" s="14">
        <f>IF(AND(CG$5-$A53&gt;=0,CG$5-$A53&lt;=19),INDEX(HU_ord,CG$5-$A53+1)*$B53,0)</f>
        <v>0.0</v>
      </c>
      <c r="CH53" s="14">
        <f>IF(AND(CH$5-$A53&gt;=0,CH$5-$A53&lt;=19),INDEX(HU_ord,CH$5-$A53+1)*$B53,0)</f>
        <v>0.0</v>
      </c>
      <c r="CI53" s="14">
        <f>IF(AND(CI$5-$A53&gt;=0,CI$5-$A53&lt;=19),INDEX(HU_ord,CI$5-$A53+1)*$B53,0)</f>
        <v>0.0</v>
      </c>
      <c r="CJ53" s="14">
        <f>IF(AND(CJ$5-$A53&gt;=0,CJ$5-$A53&lt;=19),INDEX(HU_ord,CJ$5-$A53+1)*$B53,0)</f>
        <v>0.0</v>
      </c>
      <c r="CK53" s="14">
        <f>IF(AND(CK$5-$A53&gt;=0,CK$5-$A53&lt;=19),INDEX(HU_ord,CK$5-$A53+1)*$B53,0)</f>
        <v>0.0</v>
      </c>
      <c r="CL53" s="14">
        <f>IF(AND(CL$5-$A53&gt;=0,CL$5-$A53&lt;=19),INDEX(HU_ord,CL$5-$A53+1)*$B53,0)</f>
        <v>0.0</v>
      </c>
      <c r="CM53" s="14">
        <f>IF(AND(CM$5-$A53&gt;=0,CM$5-$A53&lt;=19),INDEX(HU_ord,CM$5-$A53+1)*$B53,0)</f>
        <v>0.0</v>
      </c>
      <c r="CN53" s="14">
        <f>IF(AND(CN$5-$A53&gt;=0,CN$5-$A53&lt;=19),INDEX(HU_ord,CN$5-$A53+1)*$B53,0)</f>
        <v>0.0</v>
      </c>
      <c r="CO53" s="14">
        <f>IF(AND(CO$5-$A53&gt;=0,CO$5-$A53&lt;=19),INDEX(HU_ord,CO$5-$A53+1)*$B53,0)</f>
        <v>0.0</v>
      </c>
      <c r="CP53" s="14">
        <f>IF(AND(CP$5-$A53&gt;=0,CP$5-$A53&lt;=19),INDEX(HU_ord,CP$5-$A53+1)*$B53,0)</f>
        <v>0.0</v>
      </c>
      <c r="CQ53" s="14">
        <f>IF(AND(CQ$5-$A53&gt;=0,CQ$5-$A53&lt;=19),INDEX(HU_ord,CQ$5-$A53+1)*$B53,0)</f>
        <v>0.0</v>
      </c>
      <c r="CR53" s="14">
        <f>IF(AND(CR$5-$A53&gt;=0,CR$5-$A53&lt;=19),INDEX(HU_ord,CR$5-$A53+1)*$B53,0)</f>
        <v>0.0</v>
      </c>
      <c r="CS53" s="14">
        <f>IF(AND(CS$5-$A53&gt;=0,CS$5-$A53&lt;=19),INDEX(HU_ord,CS$5-$A53+1)*$B53,0)</f>
        <v>0.0</v>
      </c>
      <c r="CT53" s="14">
        <f>IF(AND(CT$5-$A53&gt;=0,CT$5-$A53&lt;=19),INDEX(HU_ord,CT$5-$A53+1)*$B53,0)</f>
        <v>0.0</v>
      </c>
      <c r="CU53" s="14">
        <f>IF(AND(CU$5-$A53&gt;=0,CU$5-$A53&lt;=19),INDEX(HU_ord,CU$5-$A53+1)*$B53,0)</f>
        <v>0.0</v>
      </c>
      <c r="CV53" s="14">
        <f>IF(AND(CV$5-$A53&gt;=0,CV$5-$A53&lt;=19),INDEX(HU_ord,CV$5-$A53+1)*$B53,0)</f>
        <v>0.0</v>
      </c>
      <c r="CW53" s="14">
        <f>IF(AND(CW$5-$A53&gt;=0,CW$5-$A53&lt;=19),INDEX(HU_ord,CW$5-$A53+1)*$B53,0)</f>
        <v>0.0</v>
      </c>
      <c r="CX53" s="14">
        <f>IF(AND(CX$5-$A53&gt;=0,CX$5-$A53&lt;=19),INDEX(HU_ord,CX$5-$A53+1)*$B53,0)</f>
        <v>0.0</v>
      </c>
      <c r="CY53" s="14">
        <f>IF(AND(CY$5-$A53&gt;=0,CY$5-$A53&lt;=19),INDEX(HU_ord,CY$5-$A53+1)*$B53,0)</f>
        <v>0.0</v>
      </c>
      <c r="CZ53" s="14">
        <f>IF(AND(CZ$5-$A53&gt;=0,CZ$5-$A53&lt;=19),INDEX(HU_ord,CZ$5-$A53+1)*$B53,0)</f>
        <v>0.0</v>
      </c>
      <c r="DA53" s="14">
        <f>IF(AND(DA$5-$A53&gt;=0,DA$5-$A53&lt;=19),INDEX(HU_ord,DA$5-$A53+1)*$B53,0)</f>
        <v>0.0</v>
      </c>
      <c r="DB53" s="14">
        <f>IF(AND(DB$5-$A53&gt;=0,DB$5-$A53&lt;=19),INDEX(HU_ord,DB$5-$A53+1)*$B53,0)</f>
        <v>0.0</v>
      </c>
      <c r="DC53" s="14">
        <f>IF(AND(DC$5-$A53&gt;=0,DC$5-$A53&lt;=19),INDEX(HU_ord,DC$5-$A53+1)*$B53,0)</f>
        <v>0.0</v>
      </c>
      <c r="DD53" s="14">
        <f>IF(AND(DD$5-$A53&gt;=0,DD$5-$A53&lt;=19),INDEX(HU_ord,DD$5-$A53+1)*$B53,0)</f>
        <v>0.0</v>
      </c>
      <c r="DE53" s="14">
        <f>IF(AND(DE$5-$A53&gt;=0,DE$5-$A53&lt;=19),INDEX(HU_ord,DE$5-$A53+1)*$B53,0)</f>
        <v>0.0</v>
      </c>
      <c r="DF53" s="14">
        <f>IF(AND(DF$5-$A53&gt;=0,DF$5-$A53&lt;=19),INDEX(HU_ord,DF$5-$A53+1)*$B53,0)</f>
        <v>0.0</v>
      </c>
      <c r="DG53" s="14">
        <f>IF(AND(DG$5-$A53&gt;=0,DG$5-$A53&lt;=19),INDEX(HU_ord,DG$5-$A53+1)*$B53,0)</f>
        <v>0.0</v>
      </c>
      <c r="DH53" s="14">
        <f>IF(AND(DH$5-$A53&gt;=0,DH$5-$A53&lt;=19),INDEX(HU_ord,DH$5-$A53+1)*$B53,0)</f>
        <v>0.0</v>
      </c>
      <c r="DI53" s="14">
        <f>IF(AND(DI$5-$A53&gt;=0,DI$5-$A53&lt;=19),INDEX(HU_ord,DI$5-$A53+1)*$B53,0)</f>
        <v>0.0</v>
      </c>
    </row>
    <row r="54" spans="1:113">
      <c r="A54">
        <v>48</v>
      </c>
      <c r="B54" s="10">
        <f>Serie_horaria!N50</f>
        <v>0.0</v>
      </c>
      <c r="C54" s="14">
        <f>IF(AND(C$5-$A54&gt;=0,C$5-$A54&lt;=19),INDEX(HU_ord,C$5-$A54+1)*$B54,0)</f>
        <v>0.0</v>
      </c>
      <c r="D54" s="14">
        <f>IF(AND(D$5-$A54&gt;=0,D$5-$A54&lt;=19),INDEX(HU_ord,D$5-$A54+1)*$B54,0)</f>
        <v>0.0</v>
      </c>
      <c r="E54" s="14">
        <f>IF(AND(E$5-$A54&gt;=0,E$5-$A54&lt;=19),INDEX(HU_ord,E$5-$A54+1)*$B54,0)</f>
        <v>0.0</v>
      </c>
      <c r="F54" s="14">
        <f>IF(AND(F$5-$A54&gt;=0,F$5-$A54&lt;=19),INDEX(HU_ord,F$5-$A54+1)*$B54,0)</f>
        <v>0.0</v>
      </c>
      <c r="G54" s="14">
        <f>IF(AND(G$5-$A54&gt;=0,G$5-$A54&lt;=19),INDEX(HU_ord,G$5-$A54+1)*$B54,0)</f>
        <v>0.0</v>
      </c>
      <c r="H54" s="14">
        <f>IF(AND(H$5-$A54&gt;=0,H$5-$A54&lt;=19),INDEX(HU_ord,H$5-$A54+1)*$B54,0)</f>
        <v>0.0</v>
      </c>
      <c r="I54" s="14">
        <f>IF(AND(I$5-$A54&gt;=0,I$5-$A54&lt;=19),INDEX(HU_ord,I$5-$A54+1)*$B54,0)</f>
        <v>0.0</v>
      </c>
      <c r="J54" s="14">
        <f>IF(AND(J$5-$A54&gt;=0,J$5-$A54&lt;=19),INDEX(HU_ord,J$5-$A54+1)*$B54,0)</f>
        <v>0.0</v>
      </c>
      <c r="K54" s="14">
        <f>IF(AND(K$5-$A54&gt;=0,K$5-$A54&lt;=19),INDEX(HU_ord,K$5-$A54+1)*$B54,0)</f>
        <v>0.0</v>
      </c>
      <c r="L54" s="14">
        <f>IF(AND(L$5-$A54&gt;=0,L$5-$A54&lt;=19),INDEX(HU_ord,L$5-$A54+1)*$B54,0)</f>
        <v>0.0</v>
      </c>
      <c r="M54" s="14">
        <f>IF(AND(M$5-$A54&gt;=0,M$5-$A54&lt;=19),INDEX(HU_ord,M$5-$A54+1)*$B54,0)</f>
        <v>0.0</v>
      </c>
      <c r="N54" s="14">
        <f>IF(AND(N$5-$A54&gt;=0,N$5-$A54&lt;=19),INDEX(HU_ord,N$5-$A54+1)*$B54,0)</f>
        <v>0.0</v>
      </c>
      <c r="O54" s="14">
        <f>IF(AND(O$5-$A54&gt;=0,O$5-$A54&lt;=19),INDEX(HU_ord,O$5-$A54+1)*$B54,0)</f>
        <v>0.0</v>
      </c>
      <c r="P54" s="14">
        <f>IF(AND(P$5-$A54&gt;=0,P$5-$A54&lt;=19),INDEX(HU_ord,P$5-$A54+1)*$B54,0)</f>
        <v>0.0</v>
      </c>
      <c r="Q54" s="14">
        <f>IF(AND(Q$5-$A54&gt;=0,Q$5-$A54&lt;=19),INDEX(HU_ord,Q$5-$A54+1)*$B54,0)</f>
        <v>0.0</v>
      </c>
      <c r="R54" s="14">
        <f>IF(AND(R$5-$A54&gt;=0,R$5-$A54&lt;=19),INDEX(HU_ord,R$5-$A54+1)*$B54,0)</f>
        <v>0.0</v>
      </c>
      <c r="S54" s="14">
        <f>IF(AND(S$5-$A54&gt;=0,S$5-$A54&lt;=19),INDEX(HU_ord,S$5-$A54+1)*$B54,0)</f>
        <v>0.0</v>
      </c>
      <c r="T54" s="14">
        <f>IF(AND(T$5-$A54&gt;=0,T$5-$A54&lt;=19),INDEX(HU_ord,T$5-$A54+1)*$B54,0)</f>
        <v>0.0</v>
      </c>
      <c r="U54" s="14">
        <f>IF(AND(U$5-$A54&gt;=0,U$5-$A54&lt;=19),INDEX(HU_ord,U$5-$A54+1)*$B54,0)</f>
        <v>0.0</v>
      </c>
      <c r="V54" s="14">
        <f>IF(AND(V$5-$A54&gt;=0,V$5-$A54&lt;=19),INDEX(HU_ord,V$5-$A54+1)*$B54,0)</f>
        <v>0.0</v>
      </c>
      <c r="W54" s="14">
        <f>IF(AND(W$5-$A54&gt;=0,W$5-$A54&lt;=19),INDEX(HU_ord,W$5-$A54+1)*$B54,0)</f>
        <v>0.0</v>
      </c>
      <c r="X54" s="14">
        <f>IF(AND(X$5-$A54&gt;=0,X$5-$A54&lt;=19),INDEX(HU_ord,X$5-$A54+1)*$B54,0)</f>
        <v>0.0</v>
      </c>
      <c r="Y54" s="14">
        <f>IF(AND(Y$5-$A54&gt;=0,Y$5-$A54&lt;=19),INDEX(HU_ord,Y$5-$A54+1)*$B54,0)</f>
        <v>0.0</v>
      </c>
      <c r="Z54" s="14">
        <f>IF(AND(Z$5-$A54&gt;=0,Z$5-$A54&lt;=19),INDEX(HU_ord,Z$5-$A54+1)*$B54,0)</f>
        <v>0.0</v>
      </c>
      <c r="AA54" s="14">
        <f>IF(AND(AA$5-$A54&gt;=0,AA$5-$A54&lt;=19),INDEX(HU_ord,AA$5-$A54+1)*$B54,0)</f>
        <v>0.0</v>
      </c>
      <c r="AB54" s="14">
        <f>IF(AND(AB$5-$A54&gt;=0,AB$5-$A54&lt;=19),INDEX(HU_ord,AB$5-$A54+1)*$B54,0)</f>
        <v>0.0</v>
      </c>
      <c r="AC54" s="14">
        <f>IF(AND(AC$5-$A54&gt;=0,AC$5-$A54&lt;=19),INDEX(HU_ord,AC$5-$A54+1)*$B54,0)</f>
        <v>0.0</v>
      </c>
      <c r="AD54" s="14">
        <f>IF(AND(AD$5-$A54&gt;=0,AD$5-$A54&lt;=19),INDEX(HU_ord,AD$5-$A54+1)*$B54,0)</f>
        <v>0.0</v>
      </c>
      <c r="AE54" s="14">
        <f>IF(AND(AE$5-$A54&gt;=0,AE$5-$A54&lt;=19),INDEX(HU_ord,AE$5-$A54+1)*$B54,0)</f>
        <v>0.0</v>
      </c>
      <c r="AF54" s="14">
        <f>IF(AND(AF$5-$A54&gt;=0,AF$5-$A54&lt;=19),INDEX(HU_ord,AF$5-$A54+1)*$B54,0)</f>
        <v>0.0</v>
      </c>
      <c r="AG54" s="14">
        <f>IF(AND(AG$5-$A54&gt;=0,AG$5-$A54&lt;=19),INDEX(HU_ord,AG$5-$A54+1)*$B54,0)</f>
        <v>0.0</v>
      </c>
      <c r="AH54" s="14">
        <f>IF(AND(AH$5-$A54&gt;=0,AH$5-$A54&lt;=19),INDEX(HU_ord,AH$5-$A54+1)*$B54,0)</f>
        <v>0.0</v>
      </c>
      <c r="AI54" s="14">
        <f>IF(AND(AI$5-$A54&gt;=0,AI$5-$A54&lt;=19),INDEX(HU_ord,AI$5-$A54+1)*$B54,0)</f>
        <v>0.0</v>
      </c>
      <c r="AJ54" s="14">
        <f>IF(AND(AJ$5-$A54&gt;=0,AJ$5-$A54&lt;=19),INDEX(HU_ord,AJ$5-$A54+1)*$B54,0)</f>
        <v>0.0</v>
      </c>
      <c r="AK54" s="14">
        <f>IF(AND(AK$5-$A54&gt;=0,AK$5-$A54&lt;=19),INDEX(HU_ord,AK$5-$A54+1)*$B54,0)</f>
        <v>0.0</v>
      </c>
      <c r="AL54" s="14">
        <f>IF(AND(AL$5-$A54&gt;=0,AL$5-$A54&lt;=19),INDEX(HU_ord,AL$5-$A54+1)*$B54,0)</f>
        <v>0.0</v>
      </c>
      <c r="AM54" s="14">
        <f>IF(AND(AM$5-$A54&gt;=0,AM$5-$A54&lt;=19),INDEX(HU_ord,AM$5-$A54+1)*$B54,0)</f>
        <v>0.0</v>
      </c>
      <c r="AN54" s="14">
        <f>IF(AND(AN$5-$A54&gt;=0,AN$5-$A54&lt;=19),INDEX(HU_ord,AN$5-$A54+1)*$B54,0)</f>
        <v>0.0</v>
      </c>
      <c r="AO54" s="14">
        <f>IF(AND(AO$5-$A54&gt;=0,AO$5-$A54&lt;=19),INDEX(HU_ord,AO$5-$A54+1)*$B54,0)</f>
        <v>0.0</v>
      </c>
      <c r="AP54" s="14">
        <f>IF(AND(AP$5-$A54&gt;=0,AP$5-$A54&lt;=19),INDEX(HU_ord,AP$5-$A54+1)*$B54,0)</f>
        <v>0.0</v>
      </c>
      <c r="AQ54" s="14">
        <f>IF(AND(AQ$5-$A54&gt;=0,AQ$5-$A54&lt;=19),INDEX(HU_ord,AQ$5-$A54+1)*$B54,0)</f>
        <v>0.0</v>
      </c>
      <c r="AR54" s="14">
        <f>IF(AND(AR$5-$A54&gt;=0,AR$5-$A54&lt;=19),INDEX(HU_ord,AR$5-$A54+1)*$B54,0)</f>
        <v>0.0</v>
      </c>
      <c r="AS54" s="14">
        <f>IF(AND(AS$5-$A54&gt;=0,AS$5-$A54&lt;=19),INDEX(HU_ord,AS$5-$A54+1)*$B54,0)</f>
        <v>0.0</v>
      </c>
      <c r="AT54" s="14">
        <f>IF(AND(AT$5-$A54&gt;=0,AT$5-$A54&lt;=19),INDEX(HU_ord,AT$5-$A54+1)*$B54,0)</f>
        <v>0.0</v>
      </c>
      <c r="AU54" s="14">
        <f>IF(AND(AU$5-$A54&gt;=0,AU$5-$A54&lt;=19),INDEX(HU_ord,AU$5-$A54+1)*$B54,0)</f>
        <v>0.0</v>
      </c>
      <c r="AV54" s="14">
        <f>IF(AND(AV$5-$A54&gt;=0,AV$5-$A54&lt;=19),INDEX(HU_ord,AV$5-$A54+1)*$B54,0)</f>
        <v>0.0</v>
      </c>
      <c r="AW54" s="14">
        <f>IF(AND(AW$5-$A54&gt;=0,AW$5-$A54&lt;=19),INDEX(HU_ord,AW$5-$A54+1)*$B54,0)</f>
        <v>0.0</v>
      </c>
      <c r="AX54" s="14">
        <f>IF(AND(AX$5-$A54&gt;=0,AX$5-$A54&lt;=19),INDEX(HU_ord,AX$5-$A54+1)*$B54,0)</f>
        <v>0.0</v>
      </c>
      <c r="AY54" s="14">
        <f>IF(AND(AY$5-$A54&gt;=0,AY$5-$A54&lt;=19),INDEX(HU_ord,AY$5-$A54+1)*$B54,0)</f>
        <v>0.0</v>
      </c>
      <c r="AZ54" s="14">
        <f>IF(AND(AZ$5-$A54&gt;=0,AZ$5-$A54&lt;=19),INDEX(HU_ord,AZ$5-$A54+1)*$B54,0)</f>
        <v>0.0</v>
      </c>
      <c r="BA54" s="14">
        <f>IF(AND(BA$5-$A54&gt;=0,BA$5-$A54&lt;=19),INDEX(HU_ord,BA$5-$A54+1)*$B54,0)</f>
        <v>0.0</v>
      </c>
      <c r="BB54" s="14">
        <f>IF(AND(BB$5-$A54&gt;=0,BB$5-$A54&lt;=19),INDEX(HU_ord,BB$5-$A54+1)*$B54,0)</f>
        <v>0.0</v>
      </c>
      <c r="BC54" s="14">
        <f>IF(AND(BC$5-$A54&gt;=0,BC$5-$A54&lt;=19),INDEX(HU_ord,BC$5-$A54+1)*$B54,0)</f>
        <v>0.0</v>
      </c>
      <c r="BD54" s="14">
        <f>IF(AND(BD$5-$A54&gt;=0,BD$5-$A54&lt;=19),INDEX(HU_ord,BD$5-$A54+1)*$B54,0)</f>
        <v>0.0</v>
      </c>
      <c r="BE54" s="14">
        <f>IF(AND(BE$5-$A54&gt;=0,BE$5-$A54&lt;=19),INDEX(HU_ord,BE$5-$A54+1)*$B54,0)</f>
        <v>0.0</v>
      </c>
      <c r="BF54" s="14">
        <f>IF(AND(BF$5-$A54&gt;=0,BF$5-$A54&lt;=19),INDEX(HU_ord,BF$5-$A54+1)*$B54,0)</f>
        <v>0.0</v>
      </c>
      <c r="BG54" s="14">
        <f>IF(AND(BG$5-$A54&gt;=0,BG$5-$A54&lt;=19),INDEX(HU_ord,BG$5-$A54+1)*$B54,0)</f>
        <v>0.0</v>
      </c>
      <c r="BH54" s="14">
        <f>IF(AND(BH$5-$A54&gt;=0,BH$5-$A54&lt;=19),INDEX(HU_ord,BH$5-$A54+1)*$B54,0)</f>
        <v>0.0</v>
      </c>
      <c r="BI54" s="14">
        <f>IF(AND(BI$5-$A54&gt;=0,BI$5-$A54&lt;=19),INDEX(HU_ord,BI$5-$A54+1)*$B54,0)</f>
        <v>0.0</v>
      </c>
      <c r="BJ54" s="14">
        <f>IF(AND(BJ$5-$A54&gt;=0,BJ$5-$A54&lt;=19),INDEX(HU_ord,BJ$5-$A54+1)*$B54,0)</f>
        <v>0.0</v>
      </c>
      <c r="BK54" s="14">
        <f>IF(AND(BK$5-$A54&gt;=0,BK$5-$A54&lt;=19),INDEX(HU_ord,BK$5-$A54+1)*$B54,0)</f>
        <v>0.0</v>
      </c>
      <c r="BL54" s="14">
        <f>IF(AND(BL$5-$A54&gt;=0,BL$5-$A54&lt;=19),INDEX(HU_ord,BL$5-$A54+1)*$B54,0)</f>
        <v>0.0</v>
      </c>
      <c r="BM54" s="14">
        <f>IF(AND(BM$5-$A54&gt;=0,BM$5-$A54&lt;=19),INDEX(HU_ord,BM$5-$A54+1)*$B54,0)</f>
        <v>0.0</v>
      </c>
      <c r="BN54" s="14">
        <f>IF(AND(BN$5-$A54&gt;=0,BN$5-$A54&lt;=19),INDEX(HU_ord,BN$5-$A54+1)*$B54,0)</f>
        <v>0.0</v>
      </c>
      <c r="BO54" s="14">
        <f>IF(AND(BO$5-$A54&gt;=0,BO$5-$A54&lt;=19),INDEX(HU_ord,BO$5-$A54+1)*$B54,0)</f>
        <v>0.0</v>
      </c>
      <c r="BP54" s="14">
        <f>IF(AND(BP$5-$A54&gt;=0,BP$5-$A54&lt;=19),INDEX(HU_ord,BP$5-$A54+1)*$B54,0)</f>
        <v>0.0</v>
      </c>
      <c r="BQ54" s="14">
        <f>IF(AND(BQ$5-$A54&gt;=0,BQ$5-$A54&lt;=19),INDEX(HU_ord,BQ$5-$A54+1)*$B54,0)</f>
        <v>0.0</v>
      </c>
      <c r="BR54" s="14">
        <f>IF(AND(BR$5-$A54&gt;=0,BR$5-$A54&lt;=19),INDEX(HU_ord,BR$5-$A54+1)*$B54,0)</f>
        <v>0.0</v>
      </c>
      <c r="BS54" s="14">
        <f>IF(AND(BS$5-$A54&gt;=0,BS$5-$A54&lt;=19),INDEX(HU_ord,BS$5-$A54+1)*$B54,0)</f>
        <v>0.0</v>
      </c>
      <c r="BT54" s="14">
        <f>IF(AND(BT$5-$A54&gt;=0,BT$5-$A54&lt;=19),INDEX(HU_ord,BT$5-$A54+1)*$B54,0)</f>
        <v>0.0</v>
      </c>
      <c r="BU54" s="14">
        <f>IF(AND(BU$5-$A54&gt;=0,BU$5-$A54&lt;=19),INDEX(HU_ord,BU$5-$A54+1)*$B54,0)</f>
        <v>0.0</v>
      </c>
      <c r="BV54" s="14">
        <f>IF(AND(BV$5-$A54&gt;=0,BV$5-$A54&lt;=19),INDEX(HU_ord,BV$5-$A54+1)*$B54,0)</f>
        <v>0.0</v>
      </c>
      <c r="BW54" s="14">
        <f>IF(AND(BW$5-$A54&gt;=0,BW$5-$A54&lt;=19),INDEX(HU_ord,BW$5-$A54+1)*$B54,0)</f>
        <v>0.0</v>
      </c>
      <c r="BX54" s="14">
        <f>IF(AND(BX$5-$A54&gt;=0,BX$5-$A54&lt;=19),INDEX(HU_ord,BX$5-$A54+1)*$B54,0)</f>
        <v>0.0</v>
      </c>
      <c r="BY54" s="14">
        <f>IF(AND(BY$5-$A54&gt;=0,BY$5-$A54&lt;=19),INDEX(HU_ord,BY$5-$A54+1)*$B54,0)</f>
        <v>0.0</v>
      </c>
      <c r="BZ54" s="14">
        <f>IF(AND(BZ$5-$A54&gt;=0,BZ$5-$A54&lt;=19),INDEX(HU_ord,BZ$5-$A54+1)*$B54,0)</f>
        <v>0.0</v>
      </c>
      <c r="CA54" s="14">
        <f>IF(AND(CA$5-$A54&gt;=0,CA$5-$A54&lt;=19),INDEX(HU_ord,CA$5-$A54+1)*$B54,0)</f>
        <v>0.0</v>
      </c>
      <c r="CB54" s="14">
        <f>IF(AND(CB$5-$A54&gt;=0,CB$5-$A54&lt;=19),INDEX(HU_ord,CB$5-$A54+1)*$B54,0)</f>
        <v>0.0</v>
      </c>
      <c r="CC54" s="14">
        <f>IF(AND(CC$5-$A54&gt;=0,CC$5-$A54&lt;=19),INDEX(HU_ord,CC$5-$A54+1)*$B54,0)</f>
        <v>0.0</v>
      </c>
      <c r="CD54" s="14">
        <f>IF(AND(CD$5-$A54&gt;=0,CD$5-$A54&lt;=19),INDEX(HU_ord,CD$5-$A54+1)*$B54,0)</f>
        <v>0.0</v>
      </c>
      <c r="CE54" s="14">
        <f>IF(AND(CE$5-$A54&gt;=0,CE$5-$A54&lt;=19),INDEX(HU_ord,CE$5-$A54+1)*$B54,0)</f>
        <v>0.0</v>
      </c>
      <c r="CF54" s="14">
        <f>IF(AND(CF$5-$A54&gt;=0,CF$5-$A54&lt;=19),INDEX(HU_ord,CF$5-$A54+1)*$B54,0)</f>
        <v>0.0</v>
      </c>
      <c r="CG54" s="14">
        <f>IF(AND(CG$5-$A54&gt;=0,CG$5-$A54&lt;=19),INDEX(HU_ord,CG$5-$A54+1)*$B54,0)</f>
        <v>0.0</v>
      </c>
      <c r="CH54" s="14">
        <f>IF(AND(CH$5-$A54&gt;=0,CH$5-$A54&lt;=19),INDEX(HU_ord,CH$5-$A54+1)*$B54,0)</f>
        <v>0.0</v>
      </c>
      <c r="CI54" s="14">
        <f>IF(AND(CI$5-$A54&gt;=0,CI$5-$A54&lt;=19),INDEX(HU_ord,CI$5-$A54+1)*$B54,0)</f>
        <v>0.0</v>
      </c>
      <c r="CJ54" s="14">
        <f>IF(AND(CJ$5-$A54&gt;=0,CJ$5-$A54&lt;=19),INDEX(HU_ord,CJ$5-$A54+1)*$B54,0)</f>
        <v>0.0</v>
      </c>
      <c r="CK54" s="14">
        <f>IF(AND(CK$5-$A54&gt;=0,CK$5-$A54&lt;=19),INDEX(HU_ord,CK$5-$A54+1)*$B54,0)</f>
        <v>0.0</v>
      </c>
      <c r="CL54" s="14">
        <f>IF(AND(CL$5-$A54&gt;=0,CL$5-$A54&lt;=19),INDEX(HU_ord,CL$5-$A54+1)*$B54,0)</f>
        <v>0.0</v>
      </c>
      <c r="CM54" s="14">
        <f>IF(AND(CM$5-$A54&gt;=0,CM$5-$A54&lt;=19),INDEX(HU_ord,CM$5-$A54+1)*$B54,0)</f>
        <v>0.0</v>
      </c>
      <c r="CN54" s="14">
        <f>IF(AND(CN$5-$A54&gt;=0,CN$5-$A54&lt;=19),INDEX(HU_ord,CN$5-$A54+1)*$B54,0)</f>
        <v>0.0</v>
      </c>
      <c r="CO54" s="14">
        <f>IF(AND(CO$5-$A54&gt;=0,CO$5-$A54&lt;=19),INDEX(HU_ord,CO$5-$A54+1)*$B54,0)</f>
        <v>0.0</v>
      </c>
      <c r="CP54" s="14">
        <f>IF(AND(CP$5-$A54&gt;=0,CP$5-$A54&lt;=19),INDEX(HU_ord,CP$5-$A54+1)*$B54,0)</f>
        <v>0.0</v>
      </c>
      <c r="CQ54" s="14">
        <f>IF(AND(CQ$5-$A54&gt;=0,CQ$5-$A54&lt;=19),INDEX(HU_ord,CQ$5-$A54+1)*$B54,0)</f>
        <v>0.0</v>
      </c>
      <c r="CR54" s="14">
        <f>IF(AND(CR$5-$A54&gt;=0,CR$5-$A54&lt;=19),INDEX(HU_ord,CR$5-$A54+1)*$B54,0)</f>
        <v>0.0</v>
      </c>
      <c r="CS54" s="14">
        <f>IF(AND(CS$5-$A54&gt;=0,CS$5-$A54&lt;=19),INDEX(HU_ord,CS$5-$A54+1)*$B54,0)</f>
        <v>0.0</v>
      </c>
      <c r="CT54" s="14">
        <f>IF(AND(CT$5-$A54&gt;=0,CT$5-$A54&lt;=19),INDEX(HU_ord,CT$5-$A54+1)*$B54,0)</f>
        <v>0.0</v>
      </c>
      <c r="CU54" s="14">
        <f>IF(AND(CU$5-$A54&gt;=0,CU$5-$A54&lt;=19),INDEX(HU_ord,CU$5-$A54+1)*$B54,0)</f>
        <v>0.0</v>
      </c>
      <c r="CV54" s="14">
        <f>IF(AND(CV$5-$A54&gt;=0,CV$5-$A54&lt;=19),INDEX(HU_ord,CV$5-$A54+1)*$B54,0)</f>
        <v>0.0</v>
      </c>
      <c r="CW54" s="14">
        <f>IF(AND(CW$5-$A54&gt;=0,CW$5-$A54&lt;=19),INDEX(HU_ord,CW$5-$A54+1)*$B54,0)</f>
        <v>0.0</v>
      </c>
      <c r="CX54" s="14">
        <f>IF(AND(CX$5-$A54&gt;=0,CX$5-$A54&lt;=19),INDEX(HU_ord,CX$5-$A54+1)*$B54,0)</f>
        <v>0.0</v>
      </c>
      <c r="CY54" s="14">
        <f>IF(AND(CY$5-$A54&gt;=0,CY$5-$A54&lt;=19),INDEX(HU_ord,CY$5-$A54+1)*$B54,0)</f>
        <v>0.0</v>
      </c>
      <c r="CZ54" s="14">
        <f>IF(AND(CZ$5-$A54&gt;=0,CZ$5-$A54&lt;=19),INDEX(HU_ord,CZ$5-$A54+1)*$B54,0)</f>
        <v>0.0</v>
      </c>
      <c r="DA54" s="14">
        <f>IF(AND(DA$5-$A54&gt;=0,DA$5-$A54&lt;=19),INDEX(HU_ord,DA$5-$A54+1)*$B54,0)</f>
        <v>0.0</v>
      </c>
      <c r="DB54" s="14">
        <f>IF(AND(DB$5-$A54&gt;=0,DB$5-$A54&lt;=19),INDEX(HU_ord,DB$5-$A54+1)*$B54,0)</f>
        <v>0.0</v>
      </c>
      <c r="DC54" s="14">
        <f>IF(AND(DC$5-$A54&gt;=0,DC$5-$A54&lt;=19),INDEX(HU_ord,DC$5-$A54+1)*$B54,0)</f>
        <v>0.0</v>
      </c>
      <c r="DD54" s="14">
        <f>IF(AND(DD$5-$A54&gt;=0,DD$5-$A54&lt;=19),INDEX(HU_ord,DD$5-$A54+1)*$B54,0)</f>
        <v>0.0</v>
      </c>
      <c r="DE54" s="14">
        <f>IF(AND(DE$5-$A54&gt;=0,DE$5-$A54&lt;=19),INDEX(HU_ord,DE$5-$A54+1)*$B54,0)</f>
        <v>0.0</v>
      </c>
      <c r="DF54" s="14">
        <f>IF(AND(DF$5-$A54&gt;=0,DF$5-$A54&lt;=19),INDEX(HU_ord,DF$5-$A54+1)*$B54,0)</f>
        <v>0.0</v>
      </c>
      <c r="DG54" s="14">
        <f>IF(AND(DG$5-$A54&gt;=0,DG$5-$A54&lt;=19),INDEX(HU_ord,DG$5-$A54+1)*$B54,0)</f>
        <v>0.0</v>
      </c>
      <c r="DH54" s="14">
        <f>IF(AND(DH$5-$A54&gt;=0,DH$5-$A54&lt;=19),INDEX(HU_ord,DH$5-$A54+1)*$B54,0)</f>
        <v>0.0</v>
      </c>
      <c r="DI54" s="14">
        <f>IF(AND(DI$5-$A54&gt;=0,DI$5-$A54&lt;=19),INDEX(HU_ord,DI$5-$A54+1)*$B54,0)</f>
        <v>0.0</v>
      </c>
    </row>
    <row r="55" spans="1:113">
      <c r="A55">
        <v>49</v>
      </c>
      <c r="B55" s="10">
        <f>Serie_horaria!N51</f>
        <v>0.0</v>
      </c>
      <c r="C55" s="14">
        <f>IF(AND(C$5-$A55&gt;=0,C$5-$A55&lt;=19),INDEX(HU_ord,C$5-$A55+1)*$B55,0)</f>
        <v>0.0</v>
      </c>
      <c r="D55" s="14">
        <f>IF(AND(D$5-$A55&gt;=0,D$5-$A55&lt;=19),INDEX(HU_ord,D$5-$A55+1)*$B55,0)</f>
        <v>0.0</v>
      </c>
      <c r="E55" s="14">
        <f>IF(AND(E$5-$A55&gt;=0,E$5-$A55&lt;=19),INDEX(HU_ord,E$5-$A55+1)*$B55,0)</f>
        <v>0.0</v>
      </c>
      <c r="F55" s="14">
        <f>IF(AND(F$5-$A55&gt;=0,F$5-$A55&lt;=19),INDEX(HU_ord,F$5-$A55+1)*$B55,0)</f>
        <v>0.0</v>
      </c>
      <c r="G55" s="14">
        <f>IF(AND(G$5-$A55&gt;=0,G$5-$A55&lt;=19),INDEX(HU_ord,G$5-$A55+1)*$B55,0)</f>
        <v>0.0</v>
      </c>
      <c r="H55" s="14">
        <f>IF(AND(H$5-$A55&gt;=0,H$5-$A55&lt;=19),INDEX(HU_ord,H$5-$A55+1)*$B55,0)</f>
        <v>0.0</v>
      </c>
      <c r="I55" s="14">
        <f>IF(AND(I$5-$A55&gt;=0,I$5-$A55&lt;=19),INDEX(HU_ord,I$5-$A55+1)*$B55,0)</f>
        <v>0.0</v>
      </c>
      <c r="J55" s="14">
        <f>IF(AND(J$5-$A55&gt;=0,J$5-$A55&lt;=19),INDEX(HU_ord,J$5-$A55+1)*$B55,0)</f>
        <v>0.0</v>
      </c>
      <c r="K55" s="14">
        <f>IF(AND(K$5-$A55&gt;=0,K$5-$A55&lt;=19),INDEX(HU_ord,K$5-$A55+1)*$B55,0)</f>
        <v>0.0</v>
      </c>
      <c r="L55" s="14">
        <f>IF(AND(L$5-$A55&gt;=0,L$5-$A55&lt;=19),INDEX(HU_ord,L$5-$A55+1)*$B55,0)</f>
        <v>0.0</v>
      </c>
      <c r="M55" s="14">
        <f>IF(AND(M$5-$A55&gt;=0,M$5-$A55&lt;=19),INDEX(HU_ord,M$5-$A55+1)*$B55,0)</f>
        <v>0.0</v>
      </c>
      <c r="N55" s="14">
        <f>IF(AND(N$5-$A55&gt;=0,N$5-$A55&lt;=19),INDEX(HU_ord,N$5-$A55+1)*$B55,0)</f>
        <v>0.0</v>
      </c>
      <c r="O55" s="14">
        <f>IF(AND(O$5-$A55&gt;=0,O$5-$A55&lt;=19),INDEX(HU_ord,O$5-$A55+1)*$B55,0)</f>
        <v>0.0</v>
      </c>
      <c r="P55" s="14">
        <f>IF(AND(P$5-$A55&gt;=0,P$5-$A55&lt;=19),INDEX(HU_ord,P$5-$A55+1)*$B55,0)</f>
        <v>0.0</v>
      </c>
      <c r="Q55" s="14">
        <f>IF(AND(Q$5-$A55&gt;=0,Q$5-$A55&lt;=19),INDEX(HU_ord,Q$5-$A55+1)*$B55,0)</f>
        <v>0.0</v>
      </c>
      <c r="R55" s="14">
        <f>IF(AND(R$5-$A55&gt;=0,R$5-$A55&lt;=19),INDEX(HU_ord,R$5-$A55+1)*$B55,0)</f>
        <v>0.0</v>
      </c>
      <c r="S55" s="14">
        <f>IF(AND(S$5-$A55&gt;=0,S$5-$A55&lt;=19),INDEX(HU_ord,S$5-$A55+1)*$B55,0)</f>
        <v>0.0</v>
      </c>
      <c r="T55" s="14">
        <f>IF(AND(T$5-$A55&gt;=0,T$5-$A55&lt;=19),INDEX(HU_ord,T$5-$A55+1)*$B55,0)</f>
        <v>0.0</v>
      </c>
      <c r="U55" s="14">
        <f>IF(AND(U$5-$A55&gt;=0,U$5-$A55&lt;=19),INDEX(HU_ord,U$5-$A55+1)*$B55,0)</f>
        <v>0.0</v>
      </c>
      <c r="V55" s="14">
        <f>IF(AND(V$5-$A55&gt;=0,V$5-$A55&lt;=19),INDEX(HU_ord,V$5-$A55+1)*$B55,0)</f>
        <v>0.0</v>
      </c>
      <c r="W55" s="14">
        <f>IF(AND(W$5-$A55&gt;=0,W$5-$A55&lt;=19),INDEX(HU_ord,W$5-$A55+1)*$B55,0)</f>
        <v>0.0</v>
      </c>
      <c r="X55" s="14">
        <f>IF(AND(X$5-$A55&gt;=0,X$5-$A55&lt;=19),INDEX(HU_ord,X$5-$A55+1)*$B55,0)</f>
        <v>0.0</v>
      </c>
      <c r="Y55" s="14">
        <f>IF(AND(Y$5-$A55&gt;=0,Y$5-$A55&lt;=19),INDEX(HU_ord,Y$5-$A55+1)*$B55,0)</f>
        <v>0.0</v>
      </c>
      <c r="Z55" s="14">
        <f>IF(AND(Z$5-$A55&gt;=0,Z$5-$A55&lt;=19),INDEX(HU_ord,Z$5-$A55+1)*$B55,0)</f>
        <v>0.0</v>
      </c>
      <c r="AA55" s="14">
        <f>IF(AND(AA$5-$A55&gt;=0,AA$5-$A55&lt;=19),INDEX(HU_ord,AA$5-$A55+1)*$B55,0)</f>
        <v>0.0</v>
      </c>
      <c r="AB55" s="14">
        <f>IF(AND(AB$5-$A55&gt;=0,AB$5-$A55&lt;=19),INDEX(HU_ord,AB$5-$A55+1)*$B55,0)</f>
        <v>0.0</v>
      </c>
      <c r="AC55" s="14">
        <f>IF(AND(AC$5-$A55&gt;=0,AC$5-$A55&lt;=19),INDEX(HU_ord,AC$5-$A55+1)*$B55,0)</f>
        <v>0.0</v>
      </c>
      <c r="AD55" s="14">
        <f>IF(AND(AD$5-$A55&gt;=0,AD$5-$A55&lt;=19),INDEX(HU_ord,AD$5-$A55+1)*$B55,0)</f>
        <v>0.0</v>
      </c>
      <c r="AE55" s="14">
        <f>IF(AND(AE$5-$A55&gt;=0,AE$5-$A55&lt;=19),INDEX(HU_ord,AE$5-$A55+1)*$B55,0)</f>
        <v>0.0</v>
      </c>
      <c r="AF55" s="14">
        <f>IF(AND(AF$5-$A55&gt;=0,AF$5-$A55&lt;=19),INDEX(HU_ord,AF$5-$A55+1)*$B55,0)</f>
        <v>0.0</v>
      </c>
      <c r="AG55" s="14">
        <f>IF(AND(AG$5-$A55&gt;=0,AG$5-$A55&lt;=19),INDEX(HU_ord,AG$5-$A55+1)*$B55,0)</f>
        <v>0.0</v>
      </c>
      <c r="AH55" s="14">
        <f>IF(AND(AH$5-$A55&gt;=0,AH$5-$A55&lt;=19),INDEX(HU_ord,AH$5-$A55+1)*$B55,0)</f>
        <v>0.0</v>
      </c>
      <c r="AI55" s="14">
        <f>IF(AND(AI$5-$A55&gt;=0,AI$5-$A55&lt;=19),INDEX(HU_ord,AI$5-$A55+1)*$B55,0)</f>
        <v>0.0</v>
      </c>
      <c r="AJ55" s="14">
        <f>IF(AND(AJ$5-$A55&gt;=0,AJ$5-$A55&lt;=19),INDEX(HU_ord,AJ$5-$A55+1)*$B55,0)</f>
        <v>0.0</v>
      </c>
      <c r="AK55" s="14">
        <f>IF(AND(AK$5-$A55&gt;=0,AK$5-$A55&lt;=19),INDEX(HU_ord,AK$5-$A55+1)*$B55,0)</f>
        <v>0.0</v>
      </c>
      <c r="AL55" s="14">
        <f>IF(AND(AL$5-$A55&gt;=0,AL$5-$A55&lt;=19),INDEX(HU_ord,AL$5-$A55+1)*$B55,0)</f>
        <v>0.0</v>
      </c>
      <c r="AM55" s="14">
        <f>IF(AND(AM$5-$A55&gt;=0,AM$5-$A55&lt;=19),INDEX(HU_ord,AM$5-$A55+1)*$B55,0)</f>
        <v>0.0</v>
      </c>
      <c r="AN55" s="14">
        <f>IF(AND(AN$5-$A55&gt;=0,AN$5-$A55&lt;=19),INDEX(HU_ord,AN$5-$A55+1)*$B55,0)</f>
        <v>0.0</v>
      </c>
      <c r="AO55" s="14">
        <f>IF(AND(AO$5-$A55&gt;=0,AO$5-$A55&lt;=19),INDEX(HU_ord,AO$5-$A55+1)*$B55,0)</f>
        <v>0.0</v>
      </c>
      <c r="AP55" s="14">
        <f>IF(AND(AP$5-$A55&gt;=0,AP$5-$A55&lt;=19),INDEX(HU_ord,AP$5-$A55+1)*$B55,0)</f>
        <v>0.0</v>
      </c>
      <c r="AQ55" s="14">
        <f>IF(AND(AQ$5-$A55&gt;=0,AQ$5-$A55&lt;=19),INDEX(HU_ord,AQ$5-$A55+1)*$B55,0)</f>
        <v>0.0</v>
      </c>
      <c r="AR55" s="14">
        <f>IF(AND(AR$5-$A55&gt;=0,AR$5-$A55&lt;=19),INDEX(HU_ord,AR$5-$A55+1)*$B55,0)</f>
        <v>0.0</v>
      </c>
      <c r="AS55" s="14">
        <f>IF(AND(AS$5-$A55&gt;=0,AS$5-$A55&lt;=19),INDEX(HU_ord,AS$5-$A55+1)*$B55,0)</f>
        <v>0.0</v>
      </c>
      <c r="AT55" s="14">
        <f>IF(AND(AT$5-$A55&gt;=0,AT$5-$A55&lt;=19),INDEX(HU_ord,AT$5-$A55+1)*$B55,0)</f>
        <v>0.0</v>
      </c>
      <c r="AU55" s="14">
        <f>IF(AND(AU$5-$A55&gt;=0,AU$5-$A55&lt;=19),INDEX(HU_ord,AU$5-$A55+1)*$B55,0)</f>
        <v>0.0</v>
      </c>
      <c r="AV55" s="14">
        <f>IF(AND(AV$5-$A55&gt;=0,AV$5-$A55&lt;=19),INDEX(HU_ord,AV$5-$A55+1)*$B55,0)</f>
        <v>0.0</v>
      </c>
      <c r="AW55" s="14">
        <f>IF(AND(AW$5-$A55&gt;=0,AW$5-$A55&lt;=19),INDEX(HU_ord,AW$5-$A55+1)*$B55,0)</f>
        <v>0.0</v>
      </c>
      <c r="AX55" s="14">
        <f>IF(AND(AX$5-$A55&gt;=0,AX$5-$A55&lt;=19),INDEX(HU_ord,AX$5-$A55+1)*$B55,0)</f>
        <v>0.0</v>
      </c>
      <c r="AY55" s="14">
        <f>IF(AND(AY$5-$A55&gt;=0,AY$5-$A55&lt;=19),INDEX(HU_ord,AY$5-$A55+1)*$B55,0)</f>
        <v>0.0</v>
      </c>
      <c r="AZ55" s="14">
        <f>IF(AND(AZ$5-$A55&gt;=0,AZ$5-$A55&lt;=19),INDEX(HU_ord,AZ$5-$A55+1)*$B55,0)</f>
        <v>0.0</v>
      </c>
      <c r="BA55" s="14">
        <f>IF(AND(BA$5-$A55&gt;=0,BA$5-$A55&lt;=19),INDEX(HU_ord,BA$5-$A55+1)*$B55,0)</f>
        <v>0.0</v>
      </c>
      <c r="BB55" s="14">
        <f>IF(AND(BB$5-$A55&gt;=0,BB$5-$A55&lt;=19),INDEX(HU_ord,BB$5-$A55+1)*$B55,0)</f>
        <v>0.0</v>
      </c>
      <c r="BC55" s="14">
        <f>IF(AND(BC$5-$A55&gt;=0,BC$5-$A55&lt;=19),INDEX(HU_ord,BC$5-$A55+1)*$B55,0)</f>
        <v>0.0</v>
      </c>
      <c r="BD55" s="14">
        <f>IF(AND(BD$5-$A55&gt;=0,BD$5-$A55&lt;=19),INDEX(HU_ord,BD$5-$A55+1)*$B55,0)</f>
        <v>0.0</v>
      </c>
      <c r="BE55" s="14">
        <f>IF(AND(BE$5-$A55&gt;=0,BE$5-$A55&lt;=19),INDEX(HU_ord,BE$5-$A55+1)*$B55,0)</f>
        <v>0.0</v>
      </c>
      <c r="BF55" s="14">
        <f>IF(AND(BF$5-$A55&gt;=0,BF$5-$A55&lt;=19),INDEX(HU_ord,BF$5-$A55+1)*$B55,0)</f>
        <v>0.0</v>
      </c>
      <c r="BG55" s="14">
        <f>IF(AND(BG$5-$A55&gt;=0,BG$5-$A55&lt;=19),INDEX(HU_ord,BG$5-$A55+1)*$B55,0)</f>
        <v>0.0</v>
      </c>
      <c r="BH55" s="14">
        <f>IF(AND(BH$5-$A55&gt;=0,BH$5-$A55&lt;=19),INDEX(HU_ord,BH$5-$A55+1)*$B55,0)</f>
        <v>0.0</v>
      </c>
      <c r="BI55" s="14">
        <f>IF(AND(BI$5-$A55&gt;=0,BI$5-$A55&lt;=19),INDEX(HU_ord,BI$5-$A55+1)*$B55,0)</f>
        <v>0.0</v>
      </c>
      <c r="BJ55" s="14">
        <f>IF(AND(BJ$5-$A55&gt;=0,BJ$5-$A55&lt;=19),INDEX(HU_ord,BJ$5-$A55+1)*$B55,0)</f>
        <v>0.0</v>
      </c>
      <c r="BK55" s="14">
        <f>IF(AND(BK$5-$A55&gt;=0,BK$5-$A55&lt;=19),INDEX(HU_ord,BK$5-$A55+1)*$B55,0)</f>
        <v>0.0</v>
      </c>
      <c r="BL55" s="14">
        <f>IF(AND(BL$5-$A55&gt;=0,BL$5-$A55&lt;=19),INDEX(HU_ord,BL$5-$A55+1)*$B55,0)</f>
        <v>0.0</v>
      </c>
      <c r="BM55" s="14">
        <f>IF(AND(BM$5-$A55&gt;=0,BM$5-$A55&lt;=19),INDEX(HU_ord,BM$5-$A55+1)*$B55,0)</f>
        <v>0.0</v>
      </c>
      <c r="BN55" s="14">
        <f>IF(AND(BN$5-$A55&gt;=0,BN$5-$A55&lt;=19),INDEX(HU_ord,BN$5-$A55+1)*$B55,0)</f>
        <v>0.0</v>
      </c>
      <c r="BO55" s="14">
        <f>IF(AND(BO$5-$A55&gt;=0,BO$5-$A55&lt;=19),INDEX(HU_ord,BO$5-$A55+1)*$B55,0)</f>
        <v>0.0</v>
      </c>
      <c r="BP55" s="14">
        <f>IF(AND(BP$5-$A55&gt;=0,BP$5-$A55&lt;=19),INDEX(HU_ord,BP$5-$A55+1)*$B55,0)</f>
        <v>0.0</v>
      </c>
      <c r="BQ55" s="14">
        <f>IF(AND(BQ$5-$A55&gt;=0,BQ$5-$A55&lt;=19),INDEX(HU_ord,BQ$5-$A55+1)*$B55,0)</f>
        <v>0.0</v>
      </c>
      <c r="BR55" s="14">
        <f>IF(AND(BR$5-$A55&gt;=0,BR$5-$A55&lt;=19),INDEX(HU_ord,BR$5-$A55+1)*$B55,0)</f>
        <v>0.0</v>
      </c>
      <c r="BS55" s="14">
        <f>IF(AND(BS$5-$A55&gt;=0,BS$5-$A55&lt;=19),INDEX(HU_ord,BS$5-$A55+1)*$B55,0)</f>
        <v>0.0</v>
      </c>
      <c r="BT55" s="14">
        <f>IF(AND(BT$5-$A55&gt;=0,BT$5-$A55&lt;=19),INDEX(HU_ord,BT$5-$A55+1)*$B55,0)</f>
        <v>0.0</v>
      </c>
      <c r="BU55" s="14">
        <f>IF(AND(BU$5-$A55&gt;=0,BU$5-$A55&lt;=19),INDEX(HU_ord,BU$5-$A55+1)*$B55,0)</f>
        <v>0.0</v>
      </c>
      <c r="BV55" s="14">
        <f>IF(AND(BV$5-$A55&gt;=0,BV$5-$A55&lt;=19),INDEX(HU_ord,BV$5-$A55+1)*$B55,0)</f>
        <v>0.0</v>
      </c>
      <c r="BW55" s="14">
        <f>IF(AND(BW$5-$A55&gt;=0,BW$5-$A55&lt;=19),INDEX(HU_ord,BW$5-$A55+1)*$B55,0)</f>
        <v>0.0</v>
      </c>
      <c r="BX55" s="14">
        <f>IF(AND(BX$5-$A55&gt;=0,BX$5-$A55&lt;=19),INDEX(HU_ord,BX$5-$A55+1)*$B55,0)</f>
        <v>0.0</v>
      </c>
      <c r="BY55" s="14">
        <f>IF(AND(BY$5-$A55&gt;=0,BY$5-$A55&lt;=19),INDEX(HU_ord,BY$5-$A55+1)*$B55,0)</f>
        <v>0.0</v>
      </c>
      <c r="BZ55" s="14">
        <f>IF(AND(BZ$5-$A55&gt;=0,BZ$5-$A55&lt;=19),INDEX(HU_ord,BZ$5-$A55+1)*$B55,0)</f>
        <v>0.0</v>
      </c>
      <c r="CA55" s="14">
        <f>IF(AND(CA$5-$A55&gt;=0,CA$5-$A55&lt;=19),INDEX(HU_ord,CA$5-$A55+1)*$B55,0)</f>
        <v>0.0</v>
      </c>
      <c r="CB55" s="14">
        <f>IF(AND(CB$5-$A55&gt;=0,CB$5-$A55&lt;=19),INDEX(HU_ord,CB$5-$A55+1)*$B55,0)</f>
        <v>0.0</v>
      </c>
      <c r="CC55" s="14">
        <f>IF(AND(CC$5-$A55&gt;=0,CC$5-$A55&lt;=19),INDEX(HU_ord,CC$5-$A55+1)*$B55,0)</f>
        <v>0.0</v>
      </c>
      <c r="CD55" s="14">
        <f>IF(AND(CD$5-$A55&gt;=0,CD$5-$A55&lt;=19),INDEX(HU_ord,CD$5-$A55+1)*$B55,0)</f>
        <v>0.0</v>
      </c>
      <c r="CE55" s="14">
        <f>IF(AND(CE$5-$A55&gt;=0,CE$5-$A55&lt;=19),INDEX(HU_ord,CE$5-$A55+1)*$B55,0)</f>
        <v>0.0</v>
      </c>
      <c r="CF55" s="14">
        <f>IF(AND(CF$5-$A55&gt;=0,CF$5-$A55&lt;=19),INDEX(HU_ord,CF$5-$A55+1)*$B55,0)</f>
        <v>0.0</v>
      </c>
      <c r="CG55" s="14">
        <f>IF(AND(CG$5-$A55&gt;=0,CG$5-$A55&lt;=19),INDEX(HU_ord,CG$5-$A55+1)*$B55,0)</f>
        <v>0.0</v>
      </c>
      <c r="CH55" s="14">
        <f>IF(AND(CH$5-$A55&gt;=0,CH$5-$A55&lt;=19),INDEX(HU_ord,CH$5-$A55+1)*$B55,0)</f>
        <v>0.0</v>
      </c>
      <c r="CI55" s="14">
        <f>IF(AND(CI$5-$A55&gt;=0,CI$5-$A55&lt;=19),INDEX(HU_ord,CI$5-$A55+1)*$B55,0)</f>
        <v>0.0</v>
      </c>
      <c r="CJ55" s="14">
        <f>IF(AND(CJ$5-$A55&gt;=0,CJ$5-$A55&lt;=19),INDEX(HU_ord,CJ$5-$A55+1)*$B55,0)</f>
        <v>0.0</v>
      </c>
      <c r="CK55" s="14">
        <f>IF(AND(CK$5-$A55&gt;=0,CK$5-$A55&lt;=19),INDEX(HU_ord,CK$5-$A55+1)*$B55,0)</f>
        <v>0.0</v>
      </c>
      <c r="CL55" s="14">
        <f>IF(AND(CL$5-$A55&gt;=0,CL$5-$A55&lt;=19),INDEX(HU_ord,CL$5-$A55+1)*$B55,0)</f>
        <v>0.0</v>
      </c>
      <c r="CM55" s="14">
        <f>IF(AND(CM$5-$A55&gt;=0,CM$5-$A55&lt;=19),INDEX(HU_ord,CM$5-$A55+1)*$B55,0)</f>
        <v>0.0</v>
      </c>
      <c r="CN55" s="14">
        <f>IF(AND(CN$5-$A55&gt;=0,CN$5-$A55&lt;=19),INDEX(HU_ord,CN$5-$A55+1)*$B55,0)</f>
        <v>0.0</v>
      </c>
      <c r="CO55" s="14">
        <f>IF(AND(CO$5-$A55&gt;=0,CO$5-$A55&lt;=19),INDEX(HU_ord,CO$5-$A55+1)*$B55,0)</f>
        <v>0.0</v>
      </c>
      <c r="CP55" s="14">
        <f>IF(AND(CP$5-$A55&gt;=0,CP$5-$A55&lt;=19),INDEX(HU_ord,CP$5-$A55+1)*$B55,0)</f>
        <v>0.0</v>
      </c>
      <c r="CQ55" s="14">
        <f>IF(AND(CQ$5-$A55&gt;=0,CQ$5-$A55&lt;=19),INDEX(HU_ord,CQ$5-$A55+1)*$B55,0)</f>
        <v>0.0</v>
      </c>
      <c r="CR55" s="14">
        <f>IF(AND(CR$5-$A55&gt;=0,CR$5-$A55&lt;=19),INDEX(HU_ord,CR$5-$A55+1)*$B55,0)</f>
        <v>0.0</v>
      </c>
      <c r="CS55" s="14">
        <f>IF(AND(CS$5-$A55&gt;=0,CS$5-$A55&lt;=19),INDEX(HU_ord,CS$5-$A55+1)*$B55,0)</f>
        <v>0.0</v>
      </c>
      <c r="CT55" s="14">
        <f>IF(AND(CT$5-$A55&gt;=0,CT$5-$A55&lt;=19),INDEX(HU_ord,CT$5-$A55+1)*$B55,0)</f>
        <v>0.0</v>
      </c>
      <c r="CU55" s="14">
        <f>IF(AND(CU$5-$A55&gt;=0,CU$5-$A55&lt;=19),INDEX(HU_ord,CU$5-$A55+1)*$B55,0)</f>
        <v>0.0</v>
      </c>
      <c r="CV55" s="14">
        <f>IF(AND(CV$5-$A55&gt;=0,CV$5-$A55&lt;=19),INDEX(HU_ord,CV$5-$A55+1)*$B55,0)</f>
        <v>0.0</v>
      </c>
      <c r="CW55" s="14">
        <f>IF(AND(CW$5-$A55&gt;=0,CW$5-$A55&lt;=19),INDEX(HU_ord,CW$5-$A55+1)*$B55,0)</f>
        <v>0.0</v>
      </c>
      <c r="CX55" s="14">
        <f>IF(AND(CX$5-$A55&gt;=0,CX$5-$A55&lt;=19),INDEX(HU_ord,CX$5-$A55+1)*$B55,0)</f>
        <v>0.0</v>
      </c>
      <c r="CY55" s="14">
        <f>IF(AND(CY$5-$A55&gt;=0,CY$5-$A55&lt;=19),INDEX(HU_ord,CY$5-$A55+1)*$B55,0)</f>
        <v>0.0</v>
      </c>
      <c r="CZ55" s="14">
        <f>IF(AND(CZ$5-$A55&gt;=0,CZ$5-$A55&lt;=19),INDEX(HU_ord,CZ$5-$A55+1)*$B55,0)</f>
        <v>0.0</v>
      </c>
      <c r="DA55" s="14">
        <f>IF(AND(DA$5-$A55&gt;=0,DA$5-$A55&lt;=19),INDEX(HU_ord,DA$5-$A55+1)*$B55,0)</f>
        <v>0.0</v>
      </c>
      <c r="DB55" s="14">
        <f>IF(AND(DB$5-$A55&gt;=0,DB$5-$A55&lt;=19),INDEX(HU_ord,DB$5-$A55+1)*$B55,0)</f>
        <v>0.0</v>
      </c>
      <c r="DC55" s="14">
        <f>IF(AND(DC$5-$A55&gt;=0,DC$5-$A55&lt;=19),INDEX(HU_ord,DC$5-$A55+1)*$B55,0)</f>
        <v>0.0</v>
      </c>
      <c r="DD55" s="14">
        <f>IF(AND(DD$5-$A55&gt;=0,DD$5-$A55&lt;=19),INDEX(HU_ord,DD$5-$A55+1)*$B55,0)</f>
        <v>0.0</v>
      </c>
      <c r="DE55" s="14">
        <f>IF(AND(DE$5-$A55&gt;=0,DE$5-$A55&lt;=19),INDEX(HU_ord,DE$5-$A55+1)*$B55,0)</f>
        <v>0.0</v>
      </c>
      <c r="DF55" s="14">
        <f>IF(AND(DF$5-$A55&gt;=0,DF$5-$A55&lt;=19),INDEX(HU_ord,DF$5-$A55+1)*$B55,0)</f>
        <v>0.0</v>
      </c>
      <c r="DG55" s="14">
        <f>IF(AND(DG$5-$A55&gt;=0,DG$5-$A55&lt;=19),INDEX(HU_ord,DG$5-$A55+1)*$B55,0)</f>
        <v>0.0</v>
      </c>
      <c r="DH55" s="14">
        <f>IF(AND(DH$5-$A55&gt;=0,DH$5-$A55&lt;=19),INDEX(HU_ord,DH$5-$A55+1)*$B55,0)</f>
        <v>0.0</v>
      </c>
      <c r="DI55" s="14">
        <f>IF(AND(DI$5-$A55&gt;=0,DI$5-$A55&lt;=19),INDEX(HU_ord,DI$5-$A55+1)*$B55,0)</f>
        <v>0.0</v>
      </c>
    </row>
    <row r="56" spans="1:113">
      <c r="A56">
        <v>50</v>
      </c>
      <c r="B56" s="10">
        <f>Serie_horaria!N52</f>
        <v>0.0</v>
      </c>
      <c r="C56" s="14">
        <f>IF(AND(C$5-$A56&gt;=0,C$5-$A56&lt;=19),INDEX(HU_ord,C$5-$A56+1)*$B56,0)</f>
        <v>0.0</v>
      </c>
      <c r="D56" s="14">
        <f>IF(AND(D$5-$A56&gt;=0,D$5-$A56&lt;=19),INDEX(HU_ord,D$5-$A56+1)*$B56,0)</f>
        <v>0.0</v>
      </c>
      <c r="E56" s="14">
        <f>IF(AND(E$5-$A56&gt;=0,E$5-$A56&lt;=19),INDEX(HU_ord,E$5-$A56+1)*$B56,0)</f>
        <v>0.0</v>
      </c>
      <c r="F56" s="14">
        <f>IF(AND(F$5-$A56&gt;=0,F$5-$A56&lt;=19),INDEX(HU_ord,F$5-$A56+1)*$B56,0)</f>
        <v>0.0</v>
      </c>
      <c r="G56" s="14">
        <f>IF(AND(G$5-$A56&gt;=0,G$5-$A56&lt;=19),INDEX(HU_ord,G$5-$A56+1)*$B56,0)</f>
        <v>0.0</v>
      </c>
      <c r="H56" s="14">
        <f>IF(AND(H$5-$A56&gt;=0,H$5-$A56&lt;=19),INDEX(HU_ord,H$5-$A56+1)*$B56,0)</f>
        <v>0.0</v>
      </c>
      <c r="I56" s="14">
        <f>IF(AND(I$5-$A56&gt;=0,I$5-$A56&lt;=19),INDEX(HU_ord,I$5-$A56+1)*$B56,0)</f>
        <v>0.0</v>
      </c>
      <c r="J56" s="14">
        <f>IF(AND(J$5-$A56&gt;=0,J$5-$A56&lt;=19),INDEX(HU_ord,J$5-$A56+1)*$B56,0)</f>
        <v>0.0</v>
      </c>
      <c r="K56" s="14">
        <f>IF(AND(K$5-$A56&gt;=0,K$5-$A56&lt;=19),INDEX(HU_ord,K$5-$A56+1)*$B56,0)</f>
        <v>0.0</v>
      </c>
      <c r="L56" s="14">
        <f>IF(AND(L$5-$A56&gt;=0,L$5-$A56&lt;=19),INDEX(HU_ord,L$5-$A56+1)*$B56,0)</f>
        <v>0.0</v>
      </c>
      <c r="M56" s="14">
        <f>IF(AND(M$5-$A56&gt;=0,M$5-$A56&lt;=19),INDEX(HU_ord,M$5-$A56+1)*$B56,0)</f>
        <v>0.0</v>
      </c>
      <c r="N56" s="14">
        <f>IF(AND(N$5-$A56&gt;=0,N$5-$A56&lt;=19),INDEX(HU_ord,N$5-$A56+1)*$B56,0)</f>
        <v>0.0</v>
      </c>
      <c r="O56" s="14">
        <f>IF(AND(O$5-$A56&gt;=0,O$5-$A56&lt;=19),INDEX(HU_ord,O$5-$A56+1)*$B56,0)</f>
        <v>0.0</v>
      </c>
      <c r="P56" s="14">
        <f>IF(AND(P$5-$A56&gt;=0,P$5-$A56&lt;=19),INDEX(HU_ord,P$5-$A56+1)*$B56,0)</f>
        <v>0.0</v>
      </c>
      <c r="Q56" s="14">
        <f>IF(AND(Q$5-$A56&gt;=0,Q$5-$A56&lt;=19),INDEX(HU_ord,Q$5-$A56+1)*$B56,0)</f>
        <v>0.0</v>
      </c>
      <c r="R56" s="14">
        <f>IF(AND(R$5-$A56&gt;=0,R$5-$A56&lt;=19),INDEX(HU_ord,R$5-$A56+1)*$B56,0)</f>
        <v>0.0</v>
      </c>
      <c r="S56" s="14">
        <f>IF(AND(S$5-$A56&gt;=0,S$5-$A56&lt;=19),INDEX(HU_ord,S$5-$A56+1)*$B56,0)</f>
        <v>0.0</v>
      </c>
      <c r="T56" s="14">
        <f>IF(AND(T$5-$A56&gt;=0,T$5-$A56&lt;=19),INDEX(HU_ord,T$5-$A56+1)*$B56,0)</f>
        <v>0.0</v>
      </c>
      <c r="U56" s="14">
        <f>IF(AND(U$5-$A56&gt;=0,U$5-$A56&lt;=19),INDEX(HU_ord,U$5-$A56+1)*$B56,0)</f>
        <v>0.0</v>
      </c>
      <c r="V56" s="14">
        <f>IF(AND(V$5-$A56&gt;=0,V$5-$A56&lt;=19),INDEX(HU_ord,V$5-$A56+1)*$B56,0)</f>
        <v>0.0</v>
      </c>
      <c r="W56" s="14">
        <f>IF(AND(W$5-$A56&gt;=0,W$5-$A56&lt;=19),INDEX(HU_ord,W$5-$A56+1)*$B56,0)</f>
        <v>0.0</v>
      </c>
      <c r="X56" s="14">
        <f>IF(AND(X$5-$A56&gt;=0,X$5-$A56&lt;=19),INDEX(HU_ord,X$5-$A56+1)*$B56,0)</f>
        <v>0.0</v>
      </c>
      <c r="Y56" s="14">
        <f>IF(AND(Y$5-$A56&gt;=0,Y$5-$A56&lt;=19),INDEX(HU_ord,Y$5-$A56+1)*$B56,0)</f>
        <v>0.0</v>
      </c>
      <c r="Z56" s="14">
        <f>IF(AND(Z$5-$A56&gt;=0,Z$5-$A56&lt;=19),INDEX(HU_ord,Z$5-$A56+1)*$B56,0)</f>
        <v>0.0</v>
      </c>
      <c r="AA56" s="14">
        <f>IF(AND(AA$5-$A56&gt;=0,AA$5-$A56&lt;=19),INDEX(HU_ord,AA$5-$A56+1)*$B56,0)</f>
        <v>0.0</v>
      </c>
      <c r="AB56" s="14">
        <f>IF(AND(AB$5-$A56&gt;=0,AB$5-$A56&lt;=19),INDEX(HU_ord,AB$5-$A56+1)*$B56,0)</f>
        <v>0.0</v>
      </c>
      <c r="AC56" s="14">
        <f>IF(AND(AC$5-$A56&gt;=0,AC$5-$A56&lt;=19),INDEX(HU_ord,AC$5-$A56+1)*$B56,0)</f>
        <v>0.0</v>
      </c>
      <c r="AD56" s="14">
        <f>IF(AND(AD$5-$A56&gt;=0,AD$5-$A56&lt;=19),INDEX(HU_ord,AD$5-$A56+1)*$B56,0)</f>
        <v>0.0</v>
      </c>
      <c r="AE56" s="14">
        <f>IF(AND(AE$5-$A56&gt;=0,AE$5-$A56&lt;=19),INDEX(HU_ord,AE$5-$A56+1)*$B56,0)</f>
        <v>0.0</v>
      </c>
      <c r="AF56" s="14">
        <f>IF(AND(AF$5-$A56&gt;=0,AF$5-$A56&lt;=19),INDEX(HU_ord,AF$5-$A56+1)*$B56,0)</f>
        <v>0.0</v>
      </c>
      <c r="AG56" s="14">
        <f>IF(AND(AG$5-$A56&gt;=0,AG$5-$A56&lt;=19),INDEX(HU_ord,AG$5-$A56+1)*$B56,0)</f>
        <v>0.0</v>
      </c>
      <c r="AH56" s="14">
        <f>IF(AND(AH$5-$A56&gt;=0,AH$5-$A56&lt;=19),INDEX(HU_ord,AH$5-$A56+1)*$B56,0)</f>
        <v>0.0</v>
      </c>
      <c r="AI56" s="14">
        <f>IF(AND(AI$5-$A56&gt;=0,AI$5-$A56&lt;=19),INDEX(HU_ord,AI$5-$A56+1)*$B56,0)</f>
        <v>0.0</v>
      </c>
      <c r="AJ56" s="14">
        <f>IF(AND(AJ$5-$A56&gt;=0,AJ$5-$A56&lt;=19),INDEX(HU_ord,AJ$5-$A56+1)*$B56,0)</f>
        <v>0.0</v>
      </c>
      <c r="AK56" s="14">
        <f>IF(AND(AK$5-$A56&gt;=0,AK$5-$A56&lt;=19),INDEX(HU_ord,AK$5-$A56+1)*$B56,0)</f>
        <v>0.0</v>
      </c>
      <c r="AL56" s="14">
        <f>IF(AND(AL$5-$A56&gt;=0,AL$5-$A56&lt;=19),INDEX(HU_ord,AL$5-$A56+1)*$B56,0)</f>
        <v>0.0</v>
      </c>
      <c r="AM56" s="14">
        <f>IF(AND(AM$5-$A56&gt;=0,AM$5-$A56&lt;=19),INDEX(HU_ord,AM$5-$A56+1)*$B56,0)</f>
        <v>0.0</v>
      </c>
      <c r="AN56" s="14">
        <f>IF(AND(AN$5-$A56&gt;=0,AN$5-$A56&lt;=19),INDEX(HU_ord,AN$5-$A56+1)*$B56,0)</f>
        <v>0.0</v>
      </c>
      <c r="AO56" s="14">
        <f>IF(AND(AO$5-$A56&gt;=0,AO$5-$A56&lt;=19),INDEX(HU_ord,AO$5-$A56+1)*$B56,0)</f>
        <v>0.0</v>
      </c>
      <c r="AP56" s="14">
        <f>IF(AND(AP$5-$A56&gt;=0,AP$5-$A56&lt;=19),INDEX(HU_ord,AP$5-$A56+1)*$B56,0)</f>
        <v>0.0</v>
      </c>
      <c r="AQ56" s="14">
        <f>IF(AND(AQ$5-$A56&gt;=0,AQ$5-$A56&lt;=19),INDEX(HU_ord,AQ$5-$A56+1)*$B56,0)</f>
        <v>0.0</v>
      </c>
      <c r="AR56" s="14">
        <f>IF(AND(AR$5-$A56&gt;=0,AR$5-$A56&lt;=19),INDEX(HU_ord,AR$5-$A56+1)*$B56,0)</f>
        <v>0.0</v>
      </c>
      <c r="AS56" s="14">
        <f>IF(AND(AS$5-$A56&gt;=0,AS$5-$A56&lt;=19),INDEX(HU_ord,AS$5-$A56+1)*$B56,0)</f>
        <v>0.0</v>
      </c>
      <c r="AT56" s="14">
        <f>IF(AND(AT$5-$A56&gt;=0,AT$5-$A56&lt;=19),INDEX(HU_ord,AT$5-$A56+1)*$B56,0)</f>
        <v>0.0</v>
      </c>
      <c r="AU56" s="14">
        <f>IF(AND(AU$5-$A56&gt;=0,AU$5-$A56&lt;=19),INDEX(HU_ord,AU$5-$A56+1)*$B56,0)</f>
        <v>0.0</v>
      </c>
      <c r="AV56" s="14">
        <f>IF(AND(AV$5-$A56&gt;=0,AV$5-$A56&lt;=19),INDEX(HU_ord,AV$5-$A56+1)*$B56,0)</f>
        <v>0.0</v>
      </c>
      <c r="AW56" s="14">
        <f>IF(AND(AW$5-$A56&gt;=0,AW$5-$A56&lt;=19),INDEX(HU_ord,AW$5-$A56+1)*$B56,0)</f>
        <v>0.0</v>
      </c>
      <c r="AX56" s="14">
        <f>IF(AND(AX$5-$A56&gt;=0,AX$5-$A56&lt;=19),INDEX(HU_ord,AX$5-$A56+1)*$B56,0)</f>
        <v>0.0</v>
      </c>
      <c r="AY56" s="14">
        <f>IF(AND(AY$5-$A56&gt;=0,AY$5-$A56&lt;=19),INDEX(HU_ord,AY$5-$A56+1)*$B56,0)</f>
        <v>0.0</v>
      </c>
      <c r="AZ56" s="14">
        <f>IF(AND(AZ$5-$A56&gt;=0,AZ$5-$A56&lt;=19),INDEX(HU_ord,AZ$5-$A56+1)*$B56,0)</f>
        <v>0.0</v>
      </c>
      <c r="BA56" s="14">
        <f>IF(AND(BA$5-$A56&gt;=0,BA$5-$A56&lt;=19),INDEX(HU_ord,BA$5-$A56+1)*$B56,0)</f>
        <v>0.0</v>
      </c>
      <c r="BB56" s="14">
        <f>IF(AND(BB$5-$A56&gt;=0,BB$5-$A56&lt;=19),INDEX(HU_ord,BB$5-$A56+1)*$B56,0)</f>
        <v>0.0</v>
      </c>
      <c r="BC56" s="14">
        <f>IF(AND(BC$5-$A56&gt;=0,BC$5-$A56&lt;=19),INDEX(HU_ord,BC$5-$A56+1)*$B56,0)</f>
        <v>0.0</v>
      </c>
      <c r="BD56" s="14">
        <f>IF(AND(BD$5-$A56&gt;=0,BD$5-$A56&lt;=19),INDEX(HU_ord,BD$5-$A56+1)*$B56,0)</f>
        <v>0.0</v>
      </c>
      <c r="BE56" s="14">
        <f>IF(AND(BE$5-$A56&gt;=0,BE$5-$A56&lt;=19),INDEX(HU_ord,BE$5-$A56+1)*$B56,0)</f>
        <v>0.0</v>
      </c>
      <c r="BF56" s="14">
        <f>IF(AND(BF$5-$A56&gt;=0,BF$5-$A56&lt;=19),INDEX(HU_ord,BF$5-$A56+1)*$B56,0)</f>
        <v>0.0</v>
      </c>
      <c r="BG56" s="14">
        <f>IF(AND(BG$5-$A56&gt;=0,BG$5-$A56&lt;=19),INDEX(HU_ord,BG$5-$A56+1)*$B56,0)</f>
        <v>0.0</v>
      </c>
      <c r="BH56" s="14">
        <f>IF(AND(BH$5-$A56&gt;=0,BH$5-$A56&lt;=19),INDEX(HU_ord,BH$5-$A56+1)*$B56,0)</f>
        <v>0.0</v>
      </c>
      <c r="BI56" s="14">
        <f>IF(AND(BI$5-$A56&gt;=0,BI$5-$A56&lt;=19),INDEX(HU_ord,BI$5-$A56+1)*$B56,0)</f>
        <v>0.0</v>
      </c>
      <c r="BJ56" s="14">
        <f>IF(AND(BJ$5-$A56&gt;=0,BJ$5-$A56&lt;=19),INDEX(HU_ord,BJ$5-$A56+1)*$B56,0)</f>
        <v>0.0</v>
      </c>
      <c r="BK56" s="14">
        <f>IF(AND(BK$5-$A56&gt;=0,BK$5-$A56&lt;=19),INDEX(HU_ord,BK$5-$A56+1)*$B56,0)</f>
        <v>0.0</v>
      </c>
      <c r="BL56" s="14">
        <f>IF(AND(BL$5-$A56&gt;=0,BL$5-$A56&lt;=19),INDEX(HU_ord,BL$5-$A56+1)*$B56,0)</f>
        <v>0.0</v>
      </c>
      <c r="BM56" s="14">
        <f>IF(AND(BM$5-$A56&gt;=0,BM$5-$A56&lt;=19),INDEX(HU_ord,BM$5-$A56+1)*$B56,0)</f>
        <v>0.0</v>
      </c>
      <c r="BN56" s="14">
        <f>IF(AND(BN$5-$A56&gt;=0,BN$5-$A56&lt;=19),INDEX(HU_ord,BN$5-$A56+1)*$B56,0)</f>
        <v>0.0</v>
      </c>
      <c r="BO56" s="14">
        <f>IF(AND(BO$5-$A56&gt;=0,BO$5-$A56&lt;=19),INDEX(HU_ord,BO$5-$A56+1)*$B56,0)</f>
        <v>0.0</v>
      </c>
      <c r="BP56" s="14">
        <f>IF(AND(BP$5-$A56&gt;=0,BP$5-$A56&lt;=19),INDEX(HU_ord,BP$5-$A56+1)*$B56,0)</f>
        <v>0.0</v>
      </c>
      <c r="BQ56" s="14">
        <f>IF(AND(BQ$5-$A56&gt;=0,BQ$5-$A56&lt;=19),INDEX(HU_ord,BQ$5-$A56+1)*$B56,0)</f>
        <v>0.0</v>
      </c>
      <c r="BR56" s="14">
        <f>IF(AND(BR$5-$A56&gt;=0,BR$5-$A56&lt;=19),INDEX(HU_ord,BR$5-$A56+1)*$B56,0)</f>
        <v>0.0</v>
      </c>
      <c r="BS56" s="14">
        <f>IF(AND(BS$5-$A56&gt;=0,BS$5-$A56&lt;=19),INDEX(HU_ord,BS$5-$A56+1)*$B56,0)</f>
        <v>0.0</v>
      </c>
      <c r="BT56" s="14">
        <f>IF(AND(BT$5-$A56&gt;=0,BT$5-$A56&lt;=19),INDEX(HU_ord,BT$5-$A56+1)*$B56,0)</f>
        <v>0.0</v>
      </c>
      <c r="BU56" s="14">
        <f>IF(AND(BU$5-$A56&gt;=0,BU$5-$A56&lt;=19),INDEX(HU_ord,BU$5-$A56+1)*$B56,0)</f>
        <v>0.0</v>
      </c>
      <c r="BV56" s="14">
        <f>IF(AND(BV$5-$A56&gt;=0,BV$5-$A56&lt;=19),INDEX(HU_ord,BV$5-$A56+1)*$B56,0)</f>
        <v>0.0</v>
      </c>
      <c r="BW56" s="14">
        <f>IF(AND(BW$5-$A56&gt;=0,BW$5-$A56&lt;=19),INDEX(HU_ord,BW$5-$A56+1)*$B56,0)</f>
        <v>0.0</v>
      </c>
      <c r="BX56" s="14">
        <f>IF(AND(BX$5-$A56&gt;=0,BX$5-$A56&lt;=19),INDEX(HU_ord,BX$5-$A56+1)*$B56,0)</f>
        <v>0.0</v>
      </c>
      <c r="BY56" s="14">
        <f>IF(AND(BY$5-$A56&gt;=0,BY$5-$A56&lt;=19),INDEX(HU_ord,BY$5-$A56+1)*$B56,0)</f>
        <v>0.0</v>
      </c>
      <c r="BZ56" s="14">
        <f>IF(AND(BZ$5-$A56&gt;=0,BZ$5-$A56&lt;=19),INDEX(HU_ord,BZ$5-$A56+1)*$B56,0)</f>
        <v>0.0</v>
      </c>
      <c r="CA56" s="14">
        <f>IF(AND(CA$5-$A56&gt;=0,CA$5-$A56&lt;=19),INDEX(HU_ord,CA$5-$A56+1)*$B56,0)</f>
        <v>0.0</v>
      </c>
      <c r="CB56" s="14">
        <f>IF(AND(CB$5-$A56&gt;=0,CB$5-$A56&lt;=19),INDEX(HU_ord,CB$5-$A56+1)*$B56,0)</f>
        <v>0.0</v>
      </c>
      <c r="CC56" s="14">
        <f>IF(AND(CC$5-$A56&gt;=0,CC$5-$A56&lt;=19),INDEX(HU_ord,CC$5-$A56+1)*$B56,0)</f>
        <v>0.0</v>
      </c>
      <c r="CD56" s="14">
        <f>IF(AND(CD$5-$A56&gt;=0,CD$5-$A56&lt;=19),INDEX(HU_ord,CD$5-$A56+1)*$B56,0)</f>
        <v>0.0</v>
      </c>
      <c r="CE56" s="14">
        <f>IF(AND(CE$5-$A56&gt;=0,CE$5-$A56&lt;=19),INDEX(HU_ord,CE$5-$A56+1)*$B56,0)</f>
        <v>0.0</v>
      </c>
      <c r="CF56" s="14">
        <f>IF(AND(CF$5-$A56&gt;=0,CF$5-$A56&lt;=19),INDEX(HU_ord,CF$5-$A56+1)*$B56,0)</f>
        <v>0.0</v>
      </c>
      <c r="CG56" s="14">
        <f>IF(AND(CG$5-$A56&gt;=0,CG$5-$A56&lt;=19),INDEX(HU_ord,CG$5-$A56+1)*$B56,0)</f>
        <v>0.0</v>
      </c>
      <c r="CH56" s="14">
        <f>IF(AND(CH$5-$A56&gt;=0,CH$5-$A56&lt;=19),INDEX(HU_ord,CH$5-$A56+1)*$B56,0)</f>
        <v>0.0</v>
      </c>
      <c r="CI56" s="14">
        <f>IF(AND(CI$5-$A56&gt;=0,CI$5-$A56&lt;=19),INDEX(HU_ord,CI$5-$A56+1)*$B56,0)</f>
        <v>0.0</v>
      </c>
      <c r="CJ56" s="14">
        <f>IF(AND(CJ$5-$A56&gt;=0,CJ$5-$A56&lt;=19),INDEX(HU_ord,CJ$5-$A56+1)*$B56,0)</f>
        <v>0.0</v>
      </c>
      <c r="CK56" s="14">
        <f>IF(AND(CK$5-$A56&gt;=0,CK$5-$A56&lt;=19),INDEX(HU_ord,CK$5-$A56+1)*$B56,0)</f>
        <v>0.0</v>
      </c>
      <c r="CL56" s="14">
        <f>IF(AND(CL$5-$A56&gt;=0,CL$5-$A56&lt;=19),INDEX(HU_ord,CL$5-$A56+1)*$B56,0)</f>
        <v>0.0</v>
      </c>
      <c r="CM56" s="14">
        <f>IF(AND(CM$5-$A56&gt;=0,CM$5-$A56&lt;=19),INDEX(HU_ord,CM$5-$A56+1)*$B56,0)</f>
        <v>0.0</v>
      </c>
      <c r="CN56" s="14">
        <f>IF(AND(CN$5-$A56&gt;=0,CN$5-$A56&lt;=19),INDEX(HU_ord,CN$5-$A56+1)*$B56,0)</f>
        <v>0.0</v>
      </c>
      <c r="CO56" s="14">
        <f>IF(AND(CO$5-$A56&gt;=0,CO$5-$A56&lt;=19),INDEX(HU_ord,CO$5-$A56+1)*$B56,0)</f>
        <v>0.0</v>
      </c>
      <c r="CP56" s="14">
        <f>IF(AND(CP$5-$A56&gt;=0,CP$5-$A56&lt;=19),INDEX(HU_ord,CP$5-$A56+1)*$B56,0)</f>
        <v>0.0</v>
      </c>
      <c r="CQ56" s="14">
        <f>IF(AND(CQ$5-$A56&gt;=0,CQ$5-$A56&lt;=19),INDEX(HU_ord,CQ$5-$A56+1)*$B56,0)</f>
        <v>0.0</v>
      </c>
      <c r="CR56" s="14">
        <f>IF(AND(CR$5-$A56&gt;=0,CR$5-$A56&lt;=19),INDEX(HU_ord,CR$5-$A56+1)*$B56,0)</f>
        <v>0.0</v>
      </c>
      <c r="CS56" s="14">
        <f>IF(AND(CS$5-$A56&gt;=0,CS$5-$A56&lt;=19),INDEX(HU_ord,CS$5-$A56+1)*$B56,0)</f>
        <v>0.0</v>
      </c>
      <c r="CT56" s="14">
        <f>IF(AND(CT$5-$A56&gt;=0,CT$5-$A56&lt;=19),INDEX(HU_ord,CT$5-$A56+1)*$B56,0)</f>
        <v>0.0</v>
      </c>
      <c r="CU56" s="14">
        <f>IF(AND(CU$5-$A56&gt;=0,CU$5-$A56&lt;=19),INDEX(HU_ord,CU$5-$A56+1)*$B56,0)</f>
        <v>0.0</v>
      </c>
      <c r="CV56" s="14">
        <f>IF(AND(CV$5-$A56&gt;=0,CV$5-$A56&lt;=19),INDEX(HU_ord,CV$5-$A56+1)*$B56,0)</f>
        <v>0.0</v>
      </c>
      <c r="CW56" s="14">
        <f>IF(AND(CW$5-$A56&gt;=0,CW$5-$A56&lt;=19),INDEX(HU_ord,CW$5-$A56+1)*$B56,0)</f>
        <v>0.0</v>
      </c>
      <c r="CX56" s="14">
        <f>IF(AND(CX$5-$A56&gt;=0,CX$5-$A56&lt;=19),INDEX(HU_ord,CX$5-$A56+1)*$B56,0)</f>
        <v>0.0</v>
      </c>
      <c r="CY56" s="14">
        <f>IF(AND(CY$5-$A56&gt;=0,CY$5-$A56&lt;=19),INDEX(HU_ord,CY$5-$A56+1)*$B56,0)</f>
        <v>0.0</v>
      </c>
      <c r="CZ56" s="14">
        <f>IF(AND(CZ$5-$A56&gt;=0,CZ$5-$A56&lt;=19),INDEX(HU_ord,CZ$5-$A56+1)*$B56,0)</f>
        <v>0.0</v>
      </c>
      <c r="DA56" s="14">
        <f>IF(AND(DA$5-$A56&gt;=0,DA$5-$A56&lt;=19),INDEX(HU_ord,DA$5-$A56+1)*$B56,0)</f>
        <v>0.0</v>
      </c>
      <c r="DB56" s="14">
        <f>IF(AND(DB$5-$A56&gt;=0,DB$5-$A56&lt;=19),INDEX(HU_ord,DB$5-$A56+1)*$B56,0)</f>
        <v>0.0</v>
      </c>
      <c r="DC56" s="14">
        <f>IF(AND(DC$5-$A56&gt;=0,DC$5-$A56&lt;=19),INDEX(HU_ord,DC$5-$A56+1)*$B56,0)</f>
        <v>0.0</v>
      </c>
      <c r="DD56" s="14">
        <f>IF(AND(DD$5-$A56&gt;=0,DD$5-$A56&lt;=19),INDEX(HU_ord,DD$5-$A56+1)*$B56,0)</f>
        <v>0.0</v>
      </c>
      <c r="DE56" s="14">
        <f>IF(AND(DE$5-$A56&gt;=0,DE$5-$A56&lt;=19),INDEX(HU_ord,DE$5-$A56+1)*$B56,0)</f>
        <v>0.0</v>
      </c>
      <c r="DF56" s="14">
        <f>IF(AND(DF$5-$A56&gt;=0,DF$5-$A56&lt;=19),INDEX(HU_ord,DF$5-$A56+1)*$B56,0)</f>
        <v>0.0</v>
      </c>
      <c r="DG56" s="14">
        <f>IF(AND(DG$5-$A56&gt;=0,DG$5-$A56&lt;=19),INDEX(HU_ord,DG$5-$A56+1)*$B56,0)</f>
        <v>0.0</v>
      </c>
      <c r="DH56" s="14">
        <f>IF(AND(DH$5-$A56&gt;=0,DH$5-$A56&lt;=19),INDEX(HU_ord,DH$5-$A56+1)*$B56,0)</f>
        <v>0.0</v>
      </c>
      <c r="DI56" s="14">
        <f>IF(AND(DI$5-$A56&gt;=0,DI$5-$A56&lt;=19),INDEX(HU_ord,DI$5-$A56+1)*$B56,0)</f>
        <v>0.0</v>
      </c>
    </row>
    <row r="57" spans="1:113">
      <c r="A57">
        <v>51</v>
      </c>
      <c r="B57" s="10">
        <f>Serie_horaria!N53</f>
        <v>0.0</v>
      </c>
      <c r="C57" s="14">
        <f>IF(AND(C$5-$A57&gt;=0,C$5-$A57&lt;=19),INDEX(HU_ord,C$5-$A57+1)*$B57,0)</f>
        <v>0.0</v>
      </c>
      <c r="D57" s="14">
        <f>IF(AND(D$5-$A57&gt;=0,D$5-$A57&lt;=19),INDEX(HU_ord,D$5-$A57+1)*$B57,0)</f>
        <v>0.0</v>
      </c>
      <c r="E57" s="14">
        <f>IF(AND(E$5-$A57&gt;=0,E$5-$A57&lt;=19),INDEX(HU_ord,E$5-$A57+1)*$B57,0)</f>
        <v>0.0</v>
      </c>
      <c r="F57" s="14">
        <f>IF(AND(F$5-$A57&gt;=0,F$5-$A57&lt;=19),INDEX(HU_ord,F$5-$A57+1)*$B57,0)</f>
        <v>0.0</v>
      </c>
      <c r="G57" s="14">
        <f>IF(AND(G$5-$A57&gt;=0,G$5-$A57&lt;=19),INDEX(HU_ord,G$5-$A57+1)*$B57,0)</f>
        <v>0.0</v>
      </c>
      <c r="H57" s="14">
        <f>IF(AND(H$5-$A57&gt;=0,H$5-$A57&lt;=19),INDEX(HU_ord,H$5-$A57+1)*$B57,0)</f>
        <v>0.0</v>
      </c>
      <c r="I57" s="14">
        <f>IF(AND(I$5-$A57&gt;=0,I$5-$A57&lt;=19),INDEX(HU_ord,I$5-$A57+1)*$B57,0)</f>
        <v>0.0</v>
      </c>
      <c r="J57" s="14">
        <f>IF(AND(J$5-$A57&gt;=0,J$5-$A57&lt;=19),INDEX(HU_ord,J$5-$A57+1)*$B57,0)</f>
        <v>0.0</v>
      </c>
      <c r="K57" s="14">
        <f>IF(AND(K$5-$A57&gt;=0,K$5-$A57&lt;=19),INDEX(HU_ord,K$5-$A57+1)*$B57,0)</f>
        <v>0.0</v>
      </c>
      <c r="L57" s="14">
        <f>IF(AND(L$5-$A57&gt;=0,L$5-$A57&lt;=19),INDEX(HU_ord,L$5-$A57+1)*$B57,0)</f>
        <v>0.0</v>
      </c>
      <c r="M57" s="14">
        <f>IF(AND(M$5-$A57&gt;=0,M$5-$A57&lt;=19),INDEX(HU_ord,M$5-$A57+1)*$B57,0)</f>
        <v>0.0</v>
      </c>
      <c r="N57" s="14">
        <f>IF(AND(N$5-$A57&gt;=0,N$5-$A57&lt;=19),INDEX(HU_ord,N$5-$A57+1)*$B57,0)</f>
        <v>0.0</v>
      </c>
      <c r="O57" s="14">
        <f>IF(AND(O$5-$A57&gt;=0,O$5-$A57&lt;=19),INDEX(HU_ord,O$5-$A57+1)*$B57,0)</f>
        <v>0.0</v>
      </c>
      <c r="P57" s="14">
        <f>IF(AND(P$5-$A57&gt;=0,P$5-$A57&lt;=19),INDEX(HU_ord,P$5-$A57+1)*$B57,0)</f>
        <v>0.0</v>
      </c>
      <c r="Q57" s="14">
        <f>IF(AND(Q$5-$A57&gt;=0,Q$5-$A57&lt;=19),INDEX(HU_ord,Q$5-$A57+1)*$B57,0)</f>
        <v>0.0</v>
      </c>
      <c r="R57" s="14">
        <f>IF(AND(R$5-$A57&gt;=0,R$5-$A57&lt;=19),INDEX(HU_ord,R$5-$A57+1)*$B57,0)</f>
        <v>0.0</v>
      </c>
      <c r="S57" s="14">
        <f>IF(AND(S$5-$A57&gt;=0,S$5-$A57&lt;=19),INDEX(HU_ord,S$5-$A57+1)*$B57,0)</f>
        <v>0.0</v>
      </c>
      <c r="T57" s="14">
        <f>IF(AND(T$5-$A57&gt;=0,T$5-$A57&lt;=19),INDEX(HU_ord,T$5-$A57+1)*$B57,0)</f>
        <v>0.0</v>
      </c>
      <c r="U57" s="14">
        <f>IF(AND(U$5-$A57&gt;=0,U$5-$A57&lt;=19),INDEX(HU_ord,U$5-$A57+1)*$B57,0)</f>
        <v>0.0</v>
      </c>
      <c r="V57" s="14">
        <f>IF(AND(V$5-$A57&gt;=0,V$5-$A57&lt;=19),INDEX(HU_ord,V$5-$A57+1)*$B57,0)</f>
        <v>0.0</v>
      </c>
      <c r="W57" s="14">
        <f>IF(AND(W$5-$A57&gt;=0,W$5-$A57&lt;=19),INDEX(HU_ord,W$5-$A57+1)*$B57,0)</f>
        <v>0.0</v>
      </c>
      <c r="X57" s="14">
        <f>IF(AND(X$5-$A57&gt;=0,X$5-$A57&lt;=19),INDEX(HU_ord,X$5-$A57+1)*$B57,0)</f>
        <v>0.0</v>
      </c>
      <c r="Y57" s="14">
        <f>IF(AND(Y$5-$A57&gt;=0,Y$5-$A57&lt;=19),INDEX(HU_ord,Y$5-$A57+1)*$B57,0)</f>
        <v>0.0</v>
      </c>
      <c r="Z57" s="14">
        <f>IF(AND(Z$5-$A57&gt;=0,Z$5-$A57&lt;=19),INDEX(HU_ord,Z$5-$A57+1)*$B57,0)</f>
        <v>0.0</v>
      </c>
      <c r="AA57" s="14">
        <f>IF(AND(AA$5-$A57&gt;=0,AA$5-$A57&lt;=19),INDEX(HU_ord,AA$5-$A57+1)*$B57,0)</f>
        <v>0.0</v>
      </c>
      <c r="AB57" s="14">
        <f>IF(AND(AB$5-$A57&gt;=0,AB$5-$A57&lt;=19),INDEX(HU_ord,AB$5-$A57+1)*$B57,0)</f>
        <v>0.0</v>
      </c>
      <c r="AC57" s="14">
        <f>IF(AND(AC$5-$A57&gt;=0,AC$5-$A57&lt;=19),INDEX(HU_ord,AC$5-$A57+1)*$B57,0)</f>
        <v>0.0</v>
      </c>
      <c r="AD57" s="14">
        <f>IF(AND(AD$5-$A57&gt;=0,AD$5-$A57&lt;=19),INDEX(HU_ord,AD$5-$A57+1)*$B57,0)</f>
        <v>0.0</v>
      </c>
      <c r="AE57" s="14">
        <f>IF(AND(AE$5-$A57&gt;=0,AE$5-$A57&lt;=19),INDEX(HU_ord,AE$5-$A57+1)*$B57,0)</f>
        <v>0.0</v>
      </c>
      <c r="AF57" s="14">
        <f>IF(AND(AF$5-$A57&gt;=0,AF$5-$A57&lt;=19),INDEX(HU_ord,AF$5-$A57+1)*$B57,0)</f>
        <v>0.0</v>
      </c>
      <c r="AG57" s="14">
        <f>IF(AND(AG$5-$A57&gt;=0,AG$5-$A57&lt;=19),INDEX(HU_ord,AG$5-$A57+1)*$B57,0)</f>
        <v>0.0</v>
      </c>
      <c r="AH57" s="14">
        <f>IF(AND(AH$5-$A57&gt;=0,AH$5-$A57&lt;=19),INDEX(HU_ord,AH$5-$A57+1)*$B57,0)</f>
        <v>0.0</v>
      </c>
      <c r="AI57" s="14">
        <f>IF(AND(AI$5-$A57&gt;=0,AI$5-$A57&lt;=19),INDEX(HU_ord,AI$5-$A57+1)*$B57,0)</f>
        <v>0.0</v>
      </c>
      <c r="AJ57" s="14">
        <f>IF(AND(AJ$5-$A57&gt;=0,AJ$5-$A57&lt;=19),INDEX(HU_ord,AJ$5-$A57+1)*$B57,0)</f>
        <v>0.0</v>
      </c>
      <c r="AK57" s="14">
        <f>IF(AND(AK$5-$A57&gt;=0,AK$5-$A57&lt;=19),INDEX(HU_ord,AK$5-$A57+1)*$B57,0)</f>
        <v>0.0</v>
      </c>
      <c r="AL57" s="14">
        <f>IF(AND(AL$5-$A57&gt;=0,AL$5-$A57&lt;=19),INDEX(HU_ord,AL$5-$A57+1)*$B57,0)</f>
        <v>0.0</v>
      </c>
      <c r="AM57" s="14">
        <f>IF(AND(AM$5-$A57&gt;=0,AM$5-$A57&lt;=19),INDEX(HU_ord,AM$5-$A57+1)*$B57,0)</f>
        <v>0.0</v>
      </c>
      <c r="AN57" s="14">
        <f>IF(AND(AN$5-$A57&gt;=0,AN$5-$A57&lt;=19),INDEX(HU_ord,AN$5-$A57+1)*$B57,0)</f>
        <v>0.0</v>
      </c>
      <c r="AO57" s="14">
        <f>IF(AND(AO$5-$A57&gt;=0,AO$5-$A57&lt;=19),INDEX(HU_ord,AO$5-$A57+1)*$B57,0)</f>
        <v>0.0</v>
      </c>
      <c r="AP57" s="14">
        <f>IF(AND(AP$5-$A57&gt;=0,AP$5-$A57&lt;=19),INDEX(HU_ord,AP$5-$A57+1)*$B57,0)</f>
        <v>0.0</v>
      </c>
      <c r="AQ57" s="14">
        <f>IF(AND(AQ$5-$A57&gt;=0,AQ$5-$A57&lt;=19),INDEX(HU_ord,AQ$5-$A57+1)*$B57,0)</f>
        <v>0.0</v>
      </c>
      <c r="AR57" s="14">
        <f>IF(AND(AR$5-$A57&gt;=0,AR$5-$A57&lt;=19),INDEX(HU_ord,AR$5-$A57+1)*$B57,0)</f>
        <v>0.0</v>
      </c>
      <c r="AS57" s="14">
        <f>IF(AND(AS$5-$A57&gt;=0,AS$5-$A57&lt;=19),INDEX(HU_ord,AS$5-$A57+1)*$B57,0)</f>
        <v>0.0</v>
      </c>
      <c r="AT57" s="14">
        <f>IF(AND(AT$5-$A57&gt;=0,AT$5-$A57&lt;=19),INDEX(HU_ord,AT$5-$A57+1)*$B57,0)</f>
        <v>0.0</v>
      </c>
      <c r="AU57" s="14">
        <f>IF(AND(AU$5-$A57&gt;=0,AU$5-$A57&lt;=19),INDEX(HU_ord,AU$5-$A57+1)*$B57,0)</f>
        <v>0.0</v>
      </c>
      <c r="AV57" s="14">
        <f>IF(AND(AV$5-$A57&gt;=0,AV$5-$A57&lt;=19),INDEX(HU_ord,AV$5-$A57+1)*$B57,0)</f>
        <v>0.0</v>
      </c>
      <c r="AW57" s="14">
        <f>IF(AND(AW$5-$A57&gt;=0,AW$5-$A57&lt;=19),INDEX(HU_ord,AW$5-$A57+1)*$B57,0)</f>
        <v>0.0</v>
      </c>
      <c r="AX57" s="14">
        <f>IF(AND(AX$5-$A57&gt;=0,AX$5-$A57&lt;=19),INDEX(HU_ord,AX$5-$A57+1)*$B57,0)</f>
        <v>0.0</v>
      </c>
      <c r="AY57" s="14">
        <f>IF(AND(AY$5-$A57&gt;=0,AY$5-$A57&lt;=19),INDEX(HU_ord,AY$5-$A57+1)*$B57,0)</f>
        <v>0.0</v>
      </c>
      <c r="AZ57" s="14">
        <f>IF(AND(AZ$5-$A57&gt;=0,AZ$5-$A57&lt;=19),INDEX(HU_ord,AZ$5-$A57+1)*$B57,0)</f>
        <v>0.0</v>
      </c>
      <c r="BA57" s="14">
        <f>IF(AND(BA$5-$A57&gt;=0,BA$5-$A57&lt;=19),INDEX(HU_ord,BA$5-$A57+1)*$B57,0)</f>
        <v>0.0</v>
      </c>
      <c r="BB57" s="14">
        <f>IF(AND(BB$5-$A57&gt;=0,BB$5-$A57&lt;=19),INDEX(HU_ord,BB$5-$A57+1)*$B57,0)</f>
        <v>0.0</v>
      </c>
      <c r="BC57" s="14">
        <f>IF(AND(BC$5-$A57&gt;=0,BC$5-$A57&lt;=19),INDEX(HU_ord,BC$5-$A57+1)*$B57,0)</f>
        <v>0.0</v>
      </c>
      <c r="BD57" s="14">
        <f>IF(AND(BD$5-$A57&gt;=0,BD$5-$A57&lt;=19),INDEX(HU_ord,BD$5-$A57+1)*$B57,0)</f>
        <v>0.0</v>
      </c>
      <c r="BE57" s="14">
        <f>IF(AND(BE$5-$A57&gt;=0,BE$5-$A57&lt;=19),INDEX(HU_ord,BE$5-$A57+1)*$B57,0)</f>
        <v>0.0</v>
      </c>
      <c r="BF57" s="14">
        <f>IF(AND(BF$5-$A57&gt;=0,BF$5-$A57&lt;=19),INDEX(HU_ord,BF$5-$A57+1)*$B57,0)</f>
        <v>0.0</v>
      </c>
      <c r="BG57" s="14">
        <f>IF(AND(BG$5-$A57&gt;=0,BG$5-$A57&lt;=19),INDEX(HU_ord,BG$5-$A57+1)*$B57,0)</f>
        <v>0.0</v>
      </c>
      <c r="BH57" s="14">
        <f>IF(AND(BH$5-$A57&gt;=0,BH$5-$A57&lt;=19),INDEX(HU_ord,BH$5-$A57+1)*$B57,0)</f>
        <v>0.0</v>
      </c>
      <c r="BI57" s="14">
        <f>IF(AND(BI$5-$A57&gt;=0,BI$5-$A57&lt;=19),INDEX(HU_ord,BI$5-$A57+1)*$B57,0)</f>
        <v>0.0</v>
      </c>
      <c r="BJ57" s="14">
        <f>IF(AND(BJ$5-$A57&gt;=0,BJ$5-$A57&lt;=19),INDEX(HU_ord,BJ$5-$A57+1)*$B57,0)</f>
        <v>0.0</v>
      </c>
      <c r="BK57" s="14">
        <f>IF(AND(BK$5-$A57&gt;=0,BK$5-$A57&lt;=19),INDEX(HU_ord,BK$5-$A57+1)*$B57,0)</f>
        <v>0.0</v>
      </c>
      <c r="BL57" s="14">
        <f>IF(AND(BL$5-$A57&gt;=0,BL$5-$A57&lt;=19),INDEX(HU_ord,BL$5-$A57+1)*$B57,0)</f>
        <v>0.0</v>
      </c>
      <c r="BM57" s="14">
        <f>IF(AND(BM$5-$A57&gt;=0,BM$5-$A57&lt;=19),INDEX(HU_ord,BM$5-$A57+1)*$B57,0)</f>
        <v>0.0</v>
      </c>
      <c r="BN57" s="14">
        <f>IF(AND(BN$5-$A57&gt;=0,BN$5-$A57&lt;=19),INDEX(HU_ord,BN$5-$A57+1)*$B57,0)</f>
        <v>0.0</v>
      </c>
      <c r="BO57" s="14">
        <f>IF(AND(BO$5-$A57&gt;=0,BO$5-$A57&lt;=19),INDEX(HU_ord,BO$5-$A57+1)*$B57,0)</f>
        <v>0.0</v>
      </c>
      <c r="BP57" s="14">
        <f>IF(AND(BP$5-$A57&gt;=0,BP$5-$A57&lt;=19),INDEX(HU_ord,BP$5-$A57+1)*$B57,0)</f>
        <v>0.0</v>
      </c>
      <c r="BQ57" s="14">
        <f>IF(AND(BQ$5-$A57&gt;=0,BQ$5-$A57&lt;=19),INDEX(HU_ord,BQ$5-$A57+1)*$B57,0)</f>
        <v>0.0</v>
      </c>
      <c r="BR57" s="14">
        <f>IF(AND(BR$5-$A57&gt;=0,BR$5-$A57&lt;=19),INDEX(HU_ord,BR$5-$A57+1)*$B57,0)</f>
        <v>0.0</v>
      </c>
      <c r="BS57" s="14">
        <f>IF(AND(BS$5-$A57&gt;=0,BS$5-$A57&lt;=19),INDEX(HU_ord,BS$5-$A57+1)*$B57,0)</f>
        <v>0.0</v>
      </c>
      <c r="BT57" s="14">
        <f>IF(AND(BT$5-$A57&gt;=0,BT$5-$A57&lt;=19),INDEX(HU_ord,BT$5-$A57+1)*$B57,0)</f>
        <v>0.0</v>
      </c>
      <c r="BU57" s="14">
        <f>IF(AND(BU$5-$A57&gt;=0,BU$5-$A57&lt;=19),INDEX(HU_ord,BU$5-$A57+1)*$B57,0)</f>
        <v>0.0</v>
      </c>
      <c r="BV57" s="14">
        <f>IF(AND(BV$5-$A57&gt;=0,BV$5-$A57&lt;=19),INDEX(HU_ord,BV$5-$A57+1)*$B57,0)</f>
        <v>0.0</v>
      </c>
      <c r="BW57" s="14">
        <f>IF(AND(BW$5-$A57&gt;=0,BW$5-$A57&lt;=19),INDEX(HU_ord,BW$5-$A57+1)*$B57,0)</f>
        <v>0.0</v>
      </c>
      <c r="BX57" s="14">
        <f>IF(AND(BX$5-$A57&gt;=0,BX$5-$A57&lt;=19),INDEX(HU_ord,BX$5-$A57+1)*$B57,0)</f>
        <v>0.0</v>
      </c>
      <c r="BY57" s="14">
        <f>IF(AND(BY$5-$A57&gt;=0,BY$5-$A57&lt;=19),INDEX(HU_ord,BY$5-$A57+1)*$B57,0)</f>
        <v>0.0</v>
      </c>
      <c r="BZ57" s="14">
        <f>IF(AND(BZ$5-$A57&gt;=0,BZ$5-$A57&lt;=19),INDEX(HU_ord,BZ$5-$A57+1)*$B57,0)</f>
        <v>0.0</v>
      </c>
      <c r="CA57" s="14">
        <f>IF(AND(CA$5-$A57&gt;=0,CA$5-$A57&lt;=19),INDEX(HU_ord,CA$5-$A57+1)*$B57,0)</f>
        <v>0.0</v>
      </c>
      <c r="CB57" s="14">
        <f>IF(AND(CB$5-$A57&gt;=0,CB$5-$A57&lt;=19),INDEX(HU_ord,CB$5-$A57+1)*$B57,0)</f>
        <v>0.0</v>
      </c>
      <c r="CC57" s="14">
        <f>IF(AND(CC$5-$A57&gt;=0,CC$5-$A57&lt;=19),INDEX(HU_ord,CC$5-$A57+1)*$B57,0)</f>
        <v>0.0</v>
      </c>
      <c r="CD57" s="14">
        <f>IF(AND(CD$5-$A57&gt;=0,CD$5-$A57&lt;=19),INDEX(HU_ord,CD$5-$A57+1)*$B57,0)</f>
        <v>0.0</v>
      </c>
      <c r="CE57" s="14">
        <f>IF(AND(CE$5-$A57&gt;=0,CE$5-$A57&lt;=19),INDEX(HU_ord,CE$5-$A57+1)*$B57,0)</f>
        <v>0.0</v>
      </c>
      <c r="CF57" s="14">
        <f>IF(AND(CF$5-$A57&gt;=0,CF$5-$A57&lt;=19),INDEX(HU_ord,CF$5-$A57+1)*$B57,0)</f>
        <v>0.0</v>
      </c>
      <c r="CG57" s="14">
        <f>IF(AND(CG$5-$A57&gt;=0,CG$5-$A57&lt;=19),INDEX(HU_ord,CG$5-$A57+1)*$B57,0)</f>
        <v>0.0</v>
      </c>
      <c r="CH57" s="14">
        <f>IF(AND(CH$5-$A57&gt;=0,CH$5-$A57&lt;=19),INDEX(HU_ord,CH$5-$A57+1)*$B57,0)</f>
        <v>0.0</v>
      </c>
      <c r="CI57" s="14">
        <f>IF(AND(CI$5-$A57&gt;=0,CI$5-$A57&lt;=19),INDEX(HU_ord,CI$5-$A57+1)*$B57,0)</f>
        <v>0.0</v>
      </c>
      <c r="CJ57" s="14">
        <f>IF(AND(CJ$5-$A57&gt;=0,CJ$5-$A57&lt;=19),INDEX(HU_ord,CJ$5-$A57+1)*$B57,0)</f>
        <v>0.0</v>
      </c>
      <c r="CK57" s="14">
        <f>IF(AND(CK$5-$A57&gt;=0,CK$5-$A57&lt;=19),INDEX(HU_ord,CK$5-$A57+1)*$B57,0)</f>
        <v>0.0</v>
      </c>
      <c r="CL57" s="14">
        <f>IF(AND(CL$5-$A57&gt;=0,CL$5-$A57&lt;=19),INDEX(HU_ord,CL$5-$A57+1)*$B57,0)</f>
        <v>0.0</v>
      </c>
      <c r="CM57" s="14">
        <f>IF(AND(CM$5-$A57&gt;=0,CM$5-$A57&lt;=19),INDEX(HU_ord,CM$5-$A57+1)*$B57,0)</f>
        <v>0.0</v>
      </c>
      <c r="CN57" s="14">
        <f>IF(AND(CN$5-$A57&gt;=0,CN$5-$A57&lt;=19),INDEX(HU_ord,CN$5-$A57+1)*$B57,0)</f>
        <v>0.0</v>
      </c>
      <c r="CO57" s="14">
        <f>IF(AND(CO$5-$A57&gt;=0,CO$5-$A57&lt;=19),INDEX(HU_ord,CO$5-$A57+1)*$B57,0)</f>
        <v>0.0</v>
      </c>
      <c r="CP57" s="14">
        <f>IF(AND(CP$5-$A57&gt;=0,CP$5-$A57&lt;=19),INDEX(HU_ord,CP$5-$A57+1)*$B57,0)</f>
        <v>0.0</v>
      </c>
      <c r="CQ57" s="14">
        <f>IF(AND(CQ$5-$A57&gt;=0,CQ$5-$A57&lt;=19),INDEX(HU_ord,CQ$5-$A57+1)*$B57,0)</f>
        <v>0.0</v>
      </c>
      <c r="CR57" s="14">
        <f>IF(AND(CR$5-$A57&gt;=0,CR$5-$A57&lt;=19),INDEX(HU_ord,CR$5-$A57+1)*$B57,0)</f>
        <v>0.0</v>
      </c>
      <c r="CS57" s="14">
        <f>IF(AND(CS$5-$A57&gt;=0,CS$5-$A57&lt;=19),INDEX(HU_ord,CS$5-$A57+1)*$B57,0)</f>
        <v>0.0</v>
      </c>
      <c r="CT57" s="14">
        <f>IF(AND(CT$5-$A57&gt;=0,CT$5-$A57&lt;=19),INDEX(HU_ord,CT$5-$A57+1)*$B57,0)</f>
        <v>0.0</v>
      </c>
      <c r="CU57" s="14">
        <f>IF(AND(CU$5-$A57&gt;=0,CU$5-$A57&lt;=19),INDEX(HU_ord,CU$5-$A57+1)*$B57,0)</f>
        <v>0.0</v>
      </c>
      <c r="CV57" s="14">
        <f>IF(AND(CV$5-$A57&gt;=0,CV$5-$A57&lt;=19),INDEX(HU_ord,CV$5-$A57+1)*$B57,0)</f>
        <v>0.0</v>
      </c>
      <c r="CW57" s="14">
        <f>IF(AND(CW$5-$A57&gt;=0,CW$5-$A57&lt;=19),INDEX(HU_ord,CW$5-$A57+1)*$B57,0)</f>
        <v>0.0</v>
      </c>
      <c r="CX57" s="14">
        <f>IF(AND(CX$5-$A57&gt;=0,CX$5-$A57&lt;=19),INDEX(HU_ord,CX$5-$A57+1)*$B57,0)</f>
        <v>0.0</v>
      </c>
      <c r="CY57" s="14">
        <f>IF(AND(CY$5-$A57&gt;=0,CY$5-$A57&lt;=19),INDEX(HU_ord,CY$5-$A57+1)*$B57,0)</f>
        <v>0.0</v>
      </c>
      <c r="CZ57" s="14">
        <f>IF(AND(CZ$5-$A57&gt;=0,CZ$5-$A57&lt;=19),INDEX(HU_ord,CZ$5-$A57+1)*$B57,0)</f>
        <v>0.0</v>
      </c>
      <c r="DA57" s="14">
        <f>IF(AND(DA$5-$A57&gt;=0,DA$5-$A57&lt;=19),INDEX(HU_ord,DA$5-$A57+1)*$B57,0)</f>
        <v>0.0</v>
      </c>
      <c r="DB57" s="14">
        <f>IF(AND(DB$5-$A57&gt;=0,DB$5-$A57&lt;=19),INDEX(HU_ord,DB$5-$A57+1)*$B57,0)</f>
        <v>0.0</v>
      </c>
      <c r="DC57" s="14">
        <f>IF(AND(DC$5-$A57&gt;=0,DC$5-$A57&lt;=19),INDEX(HU_ord,DC$5-$A57+1)*$B57,0)</f>
        <v>0.0</v>
      </c>
      <c r="DD57" s="14">
        <f>IF(AND(DD$5-$A57&gt;=0,DD$5-$A57&lt;=19),INDEX(HU_ord,DD$5-$A57+1)*$B57,0)</f>
        <v>0.0</v>
      </c>
      <c r="DE57" s="14">
        <f>IF(AND(DE$5-$A57&gt;=0,DE$5-$A57&lt;=19),INDEX(HU_ord,DE$5-$A57+1)*$B57,0)</f>
        <v>0.0</v>
      </c>
      <c r="DF57" s="14">
        <f>IF(AND(DF$5-$A57&gt;=0,DF$5-$A57&lt;=19),INDEX(HU_ord,DF$5-$A57+1)*$B57,0)</f>
        <v>0.0</v>
      </c>
      <c r="DG57" s="14">
        <f>IF(AND(DG$5-$A57&gt;=0,DG$5-$A57&lt;=19),INDEX(HU_ord,DG$5-$A57+1)*$B57,0)</f>
        <v>0.0</v>
      </c>
      <c r="DH57" s="14">
        <f>IF(AND(DH$5-$A57&gt;=0,DH$5-$A57&lt;=19),INDEX(HU_ord,DH$5-$A57+1)*$B57,0)</f>
        <v>0.0</v>
      </c>
      <c r="DI57" s="14">
        <f>IF(AND(DI$5-$A57&gt;=0,DI$5-$A57&lt;=19),INDEX(HU_ord,DI$5-$A57+1)*$B57,0)</f>
        <v>0.0</v>
      </c>
    </row>
    <row r="58" spans="1:113">
      <c r="A58">
        <v>52</v>
      </c>
      <c r="B58" s="10">
        <f>Serie_horaria!N54</f>
        <v>0.0</v>
      </c>
      <c r="C58" s="14">
        <f>IF(AND(C$5-$A58&gt;=0,C$5-$A58&lt;=19),INDEX(HU_ord,C$5-$A58+1)*$B58,0)</f>
        <v>0.0</v>
      </c>
      <c r="D58" s="14">
        <f>IF(AND(D$5-$A58&gt;=0,D$5-$A58&lt;=19),INDEX(HU_ord,D$5-$A58+1)*$B58,0)</f>
        <v>0.0</v>
      </c>
      <c r="E58" s="14">
        <f>IF(AND(E$5-$A58&gt;=0,E$5-$A58&lt;=19),INDEX(HU_ord,E$5-$A58+1)*$B58,0)</f>
        <v>0.0</v>
      </c>
      <c r="F58" s="14">
        <f>IF(AND(F$5-$A58&gt;=0,F$5-$A58&lt;=19),INDEX(HU_ord,F$5-$A58+1)*$B58,0)</f>
        <v>0.0</v>
      </c>
      <c r="G58" s="14">
        <f>IF(AND(G$5-$A58&gt;=0,G$5-$A58&lt;=19),INDEX(HU_ord,G$5-$A58+1)*$B58,0)</f>
        <v>0.0</v>
      </c>
      <c r="H58" s="14">
        <f>IF(AND(H$5-$A58&gt;=0,H$5-$A58&lt;=19),INDEX(HU_ord,H$5-$A58+1)*$B58,0)</f>
        <v>0.0</v>
      </c>
      <c r="I58" s="14">
        <f>IF(AND(I$5-$A58&gt;=0,I$5-$A58&lt;=19),INDEX(HU_ord,I$5-$A58+1)*$B58,0)</f>
        <v>0.0</v>
      </c>
      <c r="J58" s="14">
        <f>IF(AND(J$5-$A58&gt;=0,J$5-$A58&lt;=19),INDEX(HU_ord,J$5-$A58+1)*$B58,0)</f>
        <v>0.0</v>
      </c>
      <c r="K58" s="14">
        <f>IF(AND(K$5-$A58&gt;=0,K$5-$A58&lt;=19),INDEX(HU_ord,K$5-$A58+1)*$B58,0)</f>
        <v>0.0</v>
      </c>
      <c r="L58" s="14">
        <f>IF(AND(L$5-$A58&gt;=0,L$5-$A58&lt;=19),INDEX(HU_ord,L$5-$A58+1)*$B58,0)</f>
        <v>0.0</v>
      </c>
      <c r="M58" s="14">
        <f>IF(AND(M$5-$A58&gt;=0,M$5-$A58&lt;=19),INDEX(HU_ord,M$5-$A58+1)*$B58,0)</f>
        <v>0.0</v>
      </c>
      <c r="N58" s="14">
        <f>IF(AND(N$5-$A58&gt;=0,N$5-$A58&lt;=19),INDEX(HU_ord,N$5-$A58+1)*$B58,0)</f>
        <v>0.0</v>
      </c>
      <c r="O58" s="14">
        <f>IF(AND(O$5-$A58&gt;=0,O$5-$A58&lt;=19),INDEX(HU_ord,O$5-$A58+1)*$B58,0)</f>
        <v>0.0</v>
      </c>
      <c r="P58" s="14">
        <f>IF(AND(P$5-$A58&gt;=0,P$5-$A58&lt;=19),INDEX(HU_ord,P$5-$A58+1)*$B58,0)</f>
        <v>0.0</v>
      </c>
      <c r="Q58" s="14">
        <f>IF(AND(Q$5-$A58&gt;=0,Q$5-$A58&lt;=19),INDEX(HU_ord,Q$5-$A58+1)*$B58,0)</f>
        <v>0.0</v>
      </c>
      <c r="R58" s="14">
        <f>IF(AND(R$5-$A58&gt;=0,R$5-$A58&lt;=19),INDEX(HU_ord,R$5-$A58+1)*$B58,0)</f>
        <v>0.0</v>
      </c>
      <c r="S58" s="14">
        <f>IF(AND(S$5-$A58&gt;=0,S$5-$A58&lt;=19),INDEX(HU_ord,S$5-$A58+1)*$B58,0)</f>
        <v>0.0</v>
      </c>
      <c r="T58" s="14">
        <f>IF(AND(T$5-$A58&gt;=0,T$5-$A58&lt;=19),INDEX(HU_ord,T$5-$A58+1)*$B58,0)</f>
        <v>0.0</v>
      </c>
      <c r="U58" s="14">
        <f>IF(AND(U$5-$A58&gt;=0,U$5-$A58&lt;=19),INDEX(HU_ord,U$5-$A58+1)*$B58,0)</f>
        <v>0.0</v>
      </c>
      <c r="V58" s="14">
        <f>IF(AND(V$5-$A58&gt;=0,V$5-$A58&lt;=19),INDEX(HU_ord,V$5-$A58+1)*$B58,0)</f>
        <v>0.0</v>
      </c>
      <c r="W58" s="14">
        <f>IF(AND(W$5-$A58&gt;=0,W$5-$A58&lt;=19),INDEX(HU_ord,W$5-$A58+1)*$B58,0)</f>
        <v>0.0</v>
      </c>
      <c r="X58" s="14">
        <f>IF(AND(X$5-$A58&gt;=0,X$5-$A58&lt;=19),INDEX(HU_ord,X$5-$A58+1)*$B58,0)</f>
        <v>0.0</v>
      </c>
      <c r="Y58" s="14">
        <f>IF(AND(Y$5-$A58&gt;=0,Y$5-$A58&lt;=19),INDEX(HU_ord,Y$5-$A58+1)*$B58,0)</f>
        <v>0.0</v>
      </c>
      <c r="Z58" s="14">
        <f>IF(AND(Z$5-$A58&gt;=0,Z$5-$A58&lt;=19),INDEX(HU_ord,Z$5-$A58+1)*$B58,0)</f>
        <v>0.0</v>
      </c>
      <c r="AA58" s="14">
        <f>IF(AND(AA$5-$A58&gt;=0,AA$5-$A58&lt;=19),INDEX(HU_ord,AA$5-$A58+1)*$B58,0)</f>
        <v>0.0</v>
      </c>
      <c r="AB58" s="14">
        <f>IF(AND(AB$5-$A58&gt;=0,AB$5-$A58&lt;=19),INDEX(HU_ord,AB$5-$A58+1)*$B58,0)</f>
        <v>0.0</v>
      </c>
      <c r="AC58" s="14">
        <f>IF(AND(AC$5-$A58&gt;=0,AC$5-$A58&lt;=19),INDEX(HU_ord,AC$5-$A58+1)*$B58,0)</f>
        <v>0.0</v>
      </c>
      <c r="AD58" s="14">
        <f>IF(AND(AD$5-$A58&gt;=0,AD$5-$A58&lt;=19),INDEX(HU_ord,AD$5-$A58+1)*$B58,0)</f>
        <v>0.0</v>
      </c>
      <c r="AE58" s="14">
        <f>IF(AND(AE$5-$A58&gt;=0,AE$5-$A58&lt;=19),INDEX(HU_ord,AE$5-$A58+1)*$B58,0)</f>
        <v>0.0</v>
      </c>
      <c r="AF58" s="14">
        <f>IF(AND(AF$5-$A58&gt;=0,AF$5-$A58&lt;=19),INDEX(HU_ord,AF$5-$A58+1)*$B58,0)</f>
        <v>0.0</v>
      </c>
      <c r="AG58" s="14">
        <f>IF(AND(AG$5-$A58&gt;=0,AG$5-$A58&lt;=19),INDEX(HU_ord,AG$5-$A58+1)*$B58,0)</f>
        <v>0.0</v>
      </c>
      <c r="AH58" s="14">
        <f>IF(AND(AH$5-$A58&gt;=0,AH$5-$A58&lt;=19),INDEX(HU_ord,AH$5-$A58+1)*$B58,0)</f>
        <v>0.0</v>
      </c>
      <c r="AI58" s="14">
        <f>IF(AND(AI$5-$A58&gt;=0,AI$5-$A58&lt;=19),INDEX(HU_ord,AI$5-$A58+1)*$B58,0)</f>
        <v>0.0</v>
      </c>
      <c r="AJ58" s="14">
        <f>IF(AND(AJ$5-$A58&gt;=0,AJ$5-$A58&lt;=19),INDEX(HU_ord,AJ$5-$A58+1)*$B58,0)</f>
        <v>0.0</v>
      </c>
      <c r="AK58" s="14">
        <f>IF(AND(AK$5-$A58&gt;=0,AK$5-$A58&lt;=19),INDEX(HU_ord,AK$5-$A58+1)*$B58,0)</f>
        <v>0.0</v>
      </c>
      <c r="AL58" s="14">
        <f>IF(AND(AL$5-$A58&gt;=0,AL$5-$A58&lt;=19),INDEX(HU_ord,AL$5-$A58+1)*$B58,0)</f>
        <v>0.0</v>
      </c>
      <c r="AM58" s="14">
        <f>IF(AND(AM$5-$A58&gt;=0,AM$5-$A58&lt;=19),INDEX(HU_ord,AM$5-$A58+1)*$B58,0)</f>
        <v>0.0</v>
      </c>
      <c r="AN58" s="14">
        <f>IF(AND(AN$5-$A58&gt;=0,AN$5-$A58&lt;=19),INDEX(HU_ord,AN$5-$A58+1)*$B58,0)</f>
        <v>0.0</v>
      </c>
      <c r="AO58" s="14">
        <f>IF(AND(AO$5-$A58&gt;=0,AO$5-$A58&lt;=19),INDEX(HU_ord,AO$5-$A58+1)*$B58,0)</f>
        <v>0.0</v>
      </c>
      <c r="AP58" s="14">
        <f>IF(AND(AP$5-$A58&gt;=0,AP$5-$A58&lt;=19),INDEX(HU_ord,AP$5-$A58+1)*$B58,0)</f>
        <v>0.0</v>
      </c>
      <c r="AQ58" s="14">
        <f>IF(AND(AQ$5-$A58&gt;=0,AQ$5-$A58&lt;=19),INDEX(HU_ord,AQ$5-$A58+1)*$B58,0)</f>
        <v>0.0</v>
      </c>
      <c r="AR58" s="14">
        <f>IF(AND(AR$5-$A58&gt;=0,AR$5-$A58&lt;=19),INDEX(HU_ord,AR$5-$A58+1)*$B58,0)</f>
        <v>0.0</v>
      </c>
      <c r="AS58" s="14">
        <f>IF(AND(AS$5-$A58&gt;=0,AS$5-$A58&lt;=19),INDEX(HU_ord,AS$5-$A58+1)*$B58,0)</f>
        <v>0.0</v>
      </c>
      <c r="AT58" s="14">
        <f>IF(AND(AT$5-$A58&gt;=0,AT$5-$A58&lt;=19),INDEX(HU_ord,AT$5-$A58+1)*$B58,0)</f>
        <v>0.0</v>
      </c>
      <c r="AU58" s="14">
        <f>IF(AND(AU$5-$A58&gt;=0,AU$5-$A58&lt;=19),INDEX(HU_ord,AU$5-$A58+1)*$B58,0)</f>
        <v>0.0</v>
      </c>
      <c r="AV58" s="14">
        <f>IF(AND(AV$5-$A58&gt;=0,AV$5-$A58&lt;=19),INDEX(HU_ord,AV$5-$A58+1)*$B58,0)</f>
        <v>0.0</v>
      </c>
      <c r="AW58" s="14">
        <f>IF(AND(AW$5-$A58&gt;=0,AW$5-$A58&lt;=19),INDEX(HU_ord,AW$5-$A58+1)*$B58,0)</f>
        <v>0.0</v>
      </c>
      <c r="AX58" s="14">
        <f>IF(AND(AX$5-$A58&gt;=0,AX$5-$A58&lt;=19),INDEX(HU_ord,AX$5-$A58+1)*$B58,0)</f>
        <v>0.0</v>
      </c>
      <c r="AY58" s="14">
        <f>IF(AND(AY$5-$A58&gt;=0,AY$5-$A58&lt;=19),INDEX(HU_ord,AY$5-$A58+1)*$B58,0)</f>
        <v>0.0</v>
      </c>
      <c r="AZ58" s="14">
        <f>IF(AND(AZ$5-$A58&gt;=0,AZ$5-$A58&lt;=19),INDEX(HU_ord,AZ$5-$A58+1)*$B58,0)</f>
        <v>0.0</v>
      </c>
      <c r="BA58" s="14">
        <f>IF(AND(BA$5-$A58&gt;=0,BA$5-$A58&lt;=19),INDEX(HU_ord,BA$5-$A58+1)*$B58,0)</f>
        <v>0.0</v>
      </c>
      <c r="BB58" s="14">
        <f>IF(AND(BB$5-$A58&gt;=0,BB$5-$A58&lt;=19),INDEX(HU_ord,BB$5-$A58+1)*$B58,0)</f>
        <v>0.0</v>
      </c>
      <c r="BC58" s="14">
        <f>IF(AND(BC$5-$A58&gt;=0,BC$5-$A58&lt;=19),INDEX(HU_ord,BC$5-$A58+1)*$B58,0)</f>
        <v>0.0</v>
      </c>
      <c r="BD58" s="14">
        <f>IF(AND(BD$5-$A58&gt;=0,BD$5-$A58&lt;=19),INDEX(HU_ord,BD$5-$A58+1)*$B58,0)</f>
        <v>0.0</v>
      </c>
      <c r="BE58" s="14">
        <f>IF(AND(BE$5-$A58&gt;=0,BE$5-$A58&lt;=19),INDEX(HU_ord,BE$5-$A58+1)*$B58,0)</f>
        <v>0.0</v>
      </c>
      <c r="BF58" s="14">
        <f>IF(AND(BF$5-$A58&gt;=0,BF$5-$A58&lt;=19),INDEX(HU_ord,BF$5-$A58+1)*$B58,0)</f>
        <v>0.0</v>
      </c>
      <c r="BG58" s="14">
        <f>IF(AND(BG$5-$A58&gt;=0,BG$5-$A58&lt;=19),INDEX(HU_ord,BG$5-$A58+1)*$B58,0)</f>
        <v>0.0</v>
      </c>
      <c r="BH58" s="14">
        <f>IF(AND(BH$5-$A58&gt;=0,BH$5-$A58&lt;=19),INDEX(HU_ord,BH$5-$A58+1)*$B58,0)</f>
        <v>0.0</v>
      </c>
      <c r="BI58" s="14">
        <f>IF(AND(BI$5-$A58&gt;=0,BI$5-$A58&lt;=19),INDEX(HU_ord,BI$5-$A58+1)*$B58,0)</f>
        <v>0.0</v>
      </c>
      <c r="BJ58" s="14">
        <f>IF(AND(BJ$5-$A58&gt;=0,BJ$5-$A58&lt;=19),INDEX(HU_ord,BJ$5-$A58+1)*$B58,0)</f>
        <v>0.0</v>
      </c>
      <c r="BK58" s="14">
        <f>IF(AND(BK$5-$A58&gt;=0,BK$5-$A58&lt;=19),INDEX(HU_ord,BK$5-$A58+1)*$B58,0)</f>
        <v>0.0</v>
      </c>
      <c r="BL58" s="14">
        <f>IF(AND(BL$5-$A58&gt;=0,BL$5-$A58&lt;=19),INDEX(HU_ord,BL$5-$A58+1)*$B58,0)</f>
        <v>0.0</v>
      </c>
      <c r="BM58" s="14">
        <f>IF(AND(BM$5-$A58&gt;=0,BM$5-$A58&lt;=19),INDEX(HU_ord,BM$5-$A58+1)*$B58,0)</f>
        <v>0.0</v>
      </c>
      <c r="BN58" s="14">
        <f>IF(AND(BN$5-$A58&gt;=0,BN$5-$A58&lt;=19),INDEX(HU_ord,BN$5-$A58+1)*$B58,0)</f>
        <v>0.0</v>
      </c>
      <c r="BO58" s="14">
        <f>IF(AND(BO$5-$A58&gt;=0,BO$5-$A58&lt;=19),INDEX(HU_ord,BO$5-$A58+1)*$B58,0)</f>
        <v>0.0</v>
      </c>
      <c r="BP58" s="14">
        <f>IF(AND(BP$5-$A58&gt;=0,BP$5-$A58&lt;=19),INDEX(HU_ord,BP$5-$A58+1)*$B58,0)</f>
        <v>0.0</v>
      </c>
      <c r="BQ58" s="14">
        <f>IF(AND(BQ$5-$A58&gt;=0,BQ$5-$A58&lt;=19),INDEX(HU_ord,BQ$5-$A58+1)*$B58,0)</f>
        <v>0.0</v>
      </c>
      <c r="BR58" s="14">
        <f>IF(AND(BR$5-$A58&gt;=0,BR$5-$A58&lt;=19),INDEX(HU_ord,BR$5-$A58+1)*$B58,0)</f>
        <v>0.0</v>
      </c>
      <c r="BS58" s="14">
        <f>IF(AND(BS$5-$A58&gt;=0,BS$5-$A58&lt;=19),INDEX(HU_ord,BS$5-$A58+1)*$B58,0)</f>
        <v>0.0</v>
      </c>
      <c r="BT58" s="14">
        <f>IF(AND(BT$5-$A58&gt;=0,BT$5-$A58&lt;=19),INDEX(HU_ord,BT$5-$A58+1)*$B58,0)</f>
        <v>0.0</v>
      </c>
      <c r="BU58" s="14">
        <f>IF(AND(BU$5-$A58&gt;=0,BU$5-$A58&lt;=19),INDEX(HU_ord,BU$5-$A58+1)*$B58,0)</f>
        <v>0.0</v>
      </c>
      <c r="BV58" s="14">
        <f>IF(AND(BV$5-$A58&gt;=0,BV$5-$A58&lt;=19),INDEX(HU_ord,BV$5-$A58+1)*$B58,0)</f>
        <v>0.0</v>
      </c>
      <c r="BW58" s="14">
        <f>IF(AND(BW$5-$A58&gt;=0,BW$5-$A58&lt;=19),INDEX(HU_ord,BW$5-$A58+1)*$B58,0)</f>
        <v>0.0</v>
      </c>
      <c r="BX58" s="14">
        <f>IF(AND(BX$5-$A58&gt;=0,BX$5-$A58&lt;=19),INDEX(HU_ord,BX$5-$A58+1)*$B58,0)</f>
        <v>0.0</v>
      </c>
      <c r="BY58" s="14">
        <f>IF(AND(BY$5-$A58&gt;=0,BY$5-$A58&lt;=19),INDEX(HU_ord,BY$5-$A58+1)*$B58,0)</f>
        <v>0.0</v>
      </c>
      <c r="BZ58" s="14">
        <f>IF(AND(BZ$5-$A58&gt;=0,BZ$5-$A58&lt;=19),INDEX(HU_ord,BZ$5-$A58+1)*$B58,0)</f>
        <v>0.0</v>
      </c>
      <c r="CA58" s="14">
        <f>IF(AND(CA$5-$A58&gt;=0,CA$5-$A58&lt;=19),INDEX(HU_ord,CA$5-$A58+1)*$B58,0)</f>
        <v>0.0</v>
      </c>
      <c r="CB58" s="14">
        <f>IF(AND(CB$5-$A58&gt;=0,CB$5-$A58&lt;=19),INDEX(HU_ord,CB$5-$A58+1)*$B58,0)</f>
        <v>0.0</v>
      </c>
      <c r="CC58" s="14">
        <f>IF(AND(CC$5-$A58&gt;=0,CC$5-$A58&lt;=19),INDEX(HU_ord,CC$5-$A58+1)*$B58,0)</f>
        <v>0.0</v>
      </c>
      <c r="CD58" s="14">
        <f>IF(AND(CD$5-$A58&gt;=0,CD$5-$A58&lt;=19),INDEX(HU_ord,CD$5-$A58+1)*$B58,0)</f>
        <v>0.0</v>
      </c>
      <c r="CE58" s="14">
        <f>IF(AND(CE$5-$A58&gt;=0,CE$5-$A58&lt;=19),INDEX(HU_ord,CE$5-$A58+1)*$B58,0)</f>
        <v>0.0</v>
      </c>
      <c r="CF58" s="14">
        <f>IF(AND(CF$5-$A58&gt;=0,CF$5-$A58&lt;=19),INDEX(HU_ord,CF$5-$A58+1)*$B58,0)</f>
        <v>0.0</v>
      </c>
      <c r="CG58" s="14">
        <f>IF(AND(CG$5-$A58&gt;=0,CG$5-$A58&lt;=19),INDEX(HU_ord,CG$5-$A58+1)*$B58,0)</f>
        <v>0.0</v>
      </c>
      <c r="CH58" s="14">
        <f>IF(AND(CH$5-$A58&gt;=0,CH$5-$A58&lt;=19),INDEX(HU_ord,CH$5-$A58+1)*$B58,0)</f>
        <v>0.0</v>
      </c>
      <c r="CI58" s="14">
        <f>IF(AND(CI$5-$A58&gt;=0,CI$5-$A58&lt;=19),INDEX(HU_ord,CI$5-$A58+1)*$B58,0)</f>
        <v>0.0</v>
      </c>
      <c r="CJ58" s="14">
        <f>IF(AND(CJ$5-$A58&gt;=0,CJ$5-$A58&lt;=19),INDEX(HU_ord,CJ$5-$A58+1)*$B58,0)</f>
        <v>0.0</v>
      </c>
      <c r="CK58" s="14">
        <f>IF(AND(CK$5-$A58&gt;=0,CK$5-$A58&lt;=19),INDEX(HU_ord,CK$5-$A58+1)*$B58,0)</f>
        <v>0.0</v>
      </c>
      <c r="CL58" s="14">
        <f>IF(AND(CL$5-$A58&gt;=0,CL$5-$A58&lt;=19),INDEX(HU_ord,CL$5-$A58+1)*$B58,0)</f>
        <v>0.0</v>
      </c>
      <c r="CM58" s="14">
        <f>IF(AND(CM$5-$A58&gt;=0,CM$5-$A58&lt;=19),INDEX(HU_ord,CM$5-$A58+1)*$B58,0)</f>
        <v>0.0</v>
      </c>
      <c r="CN58" s="14">
        <f>IF(AND(CN$5-$A58&gt;=0,CN$5-$A58&lt;=19),INDEX(HU_ord,CN$5-$A58+1)*$B58,0)</f>
        <v>0.0</v>
      </c>
      <c r="CO58" s="14">
        <f>IF(AND(CO$5-$A58&gt;=0,CO$5-$A58&lt;=19),INDEX(HU_ord,CO$5-$A58+1)*$B58,0)</f>
        <v>0.0</v>
      </c>
      <c r="CP58" s="14">
        <f>IF(AND(CP$5-$A58&gt;=0,CP$5-$A58&lt;=19),INDEX(HU_ord,CP$5-$A58+1)*$B58,0)</f>
        <v>0.0</v>
      </c>
      <c r="CQ58" s="14">
        <f>IF(AND(CQ$5-$A58&gt;=0,CQ$5-$A58&lt;=19),INDEX(HU_ord,CQ$5-$A58+1)*$B58,0)</f>
        <v>0.0</v>
      </c>
      <c r="CR58" s="14">
        <f>IF(AND(CR$5-$A58&gt;=0,CR$5-$A58&lt;=19),INDEX(HU_ord,CR$5-$A58+1)*$B58,0)</f>
        <v>0.0</v>
      </c>
      <c r="CS58" s="14">
        <f>IF(AND(CS$5-$A58&gt;=0,CS$5-$A58&lt;=19),INDEX(HU_ord,CS$5-$A58+1)*$B58,0)</f>
        <v>0.0</v>
      </c>
      <c r="CT58" s="14">
        <f>IF(AND(CT$5-$A58&gt;=0,CT$5-$A58&lt;=19),INDEX(HU_ord,CT$5-$A58+1)*$B58,0)</f>
        <v>0.0</v>
      </c>
      <c r="CU58" s="14">
        <f>IF(AND(CU$5-$A58&gt;=0,CU$5-$A58&lt;=19),INDEX(HU_ord,CU$5-$A58+1)*$B58,0)</f>
        <v>0.0</v>
      </c>
      <c r="CV58" s="14">
        <f>IF(AND(CV$5-$A58&gt;=0,CV$5-$A58&lt;=19),INDEX(HU_ord,CV$5-$A58+1)*$B58,0)</f>
        <v>0.0</v>
      </c>
      <c r="CW58" s="14">
        <f>IF(AND(CW$5-$A58&gt;=0,CW$5-$A58&lt;=19),INDEX(HU_ord,CW$5-$A58+1)*$B58,0)</f>
        <v>0.0</v>
      </c>
      <c r="CX58" s="14">
        <f>IF(AND(CX$5-$A58&gt;=0,CX$5-$A58&lt;=19),INDEX(HU_ord,CX$5-$A58+1)*$B58,0)</f>
        <v>0.0</v>
      </c>
      <c r="CY58" s="14">
        <f>IF(AND(CY$5-$A58&gt;=0,CY$5-$A58&lt;=19),INDEX(HU_ord,CY$5-$A58+1)*$B58,0)</f>
        <v>0.0</v>
      </c>
      <c r="CZ58" s="14">
        <f>IF(AND(CZ$5-$A58&gt;=0,CZ$5-$A58&lt;=19),INDEX(HU_ord,CZ$5-$A58+1)*$B58,0)</f>
        <v>0.0</v>
      </c>
      <c r="DA58" s="14">
        <f>IF(AND(DA$5-$A58&gt;=0,DA$5-$A58&lt;=19),INDEX(HU_ord,DA$5-$A58+1)*$B58,0)</f>
        <v>0.0</v>
      </c>
      <c r="DB58" s="14">
        <f>IF(AND(DB$5-$A58&gt;=0,DB$5-$A58&lt;=19),INDEX(HU_ord,DB$5-$A58+1)*$B58,0)</f>
        <v>0.0</v>
      </c>
      <c r="DC58" s="14">
        <f>IF(AND(DC$5-$A58&gt;=0,DC$5-$A58&lt;=19),INDEX(HU_ord,DC$5-$A58+1)*$B58,0)</f>
        <v>0.0</v>
      </c>
      <c r="DD58" s="14">
        <f>IF(AND(DD$5-$A58&gt;=0,DD$5-$A58&lt;=19),INDEX(HU_ord,DD$5-$A58+1)*$B58,0)</f>
        <v>0.0</v>
      </c>
      <c r="DE58" s="14">
        <f>IF(AND(DE$5-$A58&gt;=0,DE$5-$A58&lt;=19),INDEX(HU_ord,DE$5-$A58+1)*$B58,0)</f>
        <v>0.0</v>
      </c>
      <c r="DF58" s="14">
        <f>IF(AND(DF$5-$A58&gt;=0,DF$5-$A58&lt;=19),INDEX(HU_ord,DF$5-$A58+1)*$B58,0)</f>
        <v>0.0</v>
      </c>
      <c r="DG58" s="14">
        <f>IF(AND(DG$5-$A58&gt;=0,DG$5-$A58&lt;=19),INDEX(HU_ord,DG$5-$A58+1)*$B58,0)</f>
        <v>0.0</v>
      </c>
      <c r="DH58" s="14">
        <f>IF(AND(DH$5-$A58&gt;=0,DH$5-$A58&lt;=19),INDEX(HU_ord,DH$5-$A58+1)*$B58,0)</f>
        <v>0.0</v>
      </c>
      <c r="DI58" s="14">
        <f>IF(AND(DI$5-$A58&gt;=0,DI$5-$A58&lt;=19),INDEX(HU_ord,DI$5-$A58+1)*$B58,0)</f>
        <v>0.0</v>
      </c>
    </row>
    <row r="59" spans="1:113">
      <c r="A59">
        <v>53</v>
      </c>
      <c r="B59" s="10">
        <f>Serie_horaria!N55</f>
        <v>0.0</v>
      </c>
      <c r="C59" s="14">
        <f>IF(AND(C$5-$A59&gt;=0,C$5-$A59&lt;=19),INDEX(HU_ord,C$5-$A59+1)*$B59,0)</f>
        <v>0.0</v>
      </c>
      <c r="D59" s="14">
        <f>IF(AND(D$5-$A59&gt;=0,D$5-$A59&lt;=19),INDEX(HU_ord,D$5-$A59+1)*$B59,0)</f>
        <v>0.0</v>
      </c>
      <c r="E59" s="14">
        <f>IF(AND(E$5-$A59&gt;=0,E$5-$A59&lt;=19),INDEX(HU_ord,E$5-$A59+1)*$B59,0)</f>
        <v>0.0</v>
      </c>
      <c r="F59" s="14">
        <f>IF(AND(F$5-$A59&gt;=0,F$5-$A59&lt;=19),INDEX(HU_ord,F$5-$A59+1)*$B59,0)</f>
        <v>0.0</v>
      </c>
      <c r="G59" s="14">
        <f>IF(AND(G$5-$A59&gt;=0,G$5-$A59&lt;=19),INDEX(HU_ord,G$5-$A59+1)*$B59,0)</f>
        <v>0.0</v>
      </c>
      <c r="H59" s="14">
        <f>IF(AND(H$5-$A59&gt;=0,H$5-$A59&lt;=19),INDEX(HU_ord,H$5-$A59+1)*$B59,0)</f>
        <v>0.0</v>
      </c>
      <c r="I59" s="14">
        <f>IF(AND(I$5-$A59&gt;=0,I$5-$A59&lt;=19),INDEX(HU_ord,I$5-$A59+1)*$B59,0)</f>
        <v>0.0</v>
      </c>
      <c r="J59" s="14">
        <f>IF(AND(J$5-$A59&gt;=0,J$5-$A59&lt;=19),INDEX(HU_ord,J$5-$A59+1)*$B59,0)</f>
        <v>0.0</v>
      </c>
      <c r="K59" s="14">
        <f>IF(AND(K$5-$A59&gt;=0,K$5-$A59&lt;=19),INDEX(HU_ord,K$5-$A59+1)*$B59,0)</f>
        <v>0.0</v>
      </c>
      <c r="L59" s="14">
        <f>IF(AND(L$5-$A59&gt;=0,L$5-$A59&lt;=19),INDEX(HU_ord,L$5-$A59+1)*$B59,0)</f>
        <v>0.0</v>
      </c>
      <c r="M59" s="14">
        <f>IF(AND(M$5-$A59&gt;=0,M$5-$A59&lt;=19),INDEX(HU_ord,M$5-$A59+1)*$B59,0)</f>
        <v>0.0</v>
      </c>
      <c r="N59" s="14">
        <f>IF(AND(N$5-$A59&gt;=0,N$5-$A59&lt;=19),INDEX(HU_ord,N$5-$A59+1)*$B59,0)</f>
        <v>0.0</v>
      </c>
      <c r="O59" s="14">
        <f>IF(AND(O$5-$A59&gt;=0,O$5-$A59&lt;=19),INDEX(HU_ord,O$5-$A59+1)*$B59,0)</f>
        <v>0.0</v>
      </c>
      <c r="P59" s="14">
        <f>IF(AND(P$5-$A59&gt;=0,P$5-$A59&lt;=19),INDEX(HU_ord,P$5-$A59+1)*$B59,0)</f>
        <v>0.0</v>
      </c>
      <c r="Q59" s="14">
        <f>IF(AND(Q$5-$A59&gt;=0,Q$5-$A59&lt;=19),INDEX(HU_ord,Q$5-$A59+1)*$B59,0)</f>
        <v>0.0</v>
      </c>
      <c r="R59" s="14">
        <f>IF(AND(R$5-$A59&gt;=0,R$5-$A59&lt;=19),INDEX(HU_ord,R$5-$A59+1)*$B59,0)</f>
        <v>0.0</v>
      </c>
      <c r="S59" s="14">
        <f>IF(AND(S$5-$A59&gt;=0,S$5-$A59&lt;=19),INDEX(HU_ord,S$5-$A59+1)*$B59,0)</f>
        <v>0.0</v>
      </c>
      <c r="T59" s="14">
        <f>IF(AND(T$5-$A59&gt;=0,T$5-$A59&lt;=19),INDEX(HU_ord,T$5-$A59+1)*$B59,0)</f>
        <v>0.0</v>
      </c>
      <c r="U59" s="14">
        <f>IF(AND(U$5-$A59&gt;=0,U$5-$A59&lt;=19),INDEX(HU_ord,U$5-$A59+1)*$B59,0)</f>
        <v>0.0</v>
      </c>
      <c r="V59" s="14">
        <f>IF(AND(V$5-$A59&gt;=0,V$5-$A59&lt;=19),INDEX(HU_ord,V$5-$A59+1)*$B59,0)</f>
        <v>0.0</v>
      </c>
      <c r="W59" s="14">
        <f>IF(AND(W$5-$A59&gt;=0,W$5-$A59&lt;=19),INDEX(HU_ord,W$5-$A59+1)*$B59,0)</f>
        <v>0.0</v>
      </c>
      <c r="X59" s="14">
        <f>IF(AND(X$5-$A59&gt;=0,X$5-$A59&lt;=19),INDEX(HU_ord,X$5-$A59+1)*$B59,0)</f>
        <v>0.0</v>
      </c>
      <c r="Y59" s="14">
        <f>IF(AND(Y$5-$A59&gt;=0,Y$5-$A59&lt;=19),INDEX(HU_ord,Y$5-$A59+1)*$B59,0)</f>
        <v>0.0</v>
      </c>
      <c r="Z59" s="14">
        <f>IF(AND(Z$5-$A59&gt;=0,Z$5-$A59&lt;=19),INDEX(HU_ord,Z$5-$A59+1)*$B59,0)</f>
        <v>0.0</v>
      </c>
      <c r="AA59" s="14">
        <f>IF(AND(AA$5-$A59&gt;=0,AA$5-$A59&lt;=19),INDEX(HU_ord,AA$5-$A59+1)*$B59,0)</f>
        <v>0.0</v>
      </c>
      <c r="AB59" s="14">
        <f>IF(AND(AB$5-$A59&gt;=0,AB$5-$A59&lt;=19),INDEX(HU_ord,AB$5-$A59+1)*$B59,0)</f>
        <v>0.0</v>
      </c>
      <c r="AC59" s="14">
        <f>IF(AND(AC$5-$A59&gt;=0,AC$5-$A59&lt;=19),INDEX(HU_ord,AC$5-$A59+1)*$B59,0)</f>
        <v>0.0</v>
      </c>
      <c r="AD59" s="14">
        <f>IF(AND(AD$5-$A59&gt;=0,AD$5-$A59&lt;=19),INDEX(HU_ord,AD$5-$A59+1)*$B59,0)</f>
        <v>0.0</v>
      </c>
      <c r="AE59" s="14">
        <f>IF(AND(AE$5-$A59&gt;=0,AE$5-$A59&lt;=19),INDEX(HU_ord,AE$5-$A59+1)*$B59,0)</f>
        <v>0.0</v>
      </c>
      <c r="AF59" s="14">
        <f>IF(AND(AF$5-$A59&gt;=0,AF$5-$A59&lt;=19),INDEX(HU_ord,AF$5-$A59+1)*$B59,0)</f>
        <v>0.0</v>
      </c>
      <c r="AG59" s="14">
        <f>IF(AND(AG$5-$A59&gt;=0,AG$5-$A59&lt;=19),INDEX(HU_ord,AG$5-$A59+1)*$B59,0)</f>
        <v>0.0</v>
      </c>
      <c r="AH59" s="14">
        <f>IF(AND(AH$5-$A59&gt;=0,AH$5-$A59&lt;=19),INDEX(HU_ord,AH$5-$A59+1)*$B59,0)</f>
        <v>0.0</v>
      </c>
      <c r="AI59" s="14">
        <f>IF(AND(AI$5-$A59&gt;=0,AI$5-$A59&lt;=19),INDEX(HU_ord,AI$5-$A59+1)*$B59,0)</f>
        <v>0.0</v>
      </c>
      <c r="AJ59" s="14">
        <f>IF(AND(AJ$5-$A59&gt;=0,AJ$5-$A59&lt;=19),INDEX(HU_ord,AJ$5-$A59+1)*$B59,0)</f>
        <v>0.0</v>
      </c>
      <c r="AK59" s="14">
        <f>IF(AND(AK$5-$A59&gt;=0,AK$5-$A59&lt;=19),INDEX(HU_ord,AK$5-$A59+1)*$B59,0)</f>
        <v>0.0</v>
      </c>
      <c r="AL59" s="14">
        <f>IF(AND(AL$5-$A59&gt;=0,AL$5-$A59&lt;=19),INDEX(HU_ord,AL$5-$A59+1)*$B59,0)</f>
        <v>0.0</v>
      </c>
      <c r="AM59" s="14">
        <f>IF(AND(AM$5-$A59&gt;=0,AM$5-$A59&lt;=19),INDEX(HU_ord,AM$5-$A59+1)*$B59,0)</f>
        <v>0.0</v>
      </c>
      <c r="AN59" s="14">
        <f>IF(AND(AN$5-$A59&gt;=0,AN$5-$A59&lt;=19),INDEX(HU_ord,AN$5-$A59+1)*$B59,0)</f>
        <v>0.0</v>
      </c>
      <c r="AO59" s="14">
        <f>IF(AND(AO$5-$A59&gt;=0,AO$5-$A59&lt;=19),INDEX(HU_ord,AO$5-$A59+1)*$B59,0)</f>
        <v>0.0</v>
      </c>
      <c r="AP59" s="14">
        <f>IF(AND(AP$5-$A59&gt;=0,AP$5-$A59&lt;=19),INDEX(HU_ord,AP$5-$A59+1)*$B59,0)</f>
        <v>0.0</v>
      </c>
      <c r="AQ59" s="14">
        <f>IF(AND(AQ$5-$A59&gt;=0,AQ$5-$A59&lt;=19),INDEX(HU_ord,AQ$5-$A59+1)*$B59,0)</f>
        <v>0.0</v>
      </c>
      <c r="AR59" s="14">
        <f>IF(AND(AR$5-$A59&gt;=0,AR$5-$A59&lt;=19),INDEX(HU_ord,AR$5-$A59+1)*$B59,0)</f>
        <v>0.0</v>
      </c>
      <c r="AS59" s="14">
        <f>IF(AND(AS$5-$A59&gt;=0,AS$5-$A59&lt;=19),INDEX(HU_ord,AS$5-$A59+1)*$B59,0)</f>
        <v>0.0</v>
      </c>
      <c r="AT59" s="14">
        <f>IF(AND(AT$5-$A59&gt;=0,AT$5-$A59&lt;=19),INDEX(HU_ord,AT$5-$A59+1)*$B59,0)</f>
        <v>0.0</v>
      </c>
      <c r="AU59" s="14">
        <f>IF(AND(AU$5-$A59&gt;=0,AU$5-$A59&lt;=19),INDEX(HU_ord,AU$5-$A59+1)*$B59,0)</f>
        <v>0.0</v>
      </c>
      <c r="AV59" s="14">
        <f>IF(AND(AV$5-$A59&gt;=0,AV$5-$A59&lt;=19),INDEX(HU_ord,AV$5-$A59+1)*$B59,0)</f>
        <v>0.0</v>
      </c>
      <c r="AW59" s="14">
        <f>IF(AND(AW$5-$A59&gt;=0,AW$5-$A59&lt;=19),INDEX(HU_ord,AW$5-$A59+1)*$B59,0)</f>
        <v>0.0</v>
      </c>
      <c r="AX59" s="14">
        <f>IF(AND(AX$5-$A59&gt;=0,AX$5-$A59&lt;=19),INDEX(HU_ord,AX$5-$A59+1)*$B59,0)</f>
        <v>0.0</v>
      </c>
      <c r="AY59" s="14">
        <f>IF(AND(AY$5-$A59&gt;=0,AY$5-$A59&lt;=19),INDEX(HU_ord,AY$5-$A59+1)*$B59,0)</f>
        <v>0.0</v>
      </c>
      <c r="AZ59" s="14">
        <f>IF(AND(AZ$5-$A59&gt;=0,AZ$5-$A59&lt;=19),INDEX(HU_ord,AZ$5-$A59+1)*$B59,0)</f>
        <v>0.0</v>
      </c>
      <c r="BA59" s="14">
        <f>IF(AND(BA$5-$A59&gt;=0,BA$5-$A59&lt;=19),INDEX(HU_ord,BA$5-$A59+1)*$B59,0)</f>
        <v>0.0</v>
      </c>
      <c r="BB59" s="14">
        <f>IF(AND(BB$5-$A59&gt;=0,BB$5-$A59&lt;=19),INDEX(HU_ord,BB$5-$A59+1)*$B59,0)</f>
        <v>0.0</v>
      </c>
      <c r="BC59" s="14">
        <f>IF(AND(BC$5-$A59&gt;=0,BC$5-$A59&lt;=19),INDEX(HU_ord,BC$5-$A59+1)*$B59,0)</f>
        <v>0.0</v>
      </c>
      <c r="BD59" s="14">
        <f>IF(AND(BD$5-$A59&gt;=0,BD$5-$A59&lt;=19),INDEX(HU_ord,BD$5-$A59+1)*$B59,0)</f>
        <v>0.0</v>
      </c>
      <c r="BE59" s="14">
        <f>IF(AND(BE$5-$A59&gt;=0,BE$5-$A59&lt;=19),INDEX(HU_ord,BE$5-$A59+1)*$B59,0)</f>
        <v>0.0</v>
      </c>
      <c r="BF59" s="14">
        <f>IF(AND(BF$5-$A59&gt;=0,BF$5-$A59&lt;=19),INDEX(HU_ord,BF$5-$A59+1)*$B59,0)</f>
        <v>0.0</v>
      </c>
      <c r="BG59" s="14">
        <f>IF(AND(BG$5-$A59&gt;=0,BG$5-$A59&lt;=19),INDEX(HU_ord,BG$5-$A59+1)*$B59,0)</f>
        <v>0.0</v>
      </c>
      <c r="BH59" s="14">
        <f>IF(AND(BH$5-$A59&gt;=0,BH$5-$A59&lt;=19),INDEX(HU_ord,BH$5-$A59+1)*$B59,0)</f>
        <v>0.0</v>
      </c>
      <c r="BI59" s="14">
        <f>IF(AND(BI$5-$A59&gt;=0,BI$5-$A59&lt;=19),INDEX(HU_ord,BI$5-$A59+1)*$B59,0)</f>
        <v>0.0</v>
      </c>
      <c r="BJ59" s="14">
        <f>IF(AND(BJ$5-$A59&gt;=0,BJ$5-$A59&lt;=19),INDEX(HU_ord,BJ$5-$A59+1)*$B59,0)</f>
        <v>0.0</v>
      </c>
      <c r="BK59" s="14">
        <f>IF(AND(BK$5-$A59&gt;=0,BK$5-$A59&lt;=19),INDEX(HU_ord,BK$5-$A59+1)*$B59,0)</f>
        <v>0.0</v>
      </c>
      <c r="BL59" s="14">
        <f>IF(AND(BL$5-$A59&gt;=0,BL$5-$A59&lt;=19),INDEX(HU_ord,BL$5-$A59+1)*$B59,0)</f>
        <v>0.0</v>
      </c>
      <c r="BM59" s="14">
        <f>IF(AND(BM$5-$A59&gt;=0,BM$5-$A59&lt;=19),INDEX(HU_ord,BM$5-$A59+1)*$B59,0)</f>
        <v>0.0</v>
      </c>
      <c r="BN59" s="14">
        <f>IF(AND(BN$5-$A59&gt;=0,BN$5-$A59&lt;=19),INDEX(HU_ord,BN$5-$A59+1)*$B59,0)</f>
        <v>0.0</v>
      </c>
      <c r="BO59" s="14">
        <f>IF(AND(BO$5-$A59&gt;=0,BO$5-$A59&lt;=19),INDEX(HU_ord,BO$5-$A59+1)*$B59,0)</f>
        <v>0.0</v>
      </c>
      <c r="BP59" s="14">
        <f>IF(AND(BP$5-$A59&gt;=0,BP$5-$A59&lt;=19),INDEX(HU_ord,BP$5-$A59+1)*$B59,0)</f>
        <v>0.0</v>
      </c>
      <c r="BQ59" s="14">
        <f>IF(AND(BQ$5-$A59&gt;=0,BQ$5-$A59&lt;=19),INDEX(HU_ord,BQ$5-$A59+1)*$B59,0)</f>
        <v>0.0</v>
      </c>
      <c r="BR59" s="14">
        <f>IF(AND(BR$5-$A59&gt;=0,BR$5-$A59&lt;=19),INDEX(HU_ord,BR$5-$A59+1)*$B59,0)</f>
        <v>0.0</v>
      </c>
      <c r="BS59" s="14">
        <f>IF(AND(BS$5-$A59&gt;=0,BS$5-$A59&lt;=19),INDEX(HU_ord,BS$5-$A59+1)*$B59,0)</f>
        <v>0.0</v>
      </c>
      <c r="BT59" s="14">
        <f>IF(AND(BT$5-$A59&gt;=0,BT$5-$A59&lt;=19),INDEX(HU_ord,BT$5-$A59+1)*$B59,0)</f>
        <v>0.0</v>
      </c>
      <c r="BU59" s="14">
        <f>IF(AND(BU$5-$A59&gt;=0,BU$5-$A59&lt;=19),INDEX(HU_ord,BU$5-$A59+1)*$B59,0)</f>
        <v>0.0</v>
      </c>
      <c r="BV59" s="14">
        <f>IF(AND(BV$5-$A59&gt;=0,BV$5-$A59&lt;=19),INDEX(HU_ord,BV$5-$A59+1)*$B59,0)</f>
        <v>0.0</v>
      </c>
      <c r="BW59" s="14">
        <f>IF(AND(BW$5-$A59&gt;=0,BW$5-$A59&lt;=19),INDEX(HU_ord,BW$5-$A59+1)*$B59,0)</f>
        <v>0.0</v>
      </c>
      <c r="BX59" s="14">
        <f>IF(AND(BX$5-$A59&gt;=0,BX$5-$A59&lt;=19),INDEX(HU_ord,BX$5-$A59+1)*$B59,0)</f>
        <v>0.0</v>
      </c>
      <c r="BY59" s="14">
        <f>IF(AND(BY$5-$A59&gt;=0,BY$5-$A59&lt;=19),INDEX(HU_ord,BY$5-$A59+1)*$B59,0)</f>
        <v>0.0</v>
      </c>
      <c r="BZ59" s="14">
        <f>IF(AND(BZ$5-$A59&gt;=0,BZ$5-$A59&lt;=19),INDEX(HU_ord,BZ$5-$A59+1)*$B59,0)</f>
        <v>0.0</v>
      </c>
      <c r="CA59" s="14">
        <f>IF(AND(CA$5-$A59&gt;=0,CA$5-$A59&lt;=19),INDEX(HU_ord,CA$5-$A59+1)*$B59,0)</f>
        <v>0.0</v>
      </c>
      <c r="CB59" s="14">
        <f>IF(AND(CB$5-$A59&gt;=0,CB$5-$A59&lt;=19),INDEX(HU_ord,CB$5-$A59+1)*$B59,0)</f>
        <v>0.0</v>
      </c>
      <c r="CC59" s="14">
        <f>IF(AND(CC$5-$A59&gt;=0,CC$5-$A59&lt;=19),INDEX(HU_ord,CC$5-$A59+1)*$B59,0)</f>
        <v>0.0</v>
      </c>
      <c r="CD59" s="14">
        <f>IF(AND(CD$5-$A59&gt;=0,CD$5-$A59&lt;=19),INDEX(HU_ord,CD$5-$A59+1)*$B59,0)</f>
        <v>0.0</v>
      </c>
      <c r="CE59" s="14">
        <f>IF(AND(CE$5-$A59&gt;=0,CE$5-$A59&lt;=19),INDEX(HU_ord,CE$5-$A59+1)*$B59,0)</f>
        <v>0.0</v>
      </c>
      <c r="CF59" s="14">
        <f>IF(AND(CF$5-$A59&gt;=0,CF$5-$A59&lt;=19),INDEX(HU_ord,CF$5-$A59+1)*$B59,0)</f>
        <v>0.0</v>
      </c>
      <c r="CG59" s="14">
        <f>IF(AND(CG$5-$A59&gt;=0,CG$5-$A59&lt;=19),INDEX(HU_ord,CG$5-$A59+1)*$B59,0)</f>
        <v>0.0</v>
      </c>
      <c r="CH59" s="14">
        <f>IF(AND(CH$5-$A59&gt;=0,CH$5-$A59&lt;=19),INDEX(HU_ord,CH$5-$A59+1)*$B59,0)</f>
        <v>0.0</v>
      </c>
      <c r="CI59" s="14">
        <f>IF(AND(CI$5-$A59&gt;=0,CI$5-$A59&lt;=19),INDEX(HU_ord,CI$5-$A59+1)*$B59,0)</f>
        <v>0.0</v>
      </c>
      <c r="CJ59" s="14">
        <f>IF(AND(CJ$5-$A59&gt;=0,CJ$5-$A59&lt;=19),INDEX(HU_ord,CJ$5-$A59+1)*$B59,0)</f>
        <v>0.0</v>
      </c>
      <c r="CK59" s="14">
        <f>IF(AND(CK$5-$A59&gt;=0,CK$5-$A59&lt;=19),INDEX(HU_ord,CK$5-$A59+1)*$B59,0)</f>
        <v>0.0</v>
      </c>
      <c r="CL59" s="14">
        <f>IF(AND(CL$5-$A59&gt;=0,CL$5-$A59&lt;=19),INDEX(HU_ord,CL$5-$A59+1)*$B59,0)</f>
        <v>0.0</v>
      </c>
      <c r="CM59" s="14">
        <f>IF(AND(CM$5-$A59&gt;=0,CM$5-$A59&lt;=19),INDEX(HU_ord,CM$5-$A59+1)*$B59,0)</f>
        <v>0.0</v>
      </c>
      <c r="CN59" s="14">
        <f>IF(AND(CN$5-$A59&gt;=0,CN$5-$A59&lt;=19),INDEX(HU_ord,CN$5-$A59+1)*$B59,0)</f>
        <v>0.0</v>
      </c>
      <c r="CO59" s="14">
        <f>IF(AND(CO$5-$A59&gt;=0,CO$5-$A59&lt;=19),INDEX(HU_ord,CO$5-$A59+1)*$B59,0)</f>
        <v>0.0</v>
      </c>
      <c r="CP59" s="14">
        <f>IF(AND(CP$5-$A59&gt;=0,CP$5-$A59&lt;=19),INDEX(HU_ord,CP$5-$A59+1)*$B59,0)</f>
        <v>0.0</v>
      </c>
      <c r="CQ59" s="14">
        <f>IF(AND(CQ$5-$A59&gt;=0,CQ$5-$A59&lt;=19),INDEX(HU_ord,CQ$5-$A59+1)*$B59,0)</f>
        <v>0.0</v>
      </c>
      <c r="CR59" s="14">
        <f>IF(AND(CR$5-$A59&gt;=0,CR$5-$A59&lt;=19),INDEX(HU_ord,CR$5-$A59+1)*$B59,0)</f>
        <v>0.0</v>
      </c>
      <c r="CS59" s="14">
        <f>IF(AND(CS$5-$A59&gt;=0,CS$5-$A59&lt;=19),INDEX(HU_ord,CS$5-$A59+1)*$B59,0)</f>
        <v>0.0</v>
      </c>
      <c r="CT59" s="14">
        <f>IF(AND(CT$5-$A59&gt;=0,CT$5-$A59&lt;=19),INDEX(HU_ord,CT$5-$A59+1)*$B59,0)</f>
        <v>0.0</v>
      </c>
      <c r="CU59" s="14">
        <f>IF(AND(CU$5-$A59&gt;=0,CU$5-$A59&lt;=19),INDEX(HU_ord,CU$5-$A59+1)*$B59,0)</f>
        <v>0.0</v>
      </c>
      <c r="CV59" s="14">
        <f>IF(AND(CV$5-$A59&gt;=0,CV$5-$A59&lt;=19),INDEX(HU_ord,CV$5-$A59+1)*$B59,0)</f>
        <v>0.0</v>
      </c>
      <c r="CW59" s="14">
        <f>IF(AND(CW$5-$A59&gt;=0,CW$5-$A59&lt;=19),INDEX(HU_ord,CW$5-$A59+1)*$B59,0)</f>
        <v>0.0</v>
      </c>
      <c r="CX59" s="14">
        <f>IF(AND(CX$5-$A59&gt;=0,CX$5-$A59&lt;=19),INDEX(HU_ord,CX$5-$A59+1)*$B59,0)</f>
        <v>0.0</v>
      </c>
      <c r="CY59" s="14">
        <f>IF(AND(CY$5-$A59&gt;=0,CY$5-$A59&lt;=19),INDEX(HU_ord,CY$5-$A59+1)*$B59,0)</f>
        <v>0.0</v>
      </c>
      <c r="CZ59" s="14">
        <f>IF(AND(CZ$5-$A59&gt;=0,CZ$5-$A59&lt;=19),INDEX(HU_ord,CZ$5-$A59+1)*$B59,0)</f>
        <v>0.0</v>
      </c>
      <c r="DA59" s="14">
        <f>IF(AND(DA$5-$A59&gt;=0,DA$5-$A59&lt;=19),INDEX(HU_ord,DA$5-$A59+1)*$B59,0)</f>
        <v>0.0</v>
      </c>
      <c r="DB59" s="14">
        <f>IF(AND(DB$5-$A59&gt;=0,DB$5-$A59&lt;=19),INDEX(HU_ord,DB$5-$A59+1)*$B59,0)</f>
        <v>0.0</v>
      </c>
      <c r="DC59" s="14">
        <f>IF(AND(DC$5-$A59&gt;=0,DC$5-$A59&lt;=19),INDEX(HU_ord,DC$5-$A59+1)*$B59,0)</f>
        <v>0.0</v>
      </c>
      <c r="DD59" s="14">
        <f>IF(AND(DD$5-$A59&gt;=0,DD$5-$A59&lt;=19),INDEX(HU_ord,DD$5-$A59+1)*$B59,0)</f>
        <v>0.0</v>
      </c>
      <c r="DE59" s="14">
        <f>IF(AND(DE$5-$A59&gt;=0,DE$5-$A59&lt;=19),INDEX(HU_ord,DE$5-$A59+1)*$B59,0)</f>
        <v>0.0</v>
      </c>
      <c r="DF59" s="14">
        <f>IF(AND(DF$5-$A59&gt;=0,DF$5-$A59&lt;=19),INDEX(HU_ord,DF$5-$A59+1)*$B59,0)</f>
        <v>0.0</v>
      </c>
      <c r="DG59" s="14">
        <f>IF(AND(DG$5-$A59&gt;=0,DG$5-$A59&lt;=19),INDEX(HU_ord,DG$5-$A59+1)*$B59,0)</f>
        <v>0.0</v>
      </c>
      <c r="DH59" s="14">
        <f>IF(AND(DH$5-$A59&gt;=0,DH$5-$A59&lt;=19),INDEX(HU_ord,DH$5-$A59+1)*$B59,0)</f>
        <v>0.0</v>
      </c>
      <c r="DI59" s="14">
        <f>IF(AND(DI$5-$A59&gt;=0,DI$5-$A59&lt;=19),INDEX(HU_ord,DI$5-$A59+1)*$B59,0)</f>
        <v>0.0</v>
      </c>
    </row>
    <row r="60" spans="1:113">
      <c r="A60">
        <v>54</v>
      </c>
      <c r="B60" s="10">
        <f>Serie_horaria!N56</f>
        <v>0.0</v>
      </c>
      <c r="C60" s="14">
        <f>IF(AND(C$5-$A60&gt;=0,C$5-$A60&lt;=19),INDEX(HU_ord,C$5-$A60+1)*$B60,0)</f>
        <v>0.0</v>
      </c>
      <c r="D60" s="14">
        <f>IF(AND(D$5-$A60&gt;=0,D$5-$A60&lt;=19),INDEX(HU_ord,D$5-$A60+1)*$B60,0)</f>
        <v>0.0</v>
      </c>
      <c r="E60" s="14">
        <f>IF(AND(E$5-$A60&gt;=0,E$5-$A60&lt;=19),INDEX(HU_ord,E$5-$A60+1)*$B60,0)</f>
        <v>0.0</v>
      </c>
      <c r="F60" s="14">
        <f>IF(AND(F$5-$A60&gt;=0,F$5-$A60&lt;=19),INDEX(HU_ord,F$5-$A60+1)*$B60,0)</f>
        <v>0.0</v>
      </c>
      <c r="G60" s="14">
        <f>IF(AND(G$5-$A60&gt;=0,G$5-$A60&lt;=19),INDEX(HU_ord,G$5-$A60+1)*$B60,0)</f>
        <v>0.0</v>
      </c>
      <c r="H60" s="14">
        <f>IF(AND(H$5-$A60&gt;=0,H$5-$A60&lt;=19),INDEX(HU_ord,H$5-$A60+1)*$B60,0)</f>
        <v>0.0</v>
      </c>
      <c r="I60" s="14">
        <f>IF(AND(I$5-$A60&gt;=0,I$5-$A60&lt;=19),INDEX(HU_ord,I$5-$A60+1)*$B60,0)</f>
        <v>0.0</v>
      </c>
      <c r="J60" s="14">
        <f>IF(AND(J$5-$A60&gt;=0,J$5-$A60&lt;=19),INDEX(HU_ord,J$5-$A60+1)*$B60,0)</f>
        <v>0.0</v>
      </c>
      <c r="K60" s="14">
        <f>IF(AND(K$5-$A60&gt;=0,K$5-$A60&lt;=19),INDEX(HU_ord,K$5-$A60+1)*$B60,0)</f>
        <v>0.0</v>
      </c>
      <c r="L60" s="14">
        <f>IF(AND(L$5-$A60&gt;=0,L$5-$A60&lt;=19),INDEX(HU_ord,L$5-$A60+1)*$B60,0)</f>
        <v>0.0</v>
      </c>
      <c r="M60" s="14">
        <f>IF(AND(M$5-$A60&gt;=0,M$5-$A60&lt;=19),INDEX(HU_ord,M$5-$A60+1)*$B60,0)</f>
        <v>0.0</v>
      </c>
      <c r="N60" s="14">
        <f>IF(AND(N$5-$A60&gt;=0,N$5-$A60&lt;=19),INDEX(HU_ord,N$5-$A60+1)*$B60,0)</f>
        <v>0.0</v>
      </c>
      <c r="O60" s="14">
        <f>IF(AND(O$5-$A60&gt;=0,O$5-$A60&lt;=19),INDEX(HU_ord,O$5-$A60+1)*$B60,0)</f>
        <v>0.0</v>
      </c>
      <c r="P60" s="14">
        <f>IF(AND(P$5-$A60&gt;=0,P$5-$A60&lt;=19),INDEX(HU_ord,P$5-$A60+1)*$B60,0)</f>
        <v>0.0</v>
      </c>
      <c r="Q60" s="14">
        <f>IF(AND(Q$5-$A60&gt;=0,Q$5-$A60&lt;=19),INDEX(HU_ord,Q$5-$A60+1)*$B60,0)</f>
        <v>0.0</v>
      </c>
      <c r="R60" s="14">
        <f>IF(AND(R$5-$A60&gt;=0,R$5-$A60&lt;=19),INDEX(HU_ord,R$5-$A60+1)*$B60,0)</f>
        <v>0.0</v>
      </c>
      <c r="S60" s="14">
        <f>IF(AND(S$5-$A60&gt;=0,S$5-$A60&lt;=19),INDEX(HU_ord,S$5-$A60+1)*$B60,0)</f>
        <v>0.0</v>
      </c>
      <c r="T60" s="14">
        <f>IF(AND(T$5-$A60&gt;=0,T$5-$A60&lt;=19),INDEX(HU_ord,T$5-$A60+1)*$B60,0)</f>
        <v>0.0</v>
      </c>
      <c r="U60" s="14">
        <f>IF(AND(U$5-$A60&gt;=0,U$5-$A60&lt;=19),INDEX(HU_ord,U$5-$A60+1)*$B60,0)</f>
        <v>0.0</v>
      </c>
      <c r="V60" s="14">
        <f>IF(AND(V$5-$A60&gt;=0,V$5-$A60&lt;=19),INDEX(HU_ord,V$5-$A60+1)*$B60,0)</f>
        <v>0.0</v>
      </c>
      <c r="W60" s="14">
        <f>IF(AND(W$5-$A60&gt;=0,W$5-$A60&lt;=19),INDEX(HU_ord,W$5-$A60+1)*$B60,0)</f>
        <v>0.0</v>
      </c>
      <c r="X60" s="14">
        <f>IF(AND(X$5-$A60&gt;=0,X$5-$A60&lt;=19),INDEX(HU_ord,X$5-$A60+1)*$B60,0)</f>
        <v>0.0</v>
      </c>
      <c r="Y60" s="14">
        <f>IF(AND(Y$5-$A60&gt;=0,Y$5-$A60&lt;=19),INDEX(HU_ord,Y$5-$A60+1)*$B60,0)</f>
        <v>0.0</v>
      </c>
      <c r="Z60" s="14">
        <f>IF(AND(Z$5-$A60&gt;=0,Z$5-$A60&lt;=19),INDEX(HU_ord,Z$5-$A60+1)*$B60,0)</f>
        <v>0.0</v>
      </c>
      <c r="AA60" s="14">
        <f>IF(AND(AA$5-$A60&gt;=0,AA$5-$A60&lt;=19),INDEX(HU_ord,AA$5-$A60+1)*$B60,0)</f>
        <v>0.0</v>
      </c>
      <c r="AB60" s="14">
        <f>IF(AND(AB$5-$A60&gt;=0,AB$5-$A60&lt;=19),INDEX(HU_ord,AB$5-$A60+1)*$B60,0)</f>
        <v>0.0</v>
      </c>
      <c r="AC60" s="14">
        <f>IF(AND(AC$5-$A60&gt;=0,AC$5-$A60&lt;=19),INDEX(HU_ord,AC$5-$A60+1)*$B60,0)</f>
        <v>0.0</v>
      </c>
      <c r="AD60" s="14">
        <f>IF(AND(AD$5-$A60&gt;=0,AD$5-$A60&lt;=19),INDEX(HU_ord,AD$5-$A60+1)*$B60,0)</f>
        <v>0.0</v>
      </c>
      <c r="AE60" s="14">
        <f>IF(AND(AE$5-$A60&gt;=0,AE$5-$A60&lt;=19),INDEX(HU_ord,AE$5-$A60+1)*$B60,0)</f>
        <v>0.0</v>
      </c>
      <c r="AF60" s="14">
        <f>IF(AND(AF$5-$A60&gt;=0,AF$5-$A60&lt;=19),INDEX(HU_ord,AF$5-$A60+1)*$B60,0)</f>
        <v>0.0</v>
      </c>
      <c r="AG60" s="14">
        <f>IF(AND(AG$5-$A60&gt;=0,AG$5-$A60&lt;=19),INDEX(HU_ord,AG$5-$A60+1)*$B60,0)</f>
        <v>0.0</v>
      </c>
      <c r="AH60" s="14">
        <f>IF(AND(AH$5-$A60&gt;=0,AH$5-$A60&lt;=19),INDEX(HU_ord,AH$5-$A60+1)*$B60,0)</f>
        <v>0.0</v>
      </c>
      <c r="AI60" s="14">
        <f>IF(AND(AI$5-$A60&gt;=0,AI$5-$A60&lt;=19),INDEX(HU_ord,AI$5-$A60+1)*$B60,0)</f>
        <v>0.0</v>
      </c>
      <c r="AJ60" s="14">
        <f>IF(AND(AJ$5-$A60&gt;=0,AJ$5-$A60&lt;=19),INDEX(HU_ord,AJ$5-$A60+1)*$B60,0)</f>
        <v>0.0</v>
      </c>
      <c r="AK60" s="14">
        <f>IF(AND(AK$5-$A60&gt;=0,AK$5-$A60&lt;=19),INDEX(HU_ord,AK$5-$A60+1)*$B60,0)</f>
        <v>0.0</v>
      </c>
      <c r="AL60" s="14">
        <f>IF(AND(AL$5-$A60&gt;=0,AL$5-$A60&lt;=19),INDEX(HU_ord,AL$5-$A60+1)*$B60,0)</f>
        <v>0.0</v>
      </c>
      <c r="AM60" s="14">
        <f>IF(AND(AM$5-$A60&gt;=0,AM$5-$A60&lt;=19),INDEX(HU_ord,AM$5-$A60+1)*$B60,0)</f>
        <v>0.0</v>
      </c>
      <c r="AN60" s="14">
        <f>IF(AND(AN$5-$A60&gt;=0,AN$5-$A60&lt;=19),INDEX(HU_ord,AN$5-$A60+1)*$B60,0)</f>
        <v>0.0</v>
      </c>
      <c r="AO60" s="14">
        <f>IF(AND(AO$5-$A60&gt;=0,AO$5-$A60&lt;=19),INDEX(HU_ord,AO$5-$A60+1)*$B60,0)</f>
        <v>0.0</v>
      </c>
      <c r="AP60" s="14">
        <f>IF(AND(AP$5-$A60&gt;=0,AP$5-$A60&lt;=19),INDEX(HU_ord,AP$5-$A60+1)*$B60,0)</f>
        <v>0.0</v>
      </c>
      <c r="AQ60" s="14">
        <f>IF(AND(AQ$5-$A60&gt;=0,AQ$5-$A60&lt;=19),INDEX(HU_ord,AQ$5-$A60+1)*$B60,0)</f>
        <v>0.0</v>
      </c>
      <c r="AR60" s="14">
        <f>IF(AND(AR$5-$A60&gt;=0,AR$5-$A60&lt;=19),INDEX(HU_ord,AR$5-$A60+1)*$B60,0)</f>
        <v>0.0</v>
      </c>
      <c r="AS60" s="14">
        <f>IF(AND(AS$5-$A60&gt;=0,AS$5-$A60&lt;=19),INDEX(HU_ord,AS$5-$A60+1)*$B60,0)</f>
        <v>0.0</v>
      </c>
      <c r="AT60" s="14">
        <f>IF(AND(AT$5-$A60&gt;=0,AT$5-$A60&lt;=19),INDEX(HU_ord,AT$5-$A60+1)*$B60,0)</f>
        <v>0.0</v>
      </c>
      <c r="AU60" s="14">
        <f>IF(AND(AU$5-$A60&gt;=0,AU$5-$A60&lt;=19),INDEX(HU_ord,AU$5-$A60+1)*$B60,0)</f>
        <v>0.0</v>
      </c>
      <c r="AV60" s="14">
        <f>IF(AND(AV$5-$A60&gt;=0,AV$5-$A60&lt;=19),INDEX(HU_ord,AV$5-$A60+1)*$B60,0)</f>
        <v>0.0</v>
      </c>
      <c r="AW60" s="14">
        <f>IF(AND(AW$5-$A60&gt;=0,AW$5-$A60&lt;=19),INDEX(HU_ord,AW$5-$A60+1)*$B60,0)</f>
        <v>0.0</v>
      </c>
      <c r="AX60" s="14">
        <f>IF(AND(AX$5-$A60&gt;=0,AX$5-$A60&lt;=19),INDEX(HU_ord,AX$5-$A60+1)*$B60,0)</f>
        <v>0.0</v>
      </c>
      <c r="AY60" s="14">
        <f>IF(AND(AY$5-$A60&gt;=0,AY$5-$A60&lt;=19),INDEX(HU_ord,AY$5-$A60+1)*$B60,0)</f>
        <v>0.0</v>
      </c>
      <c r="AZ60" s="14">
        <f>IF(AND(AZ$5-$A60&gt;=0,AZ$5-$A60&lt;=19),INDEX(HU_ord,AZ$5-$A60+1)*$B60,0)</f>
        <v>0.0</v>
      </c>
      <c r="BA60" s="14">
        <f>IF(AND(BA$5-$A60&gt;=0,BA$5-$A60&lt;=19),INDEX(HU_ord,BA$5-$A60+1)*$B60,0)</f>
        <v>0.0</v>
      </c>
      <c r="BB60" s="14">
        <f>IF(AND(BB$5-$A60&gt;=0,BB$5-$A60&lt;=19),INDEX(HU_ord,BB$5-$A60+1)*$B60,0)</f>
        <v>0.0</v>
      </c>
      <c r="BC60" s="14">
        <f>IF(AND(BC$5-$A60&gt;=0,BC$5-$A60&lt;=19),INDEX(HU_ord,BC$5-$A60+1)*$B60,0)</f>
        <v>0.0</v>
      </c>
      <c r="BD60" s="14">
        <f>IF(AND(BD$5-$A60&gt;=0,BD$5-$A60&lt;=19),INDEX(HU_ord,BD$5-$A60+1)*$B60,0)</f>
        <v>0.0</v>
      </c>
      <c r="BE60" s="14">
        <f>IF(AND(BE$5-$A60&gt;=0,BE$5-$A60&lt;=19),INDEX(HU_ord,BE$5-$A60+1)*$B60,0)</f>
        <v>0.0</v>
      </c>
      <c r="BF60" s="14">
        <f>IF(AND(BF$5-$A60&gt;=0,BF$5-$A60&lt;=19),INDEX(HU_ord,BF$5-$A60+1)*$B60,0)</f>
        <v>0.0</v>
      </c>
      <c r="BG60" s="14">
        <f>IF(AND(BG$5-$A60&gt;=0,BG$5-$A60&lt;=19),INDEX(HU_ord,BG$5-$A60+1)*$B60,0)</f>
        <v>0.0</v>
      </c>
      <c r="BH60" s="14">
        <f>IF(AND(BH$5-$A60&gt;=0,BH$5-$A60&lt;=19),INDEX(HU_ord,BH$5-$A60+1)*$B60,0)</f>
        <v>0.0</v>
      </c>
      <c r="BI60" s="14">
        <f>IF(AND(BI$5-$A60&gt;=0,BI$5-$A60&lt;=19),INDEX(HU_ord,BI$5-$A60+1)*$B60,0)</f>
        <v>0.0</v>
      </c>
      <c r="BJ60" s="14">
        <f>IF(AND(BJ$5-$A60&gt;=0,BJ$5-$A60&lt;=19),INDEX(HU_ord,BJ$5-$A60+1)*$B60,0)</f>
        <v>0.0</v>
      </c>
      <c r="BK60" s="14">
        <f>IF(AND(BK$5-$A60&gt;=0,BK$5-$A60&lt;=19),INDEX(HU_ord,BK$5-$A60+1)*$B60,0)</f>
        <v>0.0</v>
      </c>
      <c r="BL60" s="14">
        <f>IF(AND(BL$5-$A60&gt;=0,BL$5-$A60&lt;=19),INDEX(HU_ord,BL$5-$A60+1)*$B60,0)</f>
        <v>0.0</v>
      </c>
      <c r="BM60" s="14">
        <f>IF(AND(BM$5-$A60&gt;=0,BM$5-$A60&lt;=19),INDEX(HU_ord,BM$5-$A60+1)*$B60,0)</f>
        <v>0.0</v>
      </c>
      <c r="BN60" s="14">
        <f>IF(AND(BN$5-$A60&gt;=0,BN$5-$A60&lt;=19),INDEX(HU_ord,BN$5-$A60+1)*$B60,0)</f>
        <v>0.0</v>
      </c>
      <c r="BO60" s="14">
        <f>IF(AND(BO$5-$A60&gt;=0,BO$5-$A60&lt;=19),INDEX(HU_ord,BO$5-$A60+1)*$B60,0)</f>
        <v>0.0</v>
      </c>
      <c r="BP60" s="14">
        <f>IF(AND(BP$5-$A60&gt;=0,BP$5-$A60&lt;=19),INDEX(HU_ord,BP$5-$A60+1)*$B60,0)</f>
        <v>0.0</v>
      </c>
      <c r="BQ60" s="14">
        <f>IF(AND(BQ$5-$A60&gt;=0,BQ$5-$A60&lt;=19),INDEX(HU_ord,BQ$5-$A60+1)*$B60,0)</f>
        <v>0.0</v>
      </c>
      <c r="BR60" s="14">
        <f>IF(AND(BR$5-$A60&gt;=0,BR$5-$A60&lt;=19),INDEX(HU_ord,BR$5-$A60+1)*$B60,0)</f>
        <v>0.0</v>
      </c>
      <c r="BS60" s="14">
        <f>IF(AND(BS$5-$A60&gt;=0,BS$5-$A60&lt;=19),INDEX(HU_ord,BS$5-$A60+1)*$B60,0)</f>
        <v>0.0</v>
      </c>
      <c r="BT60" s="14">
        <f>IF(AND(BT$5-$A60&gt;=0,BT$5-$A60&lt;=19),INDEX(HU_ord,BT$5-$A60+1)*$B60,0)</f>
        <v>0.0</v>
      </c>
      <c r="BU60" s="14">
        <f>IF(AND(BU$5-$A60&gt;=0,BU$5-$A60&lt;=19),INDEX(HU_ord,BU$5-$A60+1)*$B60,0)</f>
        <v>0.0</v>
      </c>
      <c r="BV60" s="14">
        <f>IF(AND(BV$5-$A60&gt;=0,BV$5-$A60&lt;=19),INDEX(HU_ord,BV$5-$A60+1)*$B60,0)</f>
        <v>0.0</v>
      </c>
      <c r="BW60" s="14">
        <f>IF(AND(BW$5-$A60&gt;=0,BW$5-$A60&lt;=19),INDEX(HU_ord,BW$5-$A60+1)*$B60,0)</f>
        <v>0.0</v>
      </c>
      <c r="BX60" s="14">
        <f>IF(AND(BX$5-$A60&gt;=0,BX$5-$A60&lt;=19),INDEX(HU_ord,BX$5-$A60+1)*$B60,0)</f>
        <v>0.0</v>
      </c>
      <c r="BY60" s="14">
        <f>IF(AND(BY$5-$A60&gt;=0,BY$5-$A60&lt;=19),INDEX(HU_ord,BY$5-$A60+1)*$B60,0)</f>
        <v>0.0</v>
      </c>
      <c r="BZ60" s="14">
        <f>IF(AND(BZ$5-$A60&gt;=0,BZ$5-$A60&lt;=19),INDEX(HU_ord,BZ$5-$A60+1)*$B60,0)</f>
        <v>0.0</v>
      </c>
      <c r="CA60" s="14">
        <f>IF(AND(CA$5-$A60&gt;=0,CA$5-$A60&lt;=19),INDEX(HU_ord,CA$5-$A60+1)*$B60,0)</f>
        <v>0.0</v>
      </c>
      <c r="CB60" s="14">
        <f>IF(AND(CB$5-$A60&gt;=0,CB$5-$A60&lt;=19),INDEX(HU_ord,CB$5-$A60+1)*$B60,0)</f>
        <v>0.0</v>
      </c>
      <c r="CC60" s="14">
        <f>IF(AND(CC$5-$A60&gt;=0,CC$5-$A60&lt;=19),INDEX(HU_ord,CC$5-$A60+1)*$B60,0)</f>
        <v>0.0</v>
      </c>
      <c r="CD60" s="14">
        <f>IF(AND(CD$5-$A60&gt;=0,CD$5-$A60&lt;=19),INDEX(HU_ord,CD$5-$A60+1)*$B60,0)</f>
        <v>0.0</v>
      </c>
      <c r="CE60" s="14">
        <f>IF(AND(CE$5-$A60&gt;=0,CE$5-$A60&lt;=19),INDEX(HU_ord,CE$5-$A60+1)*$B60,0)</f>
        <v>0.0</v>
      </c>
      <c r="CF60" s="14">
        <f>IF(AND(CF$5-$A60&gt;=0,CF$5-$A60&lt;=19),INDEX(HU_ord,CF$5-$A60+1)*$B60,0)</f>
        <v>0.0</v>
      </c>
      <c r="CG60" s="14">
        <f>IF(AND(CG$5-$A60&gt;=0,CG$5-$A60&lt;=19),INDEX(HU_ord,CG$5-$A60+1)*$B60,0)</f>
        <v>0.0</v>
      </c>
      <c r="CH60" s="14">
        <f>IF(AND(CH$5-$A60&gt;=0,CH$5-$A60&lt;=19),INDEX(HU_ord,CH$5-$A60+1)*$B60,0)</f>
        <v>0.0</v>
      </c>
      <c r="CI60" s="14">
        <f>IF(AND(CI$5-$A60&gt;=0,CI$5-$A60&lt;=19),INDEX(HU_ord,CI$5-$A60+1)*$B60,0)</f>
        <v>0.0</v>
      </c>
      <c r="CJ60" s="14">
        <f>IF(AND(CJ$5-$A60&gt;=0,CJ$5-$A60&lt;=19),INDEX(HU_ord,CJ$5-$A60+1)*$B60,0)</f>
        <v>0.0</v>
      </c>
      <c r="CK60" s="14">
        <f>IF(AND(CK$5-$A60&gt;=0,CK$5-$A60&lt;=19),INDEX(HU_ord,CK$5-$A60+1)*$B60,0)</f>
        <v>0.0</v>
      </c>
      <c r="CL60" s="14">
        <f>IF(AND(CL$5-$A60&gt;=0,CL$5-$A60&lt;=19),INDEX(HU_ord,CL$5-$A60+1)*$B60,0)</f>
        <v>0.0</v>
      </c>
      <c r="CM60" s="14">
        <f>IF(AND(CM$5-$A60&gt;=0,CM$5-$A60&lt;=19),INDEX(HU_ord,CM$5-$A60+1)*$B60,0)</f>
        <v>0.0</v>
      </c>
      <c r="CN60" s="14">
        <f>IF(AND(CN$5-$A60&gt;=0,CN$5-$A60&lt;=19),INDEX(HU_ord,CN$5-$A60+1)*$B60,0)</f>
        <v>0.0</v>
      </c>
      <c r="CO60" s="14">
        <f>IF(AND(CO$5-$A60&gt;=0,CO$5-$A60&lt;=19),INDEX(HU_ord,CO$5-$A60+1)*$B60,0)</f>
        <v>0.0</v>
      </c>
      <c r="CP60" s="14">
        <f>IF(AND(CP$5-$A60&gt;=0,CP$5-$A60&lt;=19),INDEX(HU_ord,CP$5-$A60+1)*$B60,0)</f>
        <v>0.0</v>
      </c>
      <c r="CQ60" s="14">
        <f>IF(AND(CQ$5-$A60&gt;=0,CQ$5-$A60&lt;=19),INDEX(HU_ord,CQ$5-$A60+1)*$B60,0)</f>
        <v>0.0</v>
      </c>
      <c r="CR60" s="14">
        <f>IF(AND(CR$5-$A60&gt;=0,CR$5-$A60&lt;=19),INDEX(HU_ord,CR$5-$A60+1)*$B60,0)</f>
        <v>0.0</v>
      </c>
      <c r="CS60" s="14">
        <f>IF(AND(CS$5-$A60&gt;=0,CS$5-$A60&lt;=19),INDEX(HU_ord,CS$5-$A60+1)*$B60,0)</f>
        <v>0.0</v>
      </c>
      <c r="CT60" s="14">
        <f>IF(AND(CT$5-$A60&gt;=0,CT$5-$A60&lt;=19),INDEX(HU_ord,CT$5-$A60+1)*$B60,0)</f>
        <v>0.0</v>
      </c>
      <c r="CU60" s="14">
        <f>IF(AND(CU$5-$A60&gt;=0,CU$5-$A60&lt;=19),INDEX(HU_ord,CU$5-$A60+1)*$B60,0)</f>
        <v>0.0</v>
      </c>
      <c r="CV60" s="14">
        <f>IF(AND(CV$5-$A60&gt;=0,CV$5-$A60&lt;=19),INDEX(HU_ord,CV$5-$A60+1)*$B60,0)</f>
        <v>0.0</v>
      </c>
      <c r="CW60" s="14">
        <f>IF(AND(CW$5-$A60&gt;=0,CW$5-$A60&lt;=19),INDEX(HU_ord,CW$5-$A60+1)*$B60,0)</f>
        <v>0.0</v>
      </c>
      <c r="CX60" s="14">
        <f>IF(AND(CX$5-$A60&gt;=0,CX$5-$A60&lt;=19),INDEX(HU_ord,CX$5-$A60+1)*$B60,0)</f>
        <v>0.0</v>
      </c>
      <c r="CY60" s="14">
        <f>IF(AND(CY$5-$A60&gt;=0,CY$5-$A60&lt;=19),INDEX(HU_ord,CY$5-$A60+1)*$B60,0)</f>
        <v>0.0</v>
      </c>
      <c r="CZ60" s="14">
        <f>IF(AND(CZ$5-$A60&gt;=0,CZ$5-$A60&lt;=19),INDEX(HU_ord,CZ$5-$A60+1)*$B60,0)</f>
        <v>0.0</v>
      </c>
      <c r="DA60" s="14">
        <f>IF(AND(DA$5-$A60&gt;=0,DA$5-$A60&lt;=19),INDEX(HU_ord,DA$5-$A60+1)*$B60,0)</f>
        <v>0.0</v>
      </c>
      <c r="DB60" s="14">
        <f>IF(AND(DB$5-$A60&gt;=0,DB$5-$A60&lt;=19),INDEX(HU_ord,DB$5-$A60+1)*$B60,0)</f>
        <v>0.0</v>
      </c>
      <c r="DC60" s="14">
        <f>IF(AND(DC$5-$A60&gt;=0,DC$5-$A60&lt;=19),INDEX(HU_ord,DC$5-$A60+1)*$B60,0)</f>
        <v>0.0</v>
      </c>
      <c r="DD60" s="14">
        <f>IF(AND(DD$5-$A60&gt;=0,DD$5-$A60&lt;=19),INDEX(HU_ord,DD$5-$A60+1)*$B60,0)</f>
        <v>0.0</v>
      </c>
      <c r="DE60" s="14">
        <f>IF(AND(DE$5-$A60&gt;=0,DE$5-$A60&lt;=19),INDEX(HU_ord,DE$5-$A60+1)*$B60,0)</f>
        <v>0.0</v>
      </c>
      <c r="DF60" s="14">
        <f>IF(AND(DF$5-$A60&gt;=0,DF$5-$A60&lt;=19),INDEX(HU_ord,DF$5-$A60+1)*$B60,0)</f>
        <v>0.0</v>
      </c>
      <c r="DG60" s="14">
        <f>IF(AND(DG$5-$A60&gt;=0,DG$5-$A60&lt;=19),INDEX(HU_ord,DG$5-$A60+1)*$B60,0)</f>
        <v>0.0</v>
      </c>
      <c r="DH60" s="14">
        <f>IF(AND(DH$5-$A60&gt;=0,DH$5-$A60&lt;=19),INDEX(HU_ord,DH$5-$A60+1)*$B60,0)</f>
        <v>0.0</v>
      </c>
      <c r="DI60" s="14">
        <f>IF(AND(DI$5-$A60&gt;=0,DI$5-$A60&lt;=19),INDEX(HU_ord,DI$5-$A60+1)*$B60,0)</f>
        <v>0.0</v>
      </c>
    </row>
    <row r="61" spans="1:113">
      <c r="A61">
        <v>55</v>
      </c>
      <c r="B61" s="10">
        <f>Serie_horaria!N57</f>
        <v>0.0</v>
      </c>
      <c r="C61" s="14">
        <f>IF(AND(C$5-$A61&gt;=0,C$5-$A61&lt;=19),INDEX(HU_ord,C$5-$A61+1)*$B61,0)</f>
        <v>0.0</v>
      </c>
      <c r="D61" s="14">
        <f>IF(AND(D$5-$A61&gt;=0,D$5-$A61&lt;=19),INDEX(HU_ord,D$5-$A61+1)*$B61,0)</f>
        <v>0.0</v>
      </c>
      <c r="E61" s="14">
        <f>IF(AND(E$5-$A61&gt;=0,E$5-$A61&lt;=19),INDEX(HU_ord,E$5-$A61+1)*$B61,0)</f>
        <v>0.0</v>
      </c>
      <c r="F61" s="14">
        <f>IF(AND(F$5-$A61&gt;=0,F$5-$A61&lt;=19),INDEX(HU_ord,F$5-$A61+1)*$B61,0)</f>
        <v>0.0</v>
      </c>
      <c r="G61" s="14">
        <f>IF(AND(G$5-$A61&gt;=0,G$5-$A61&lt;=19),INDEX(HU_ord,G$5-$A61+1)*$B61,0)</f>
        <v>0.0</v>
      </c>
      <c r="H61" s="14">
        <f>IF(AND(H$5-$A61&gt;=0,H$5-$A61&lt;=19),INDEX(HU_ord,H$5-$A61+1)*$B61,0)</f>
        <v>0.0</v>
      </c>
      <c r="I61" s="14">
        <f>IF(AND(I$5-$A61&gt;=0,I$5-$A61&lt;=19),INDEX(HU_ord,I$5-$A61+1)*$B61,0)</f>
        <v>0.0</v>
      </c>
      <c r="J61" s="14">
        <f>IF(AND(J$5-$A61&gt;=0,J$5-$A61&lt;=19),INDEX(HU_ord,J$5-$A61+1)*$B61,0)</f>
        <v>0.0</v>
      </c>
      <c r="K61" s="14">
        <f>IF(AND(K$5-$A61&gt;=0,K$5-$A61&lt;=19),INDEX(HU_ord,K$5-$A61+1)*$B61,0)</f>
        <v>0.0</v>
      </c>
      <c r="L61" s="14">
        <f>IF(AND(L$5-$A61&gt;=0,L$5-$A61&lt;=19),INDEX(HU_ord,L$5-$A61+1)*$B61,0)</f>
        <v>0.0</v>
      </c>
      <c r="M61" s="14">
        <f>IF(AND(M$5-$A61&gt;=0,M$5-$A61&lt;=19),INDEX(HU_ord,M$5-$A61+1)*$B61,0)</f>
        <v>0.0</v>
      </c>
      <c r="N61" s="14">
        <f>IF(AND(N$5-$A61&gt;=0,N$5-$A61&lt;=19),INDEX(HU_ord,N$5-$A61+1)*$B61,0)</f>
        <v>0.0</v>
      </c>
      <c r="O61" s="14">
        <f>IF(AND(O$5-$A61&gt;=0,O$5-$A61&lt;=19),INDEX(HU_ord,O$5-$A61+1)*$B61,0)</f>
        <v>0.0</v>
      </c>
      <c r="P61" s="14">
        <f>IF(AND(P$5-$A61&gt;=0,P$5-$A61&lt;=19),INDEX(HU_ord,P$5-$A61+1)*$B61,0)</f>
        <v>0.0</v>
      </c>
      <c r="Q61" s="14">
        <f>IF(AND(Q$5-$A61&gt;=0,Q$5-$A61&lt;=19),INDEX(HU_ord,Q$5-$A61+1)*$B61,0)</f>
        <v>0.0</v>
      </c>
      <c r="R61" s="14">
        <f>IF(AND(R$5-$A61&gt;=0,R$5-$A61&lt;=19),INDEX(HU_ord,R$5-$A61+1)*$B61,0)</f>
        <v>0.0</v>
      </c>
      <c r="S61" s="14">
        <f>IF(AND(S$5-$A61&gt;=0,S$5-$A61&lt;=19),INDEX(HU_ord,S$5-$A61+1)*$B61,0)</f>
        <v>0.0</v>
      </c>
      <c r="T61" s="14">
        <f>IF(AND(T$5-$A61&gt;=0,T$5-$A61&lt;=19),INDEX(HU_ord,T$5-$A61+1)*$B61,0)</f>
        <v>0.0</v>
      </c>
      <c r="U61" s="14">
        <f>IF(AND(U$5-$A61&gt;=0,U$5-$A61&lt;=19),INDEX(HU_ord,U$5-$A61+1)*$B61,0)</f>
        <v>0.0</v>
      </c>
      <c r="V61" s="14">
        <f>IF(AND(V$5-$A61&gt;=0,V$5-$A61&lt;=19),INDEX(HU_ord,V$5-$A61+1)*$B61,0)</f>
        <v>0.0</v>
      </c>
      <c r="W61" s="14">
        <f>IF(AND(W$5-$A61&gt;=0,W$5-$A61&lt;=19),INDEX(HU_ord,W$5-$A61+1)*$B61,0)</f>
        <v>0.0</v>
      </c>
      <c r="X61" s="14">
        <f>IF(AND(X$5-$A61&gt;=0,X$5-$A61&lt;=19),INDEX(HU_ord,X$5-$A61+1)*$B61,0)</f>
        <v>0.0</v>
      </c>
      <c r="Y61" s="14">
        <f>IF(AND(Y$5-$A61&gt;=0,Y$5-$A61&lt;=19),INDEX(HU_ord,Y$5-$A61+1)*$B61,0)</f>
        <v>0.0</v>
      </c>
      <c r="Z61" s="14">
        <f>IF(AND(Z$5-$A61&gt;=0,Z$5-$A61&lt;=19),INDEX(HU_ord,Z$5-$A61+1)*$B61,0)</f>
        <v>0.0</v>
      </c>
      <c r="AA61" s="14">
        <f>IF(AND(AA$5-$A61&gt;=0,AA$5-$A61&lt;=19),INDEX(HU_ord,AA$5-$A61+1)*$B61,0)</f>
        <v>0.0</v>
      </c>
      <c r="AB61" s="14">
        <f>IF(AND(AB$5-$A61&gt;=0,AB$5-$A61&lt;=19),INDEX(HU_ord,AB$5-$A61+1)*$B61,0)</f>
        <v>0.0</v>
      </c>
      <c r="AC61" s="14">
        <f>IF(AND(AC$5-$A61&gt;=0,AC$5-$A61&lt;=19),INDEX(HU_ord,AC$5-$A61+1)*$B61,0)</f>
        <v>0.0</v>
      </c>
      <c r="AD61" s="14">
        <f>IF(AND(AD$5-$A61&gt;=0,AD$5-$A61&lt;=19),INDEX(HU_ord,AD$5-$A61+1)*$B61,0)</f>
        <v>0.0</v>
      </c>
      <c r="AE61" s="14">
        <f>IF(AND(AE$5-$A61&gt;=0,AE$5-$A61&lt;=19),INDEX(HU_ord,AE$5-$A61+1)*$B61,0)</f>
        <v>0.0</v>
      </c>
      <c r="AF61" s="14">
        <f>IF(AND(AF$5-$A61&gt;=0,AF$5-$A61&lt;=19),INDEX(HU_ord,AF$5-$A61+1)*$B61,0)</f>
        <v>0.0</v>
      </c>
      <c r="AG61" s="14">
        <f>IF(AND(AG$5-$A61&gt;=0,AG$5-$A61&lt;=19),INDEX(HU_ord,AG$5-$A61+1)*$B61,0)</f>
        <v>0.0</v>
      </c>
      <c r="AH61" s="14">
        <f>IF(AND(AH$5-$A61&gt;=0,AH$5-$A61&lt;=19),INDEX(HU_ord,AH$5-$A61+1)*$B61,0)</f>
        <v>0.0</v>
      </c>
      <c r="AI61" s="14">
        <f>IF(AND(AI$5-$A61&gt;=0,AI$5-$A61&lt;=19),INDEX(HU_ord,AI$5-$A61+1)*$B61,0)</f>
        <v>0.0</v>
      </c>
      <c r="AJ61" s="14">
        <f>IF(AND(AJ$5-$A61&gt;=0,AJ$5-$A61&lt;=19),INDEX(HU_ord,AJ$5-$A61+1)*$B61,0)</f>
        <v>0.0</v>
      </c>
      <c r="AK61" s="14">
        <f>IF(AND(AK$5-$A61&gt;=0,AK$5-$A61&lt;=19),INDEX(HU_ord,AK$5-$A61+1)*$B61,0)</f>
        <v>0.0</v>
      </c>
      <c r="AL61" s="14">
        <f>IF(AND(AL$5-$A61&gt;=0,AL$5-$A61&lt;=19),INDEX(HU_ord,AL$5-$A61+1)*$B61,0)</f>
        <v>0.0</v>
      </c>
      <c r="AM61" s="14">
        <f>IF(AND(AM$5-$A61&gt;=0,AM$5-$A61&lt;=19),INDEX(HU_ord,AM$5-$A61+1)*$B61,0)</f>
        <v>0.0</v>
      </c>
      <c r="AN61" s="14">
        <f>IF(AND(AN$5-$A61&gt;=0,AN$5-$A61&lt;=19),INDEX(HU_ord,AN$5-$A61+1)*$B61,0)</f>
        <v>0.0</v>
      </c>
      <c r="AO61" s="14">
        <f>IF(AND(AO$5-$A61&gt;=0,AO$5-$A61&lt;=19),INDEX(HU_ord,AO$5-$A61+1)*$B61,0)</f>
        <v>0.0</v>
      </c>
      <c r="AP61" s="14">
        <f>IF(AND(AP$5-$A61&gt;=0,AP$5-$A61&lt;=19),INDEX(HU_ord,AP$5-$A61+1)*$B61,0)</f>
        <v>0.0</v>
      </c>
      <c r="AQ61" s="14">
        <f>IF(AND(AQ$5-$A61&gt;=0,AQ$5-$A61&lt;=19),INDEX(HU_ord,AQ$5-$A61+1)*$B61,0)</f>
        <v>0.0</v>
      </c>
      <c r="AR61" s="14">
        <f>IF(AND(AR$5-$A61&gt;=0,AR$5-$A61&lt;=19),INDEX(HU_ord,AR$5-$A61+1)*$B61,0)</f>
        <v>0.0</v>
      </c>
      <c r="AS61" s="14">
        <f>IF(AND(AS$5-$A61&gt;=0,AS$5-$A61&lt;=19),INDEX(HU_ord,AS$5-$A61+1)*$B61,0)</f>
        <v>0.0</v>
      </c>
      <c r="AT61" s="14">
        <f>IF(AND(AT$5-$A61&gt;=0,AT$5-$A61&lt;=19),INDEX(HU_ord,AT$5-$A61+1)*$B61,0)</f>
        <v>0.0</v>
      </c>
      <c r="AU61" s="14">
        <f>IF(AND(AU$5-$A61&gt;=0,AU$5-$A61&lt;=19),INDEX(HU_ord,AU$5-$A61+1)*$B61,0)</f>
        <v>0.0</v>
      </c>
      <c r="AV61" s="14">
        <f>IF(AND(AV$5-$A61&gt;=0,AV$5-$A61&lt;=19),INDEX(HU_ord,AV$5-$A61+1)*$B61,0)</f>
        <v>0.0</v>
      </c>
      <c r="AW61" s="14">
        <f>IF(AND(AW$5-$A61&gt;=0,AW$5-$A61&lt;=19),INDEX(HU_ord,AW$5-$A61+1)*$B61,0)</f>
        <v>0.0</v>
      </c>
      <c r="AX61" s="14">
        <f>IF(AND(AX$5-$A61&gt;=0,AX$5-$A61&lt;=19),INDEX(HU_ord,AX$5-$A61+1)*$B61,0)</f>
        <v>0.0</v>
      </c>
      <c r="AY61" s="14">
        <f>IF(AND(AY$5-$A61&gt;=0,AY$5-$A61&lt;=19),INDEX(HU_ord,AY$5-$A61+1)*$B61,0)</f>
        <v>0.0</v>
      </c>
      <c r="AZ61" s="14">
        <f>IF(AND(AZ$5-$A61&gt;=0,AZ$5-$A61&lt;=19),INDEX(HU_ord,AZ$5-$A61+1)*$B61,0)</f>
        <v>0.0</v>
      </c>
      <c r="BA61" s="14">
        <f>IF(AND(BA$5-$A61&gt;=0,BA$5-$A61&lt;=19),INDEX(HU_ord,BA$5-$A61+1)*$B61,0)</f>
        <v>0.0</v>
      </c>
      <c r="BB61" s="14">
        <f>IF(AND(BB$5-$A61&gt;=0,BB$5-$A61&lt;=19),INDEX(HU_ord,BB$5-$A61+1)*$B61,0)</f>
        <v>0.0</v>
      </c>
      <c r="BC61" s="14">
        <f>IF(AND(BC$5-$A61&gt;=0,BC$5-$A61&lt;=19),INDEX(HU_ord,BC$5-$A61+1)*$B61,0)</f>
        <v>0.0</v>
      </c>
      <c r="BD61" s="14">
        <f>IF(AND(BD$5-$A61&gt;=0,BD$5-$A61&lt;=19),INDEX(HU_ord,BD$5-$A61+1)*$B61,0)</f>
        <v>0.0</v>
      </c>
      <c r="BE61" s="14">
        <f>IF(AND(BE$5-$A61&gt;=0,BE$5-$A61&lt;=19),INDEX(HU_ord,BE$5-$A61+1)*$B61,0)</f>
        <v>0.0</v>
      </c>
      <c r="BF61" s="14">
        <f>IF(AND(BF$5-$A61&gt;=0,BF$5-$A61&lt;=19),INDEX(HU_ord,BF$5-$A61+1)*$B61,0)</f>
        <v>0.0</v>
      </c>
      <c r="BG61" s="14">
        <f>IF(AND(BG$5-$A61&gt;=0,BG$5-$A61&lt;=19),INDEX(HU_ord,BG$5-$A61+1)*$B61,0)</f>
        <v>0.0</v>
      </c>
      <c r="BH61" s="14">
        <f>IF(AND(BH$5-$A61&gt;=0,BH$5-$A61&lt;=19),INDEX(HU_ord,BH$5-$A61+1)*$B61,0)</f>
        <v>0.0</v>
      </c>
      <c r="BI61" s="14">
        <f>IF(AND(BI$5-$A61&gt;=0,BI$5-$A61&lt;=19),INDEX(HU_ord,BI$5-$A61+1)*$B61,0)</f>
        <v>0.0</v>
      </c>
      <c r="BJ61" s="14">
        <f>IF(AND(BJ$5-$A61&gt;=0,BJ$5-$A61&lt;=19),INDEX(HU_ord,BJ$5-$A61+1)*$B61,0)</f>
        <v>0.0</v>
      </c>
      <c r="BK61" s="14">
        <f>IF(AND(BK$5-$A61&gt;=0,BK$5-$A61&lt;=19),INDEX(HU_ord,BK$5-$A61+1)*$B61,0)</f>
        <v>0.0</v>
      </c>
      <c r="BL61" s="14">
        <f>IF(AND(BL$5-$A61&gt;=0,BL$5-$A61&lt;=19),INDEX(HU_ord,BL$5-$A61+1)*$B61,0)</f>
        <v>0.0</v>
      </c>
      <c r="BM61" s="14">
        <f>IF(AND(BM$5-$A61&gt;=0,BM$5-$A61&lt;=19),INDEX(HU_ord,BM$5-$A61+1)*$B61,0)</f>
        <v>0.0</v>
      </c>
      <c r="BN61" s="14">
        <f>IF(AND(BN$5-$A61&gt;=0,BN$5-$A61&lt;=19),INDEX(HU_ord,BN$5-$A61+1)*$B61,0)</f>
        <v>0.0</v>
      </c>
      <c r="BO61" s="14">
        <f>IF(AND(BO$5-$A61&gt;=0,BO$5-$A61&lt;=19),INDEX(HU_ord,BO$5-$A61+1)*$B61,0)</f>
        <v>0.0</v>
      </c>
      <c r="BP61" s="14">
        <f>IF(AND(BP$5-$A61&gt;=0,BP$5-$A61&lt;=19),INDEX(HU_ord,BP$5-$A61+1)*$B61,0)</f>
        <v>0.0</v>
      </c>
      <c r="BQ61" s="14">
        <f>IF(AND(BQ$5-$A61&gt;=0,BQ$5-$A61&lt;=19),INDEX(HU_ord,BQ$5-$A61+1)*$B61,0)</f>
        <v>0.0</v>
      </c>
      <c r="BR61" s="14">
        <f>IF(AND(BR$5-$A61&gt;=0,BR$5-$A61&lt;=19),INDEX(HU_ord,BR$5-$A61+1)*$B61,0)</f>
        <v>0.0</v>
      </c>
      <c r="BS61" s="14">
        <f>IF(AND(BS$5-$A61&gt;=0,BS$5-$A61&lt;=19),INDEX(HU_ord,BS$5-$A61+1)*$B61,0)</f>
        <v>0.0</v>
      </c>
      <c r="BT61" s="14">
        <f>IF(AND(BT$5-$A61&gt;=0,BT$5-$A61&lt;=19),INDEX(HU_ord,BT$5-$A61+1)*$B61,0)</f>
        <v>0.0</v>
      </c>
      <c r="BU61" s="14">
        <f>IF(AND(BU$5-$A61&gt;=0,BU$5-$A61&lt;=19),INDEX(HU_ord,BU$5-$A61+1)*$B61,0)</f>
        <v>0.0</v>
      </c>
      <c r="BV61" s="14">
        <f>IF(AND(BV$5-$A61&gt;=0,BV$5-$A61&lt;=19),INDEX(HU_ord,BV$5-$A61+1)*$B61,0)</f>
        <v>0.0</v>
      </c>
      <c r="BW61" s="14">
        <f>IF(AND(BW$5-$A61&gt;=0,BW$5-$A61&lt;=19),INDEX(HU_ord,BW$5-$A61+1)*$B61,0)</f>
        <v>0.0</v>
      </c>
      <c r="BX61" s="14">
        <f>IF(AND(BX$5-$A61&gt;=0,BX$5-$A61&lt;=19),INDEX(HU_ord,BX$5-$A61+1)*$B61,0)</f>
        <v>0.0</v>
      </c>
      <c r="BY61" s="14">
        <f>IF(AND(BY$5-$A61&gt;=0,BY$5-$A61&lt;=19),INDEX(HU_ord,BY$5-$A61+1)*$B61,0)</f>
        <v>0.0</v>
      </c>
      <c r="BZ61" s="14">
        <f>IF(AND(BZ$5-$A61&gt;=0,BZ$5-$A61&lt;=19),INDEX(HU_ord,BZ$5-$A61+1)*$B61,0)</f>
        <v>0.0</v>
      </c>
      <c r="CA61" s="14">
        <f>IF(AND(CA$5-$A61&gt;=0,CA$5-$A61&lt;=19),INDEX(HU_ord,CA$5-$A61+1)*$B61,0)</f>
        <v>0.0</v>
      </c>
      <c r="CB61" s="14">
        <f>IF(AND(CB$5-$A61&gt;=0,CB$5-$A61&lt;=19),INDEX(HU_ord,CB$5-$A61+1)*$B61,0)</f>
        <v>0.0</v>
      </c>
      <c r="CC61" s="14">
        <f>IF(AND(CC$5-$A61&gt;=0,CC$5-$A61&lt;=19),INDEX(HU_ord,CC$5-$A61+1)*$B61,0)</f>
        <v>0.0</v>
      </c>
      <c r="CD61" s="14">
        <f>IF(AND(CD$5-$A61&gt;=0,CD$5-$A61&lt;=19),INDEX(HU_ord,CD$5-$A61+1)*$B61,0)</f>
        <v>0.0</v>
      </c>
      <c r="CE61" s="14">
        <f>IF(AND(CE$5-$A61&gt;=0,CE$5-$A61&lt;=19),INDEX(HU_ord,CE$5-$A61+1)*$B61,0)</f>
        <v>0.0</v>
      </c>
      <c r="CF61" s="14">
        <f>IF(AND(CF$5-$A61&gt;=0,CF$5-$A61&lt;=19),INDEX(HU_ord,CF$5-$A61+1)*$B61,0)</f>
        <v>0.0</v>
      </c>
      <c r="CG61" s="14">
        <f>IF(AND(CG$5-$A61&gt;=0,CG$5-$A61&lt;=19),INDEX(HU_ord,CG$5-$A61+1)*$B61,0)</f>
        <v>0.0</v>
      </c>
      <c r="CH61" s="14">
        <f>IF(AND(CH$5-$A61&gt;=0,CH$5-$A61&lt;=19),INDEX(HU_ord,CH$5-$A61+1)*$B61,0)</f>
        <v>0.0</v>
      </c>
      <c r="CI61" s="14">
        <f>IF(AND(CI$5-$A61&gt;=0,CI$5-$A61&lt;=19),INDEX(HU_ord,CI$5-$A61+1)*$B61,0)</f>
        <v>0.0</v>
      </c>
      <c r="CJ61" s="14">
        <f>IF(AND(CJ$5-$A61&gt;=0,CJ$5-$A61&lt;=19),INDEX(HU_ord,CJ$5-$A61+1)*$B61,0)</f>
        <v>0.0</v>
      </c>
      <c r="CK61" s="14">
        <f>IF(AND(CK$5-$A61&gt;=0,CK$5-$A61&lt;=19),INDEX(HU_ord,CK$5-$A61+1)*$B61,0)</f>
        <v>0.0</v>
      </c>
      <c r="CL61" s="14">
        <f>IF(AND(CL$5-$A61&gt;=0,CL$5-$A61&lt;=19),INDEX(HU_ord,CL$5-$A61+1)*$B61,0)</f>
        <v>0.0</v>
      </c>
      <c r="CM61" s="14">
        <f>IF(AND(CM$5-$A61&gt;=0,CM$5-$A61&lt;=19),INDEX(HU_ord,CM$5-$A61+1)*$B61,0)</f>
        <v>0.0</v>
      </c>
      <c r="CN61" s="14">
        <f>IF(AND(CN$5-$A61&gt;=0,CN$5-$A61&lt;=19),INDEX(HU_ord,CN$5-$A61+1)*$B61,0)</f>
        <v>0.0</v>
      </c>
      <c r="CO61" s="14">
        <f>IF(AND(CO$5-$A61&gt;=0,CO$5-$A61&lt;=19),INDEX(HU_ord,CO$5-$A61+1)*$B61,0)</f>
        <v>0.0</v>
      </c>
      <c r="CP61" s="14">
        <f>IF(AND(CP$5-$A61&gt;=0,CP$5-$A61&lt;=19),INDEX(HU_ord,CP$5-$A61+1)*$B61,0)</f>
        <v>0.0</v>
      </c>
      <c r="CQ61" s="14">
        <f>IF(AND(CQ$5-$A61&gt;=0,CQ$5-$A61&lt;=19),INDEX(HU_ord,CQ$5-$A61+1)*$B61,0)</f>
        <v>0.0</v>
      </c>
      <c r="CR61" s="14">
        <f>IF(AND(CR$5-$A61&gt;=0,CR$5-$A61&lt;=19),INDEX(HU_ord,CR$5-$A61+1)*$B61,0)</f>
        <v>0.0</v>
      </c>
      <c r="CS61" s="14">
        <f>IF(AND(CS$5-$A61&gt;=0,CS$5-$A61&lt;=19),INDEX(HU_ord,CS$5-$A61+1)*$B61,0)</f>
        <v>0.0</v>
      </c>
      <c r="CT61" s="14">
        <f>IF(AND(CT$5-$A61&gt;=0,CT$5-$A61&lt;=19),INDEX(HU_ord,CT$5-$A61+1)*$B61,0)</f>
        <v>0.0</v>
      </c>
      <c r="CU61" s="14">
        <f>IF(AND(CU$5-$A61&gt;=0,CU$5-$A61&lt;=19),INDEX(HU_ord,CU$5-$A61+1)*$B61,0)</f>
        <v>0.0</v>
      </c>
      <c r="CV61" s="14">
        <f>IF(AND(CV$5-$A61&gt;=0,CV$5-$A61&lt;=19),INDEX(HU_ord,CV$5-$A61+1)*$B61,0)</f>
        <v>0.0</v>
      </c>
      <c r="CW61" s="14">
        <f>IF(AND(CW$5-$A61&gt;=0,CW$5-$A61&lt;=19),INDEX(HU_ord,CW$5-$A61+1)*$B61,0)</f>
        <v>0.0</v>
      </c>
      <c r="CX61" s="14">
        <f>IF(AND(CX$5-$A61&gt;=0,CX$5-$A61&lt;=19),INDEX(HU_ord,CX$5-$A61+1)*$B61,0)</f>
        <v>0.0</v>
      </c>
      <c r="CY61" s="14">
        <f>IF(AND(CY$5-$A61&gt;=0,CY$5-$A61&lt;=19),INDEX(HU_ord,CY$5-$A61+1)*$B61,0)</f>
        <v>0.0</v>
      </c>
      <c r="CZ61" s="14">
        <f>IF(AND(CZ$5-$A61&gt;=0,CZ$5-$A61&lt;=19),INDEX(HU_ord,CZ$5-$A61+1)*$B61,0)</f>
        <v>0.0</v>
      </c>
      <c r="DA61" s="14">
        <f>IF(AND(DA$5-$A61&gt;=0,DA$5-$A61&lt;=19),INDEX(HU_ord,DA$5-$A61+1)*$B61,0)</f>
        <v>0.0</v>
      </c>
      <c r="DB61" s="14">
        <f>IF(AND(DB$5-$A61&gt;=0,DB$5-$A61&lt;=19),INDEX(HU_ord,DB$5-$A61+1)*$B61,0)</f>
        <v>0.0</v>
      </c>
      <c r="DC61" s="14">
        <f>IF(AND(DC$5-$A61&gt;=0,DC$5-$A61&lt;=19),INDEX(HU_ord,DC$5-$A61+1)*$B61,0)</f>
        <v>0.0</v>
      </c>
      <c r="DD61" s="14">
        <f>IF(AND(DD$5-$A61&gt;=0,DD$5-$A61&lt;=19),INDEX(HU_ord,DD$5-$A61+1)*$B61,0)</f>
        <v>0.0</v>
      </c>
      <c r="DE61" s="14">
        <f>IF(AND(DE$5-$A61&gt;=0,DE$5-$A61&lt;=19),INDEX(HU_ord,DE$5-$A61+1)*$B61,0)</f>
        <v>0.0</v>
      </c>
      <c r="DF61" s="14">
        <f>IF(AND(DF$5-$A61&gt;=0,DF$5-$A61&lt;=19),INDEX(HU_ord,DF$5-$A61+1)*$B61,0)</f>
        <v>0.0</v>
      </c>
      <c r="DG61" s="14">
        <f>IF(AND(DG$5-$A61&gt;=0,DG$5-$A61&lt;=19),INDEX(HU_ord,DG$5-$A61+1)*$B61,0)</f>
        <v>0.0</v>
      </c>
      <c r="DH61" s="14">
        <f>IF(AND(DH$5-$A61&gt;=0,DH$5-$A61&lt;=19),INDEX(HU_ord,DH$5-$A61+1)*$B61,0)</f>
        <v>0.0</v>
      </c>
      <c r="DI61" s="14">
        <f>IF(AND(DI$5-$A61&gt;=0,DI$5-$A61&lt;=19),INDEX(HU_ord,DI$5-$A61+1)*$B61,0)</f>
        <v>0.0</v>
      </c>
    </row>
    <row r="62" spans="1:113">
      <c r="A62">
        <v>56</v>
      </c>
      <c r="B62" s="10">
        <f>Serie_horaria!N58</f>
        <v>0.0</v>
      </c>
      <c r="C62" s="14">
        <f>IF(AND(C$5-$A62&gt;=0,C$5-$A62&lt;=19),INDEX(HU_ord,C$5-$A62+1)*$B62,0)</f>
        <v>0.0</v>
      </c>
      <c r="D62" s="14">
        <f>IF(AND(D$5-$A62&gt;=0,D$5-$A62&lt;=19),INDEX(HU_ord,D$5-$A62+1)*$B62,0)</f>
        <v>0.0</v>
      </c>
      <c r="E62" s="14">
        <f>IF(AND(E$5-$A62&gt;=0,E$5-$A62&lt;=19),INDEX(HU_ord,E$5-$A62+1)*$B62,0)</f>
        <v>0.0</v>
      </c>
      <c r="F62" s="14">
        <f>IF(AND(F$5-$A62&gt;=0,F$5-$A62&lt;=19),INDEX(HU_ord,F$5-$A62+1)*$B62,0)</f>
        <v>0.0</v>
      </c>
      <c r="G62" s="14">
        <f>IF(AND(G$5-$A62&gt;=0,G$5-$A62&lt;=19),INDEX(HU_ord,G$5-$A62+1)*$B62,0)</f>
        <v>0.0</v>
      </c>
      <c r="H62" s="14">
        <f>IF(AND(H$5-$A62&gt;=0,H$5-$A62&lt;=19),INDEX(HU_ord,H$5-$A62+1)*$B62,0)</f>
        <v>0.0</v>
      </c>
      <c r="I62" s="14">
        <f>IF(AND(I$5-$A62&gt;=0,I$5-$A62&lt;=19),INDEX(HU_ord,I$5-$A62+1)*$B62,0)</f>
        <v>0.0</v>
      </c>
      <c r="J62" s="14">
        <f>IF(AND(J$5-$A62&gt;=0,J$5-$A62&lt;=19),INDEX(HU_ord,J$5-$A62+1)*$B62,0)</f>
        <v>0.0</v>
      </c>
      <c r="K62" s="14">
        <f>IF(AND(K$5-$A62&gt;=0,K$5-$A62&lt;=19),INDEX(HU_ord,K$5-$A62+1)*$B62,0)</f>
        <v>0.0</v>
      </c>
      <c r="L62" s="14">
        <f>IF(AND(L$5-$A62&gt;=0,L$5-$A62&lt;=19),INDEX(HU_ord,L$5-$A62+1)*$B62,0)</f>
        <v>0.0</v>
      </c>
      <c r="M62" s="14">
        <f>IF(AND(M$5-$A62&gt;=0,M$5-$A62&lt;=19),INDEX(HU_ord,M$5-$A62+1)*$B62,0)</f>
        <v>0.0</v>
      </c>
      <c r="N62" s="14">
        <f>IF(AND(N$5-$A62&gt;=0,N$5-$A62&lt;=19),INDEX(HU_ord,N$5-$A62+1)*$B62,0)</f>
        <v>0.0</v>
      </c>
      <c r="O62" s="14">
        <f>IF(AND(O$5-$A62&gt;=0,O$5-$A62&lt;=19),INDEX(HU_ord,O$5-$A62+1)*$B62,0)</f>
        <v>0.0</v>
      </c>
      <c r="P62" s="14">
        <f>IF(AND(P$5-$A62&gt;=0,P$5-$A62&lt;=19),INDEX(HU_ord,P$5-$A62+1)*$B62,0)</f>
        <v>0.0</v>
      </c>
      <c r="Q62" s="14">
        <f>IF(AND(Q$5-$A62&gt;=0,Q$5-$A62&lt;=19),INDEX(HU_ord,Q$5-$A62+1)*$B62,0)</f>
        <v>0.0</v>
      </c>
      <c r="R62" s="14">
        <f>IF(AND(R$5-$A62&gt;=0,R$5-$A62&lt;=19),INDEX(HU_ord,R$5-$A62+1)*$B62,0)</f>
        <v>0.0</v>
      </c>
      <c r="S62" s="14">
        <f>IF(AND(S$5-$A62&gt;=0,S$5-$A62&lt;=19),INDEX(HU_ord,S$5-$A62+1)*$B62,0)</f>
        <v>0.0</v>
      </c>
      <c r="T62" s="14">
        <f>IF(AND(T$5-$A62&gt;=0,T$5-$A62&lt;=19),INDEX(HU_ord,T$5-$A62+1)*$B62,0)</f>
        <v>0.0</v>
      </c>
      <c r="U62" s="14">
        <f>IF(AND(U$5-$A62&gt;=0,U$5-$A62&lt;=19),INDEX(HU_ord,U$5-$A62+1)*$B62,0)</f>
        <v>0.0</v>
      </c>
      <c r="V62" s="14">
        <f>IF(AND(V$5-$A62&gt;=0,V$5-$A62&lt;=19),INDEX(HU_ord,V$5-$A62+1)*$B62,0)</f>
        <v>0.0</v>
      </c>
      <c r="W62" s="14">
        <f>IF(AND(W$5-$A62&gt;=0,W$5-$A62&lt;=19),INDEX(HU_ord,W$5-$A62+1)*$B62,0)</f>
        <v>0.0</v>
      </c>
      <c r="X62" s="14">
        <f>IF(AND(X$5-$A62&gt;=0,X$5-$A62&lt;=19),INDEX(HU_ord,X$5-$A62+1)*$B62,0)</f>
        <v>0.0</v>
      </c>
      <c r="Y62" s="14">
        <f>IF(AND(Y$5-$A62&gt;=0,Y$5-$A62&lt;=19),INDEX(HU_ord,Y$5-$A62+1)*$B62,0)</f>
        <v>0.0</v>
      </c>
      <c r="Z62" s="14">
        <f>IF(AND(Z$5-$A62&gt;=0,Z$5-$A62&lt;=19),INDEX(HU_ord,Z$5-$A62+1)*$B62,0)</f>
        <v>0.0</v>
      </c>
      <c r="AA62" s="14">
        <f>IF(AND(AA$5-$A62&gt;=0,AA$5-$A62&lt;=19),INDEX(HU_ord,AA$5-$A62+1)*$B62,0)</f>
        <v>0.0</v>
      </c>
      <c r="AB62" s="14">
        <f>IF(AND(AB$5-$A62&gt;=0,AB$5-$A62&lt;=19),INDEX(HU_ord,AB$5-$A62+1)*$B62,0)</f>
        <v>0.0</v>
      </c>
      <c r="AC62" s="14">
        <f>IF(AND(AC$5-$A62&gt;=0,AC$5-$A62&lt;=19),INDEX(HU_ord,AC$5-$A62+1)*$B62,0)</f>
        <v>0.0</v>
      </c>
      <c r="AD62" s="14">
        <f>IF(AND(AD$5-$A62&gt;=0,AD$5-$A62&lt;=19),INDEX(HU_ord,AD$5-$A62+1)*$B62,0)</f>
        <v>0.0</v>
      </c>
      <c r="AE62" s="14">
        <f>IF(AND(AE$5-$A62&gt;=0,AE$5-$A62&lt;=19),INDEX(HU_ord,AE$5-$A62+1)*$B62,0)</f>
        <v>0.0</v>
      </c>
      <c r="AF62" s="14">
        <f>IF(AND(AF$5-$A62&gt;=0,AF$5-$A62&lt;=19),INDEX(HU_ord,AF$5-$A62+1)*$B62,0)</f>
        <v>0.0</v>
      </c>
      <c r="AG62" s="14">
        <f>IF(AND(AG$5-$A62&gt;=0,AG$5-$A62&lt;=19),INDEX(HU_ord,AG$5-$A62+1)*$B62,0)</f>
        <v>0.0</v>
      </c>
      <c r="AH62" s="14">
        <f>IF(AND(AH$5-$A62&gt;=0,AH$5-$A62&lt;=19),INDEX(HU_ord,AH$5-$A62+1)*$B62,0)</f>
        <v>0.0</v>
      </c>
      <c r="AI62" s="14">
        <f>IF(AND(AI$5-$A62&gt;=0,AI$5-$A62&lt;=19),INDEX(HU_ord,AI$5-$A62+1)*$B62,0)</f>
        <v>0.0</v>
      </c>
      <c r="AJ62" s="14">
        <f>IF(AND(AJ$5-$A62&gt;=0,AJ$5-$A62&lt;=19),INDEX(HU_ord,AJ$5-$A62+1)*$B62,0)</f>
        <v>0.0</v>
      </c>
      <c r="AK62" s="14">
        <f>IF(AND(AK$5-$A62&gt;=0,AK$5-$A62&lt;=19),INDEX(HU_ord,AK$5-$A62+1)*$B62,0)</f>
        <v>0.0</v>
      </c>
      <c r="AL62" s="14">
        <f>IF(AND(AL$5-$A62&gt;=0,AL$5-$A62&lt;=19),INDEX(HU_ord,AL$5-$A62+1)*$B62,0)</f>
        <v>0.0</v>
      </c>
      <c r="AM62" s="14">
        <f>IF(AND(AM$5-$A62&gt;=0,AM$5-$A62&lt;=19),INDEX(HU_ord,AM$5-$A62+1)*$B62,0)</f>
        <v>0.0</v>
      </c>
      <c r="AN62" s="14">
        <f>IF(AND(AN$5-$A62&gt;=0,AN$5-$A62&lt;=19),INDEX(HU_ord,AN$5-$A62+1)*$B62,0)</f>
        <v>0.0</v>
      </c>
      <c r="AO62" s="14">
        <f>IF(AND(AO$5-$A62&gt;=0,AO$5-$A62&lt;=19),INDEX(HU_ord,AO$5-$A62+1)*$B62,0)</f>
        <v>0.0</v>
      </c>
      <c r="AP62" s="14">
        <f>IF(AND(AP$5-$A62&gt;=0,AP$5-$A62&lt;=19),INDEX(HU_ord,AP$5-$A62+1)*$B62,0)</f>
        <v>0.0</v>
      </c>
      <c r="AQ62" s="14">
        <f>IF(AND(AQ$5-$A62&gt;=0,AQ$5-$A62&lt;=19),INDEX(HU_ord,AQ$5-$A62+1)*$B62,0)</f>
        <v>0.0</v>
      </c>
      <c r="AR62" s="14">
        <f>IF(AND(AR$5-$A62&gt;=0,AR$5-$A62&lt;=19),INDEX(HU_ord,AR$5-$A62+1)*$B62,0)</f>
        <v>0.0</v>
      </c>
      <c r="AS62" s="14">
        <f>IF(AND(AS$5-$A62&gt;=0,AS$5-$A62&lt;=19),INDEX(HU_ord,AS$5-$A62+1)*$B62,0)</f>
        <v>0.0</v>
      </c>
      <c r="AT62" s="14">
        <f>IF(AND(AT$5-$A62&gt;=0,AT$5-$A62&lt;=19),INDEX(HU_ord,AT$5-$A62+1)*$B62,0)</f>
        <v>0.0</v>
      </c>
      <c r="AU62" s="14">
        <f>IF(AND(AU$5-$A62&gt;=0,AU$5-$A62&lt;=19),INDEX(HU_ord,AU$5-$A62+1)*$B62,0)</f>
        <v>0.0</v>
      </c>
      <c r="AV62" s="14">
        <f>IF(AND(AV$5-$A62&gt;=0,AV$5-$A62&lt;=19),INDEX(HU_ord,AV$5-$A62+1)*$B62,0)</f>
        <v>0.0</v>
      </c>
      <c r="AW62" s="14">
        <f>IF(AND(AW$5-$A62&gt;=0,AW$5-$A62&lt;=19),INDEX(HU_ord,AW$5-$A62+1)*$B62,0)</f>
        <v>0.0</v>
      </c>
      <c r="AX62" s="14">
        <f>IF(AND(AX$5-$A62&gt;=0,AX$5-$A62&lt;=19),INDEX(HU_ord,AX$5-$A62+1)*$B62,0)</f>
        <v>0.0</v>
      </c>
      <c r="AY62" s="14">
        <f>IF(AND(AY$5-$A62&gt;=0,AY$5-$A62&lt;=19),INDEX(HU_ord,AY$5-$A62+1)*$B62,0)</f>
        <v>0.0</v>
      </c>
      <c r="AZ62" s="14">
        <f>IF(AND(AZ$5-$A62&gt;=0,AZ$5-$A62&lt;=19),INDEX(HU_ord,AZ$5-$A62+1)*$B62,0)</f>
        <v>0.0</v>
      </c>
      <c r="BA62" s="14">
        <f>IF(AND(BA$5-$A62&gt;=0,BA$5-$A62&lt;=19),INDEX(HU_ord,BA$5-$A62+1)*$B62,0)</f>
        <v>0.0</v>
      </c>
      <c r="BB62" s="14">
        <f>IF(AND(BB$5-$A62&gt;=0,BB$5-$A62&lt;=19),INDEX(HU_ord,BB$5-$A62+1)*$B62,0)</f>
        <v>0.0</v>
      </c>
      <c r="BC62" s="14">
        <f>IF(AND(BC$5-$A62&gt;=0,BC$5-$A62&lt;=19),INDEX(HU_ord,BC$5-$A62+1)*$B62,0)</f>
        <v>0.0</v>
      </c>
      <c r="BD62" s="14">
        <f>IF(AND(BD$5-$A62&gt;=0,BD$5-$A62&lt;=19),INDEX(HU_ord,BD$5-$A62+1)*$B62,0)</f>
        <v>0.0</v>
      </c>
      <c r="BE62" s="14">
        <f>IF(AND(BE$5-$A62&gt;=0,BE$5-$A62&lt;=19),INDEX(HU_ord,BE$5-$A62+1)*$B62,0)</f>
        <v>0.0</v>
      </c>
      <c r="BF62" s="14">
        <f>IF(AND(BF$5-$A62&gt;=0,BF$5-$A62&lt;=19),INDEX(HU_ord,BF$5-$A62+1)*$B62,0)</f>
        <v>0.0</v>
      </c>
      <c r="BG62" s="14">
        <f>IF(AND(BG$5-$A62&gt;=0,BG$5-$A62&lt;=19),INDEX(HU_ord,BG$5-$A62+1)*$B62,0)</f>
        <v>0.0</v>
      </c>
      <c r="BH62" s="14">
        <f>IF(AND(BH$5-$A62&gt;=0,BH$5-$A62&lt;=19),INDEX(HU_ord,BH$5-$A62+1)*$B62,0)</f>
        <v>0.0</v>
      </c>
      <c r="BI62" s="14">
        <f>IF(AND(BI$5-$A62&gt;=0,BI$5-$A62&lt;=19),INDEX(HU_ord,BI$5-$A62+1)*$B62,0)</f>
        <v>0.0</v>
      </c>
      <c r="BJ62" s="14">
        <f>IF(AND(BJ$5-$A62&gt;=0,BJ$5-$A62&lt;=19),INDEX(HU_ord,BJ$5-$A62+1)*$B62,0)</f>
        <v>0.0</v>
      </c>
      <c r="BK62" s="14">
        <f>IF(AND(BK$5-$A62&gt;=0,BK$5-$A62&lt;=19),INDEX(HU_ord,BK$5-$A62+1)*$B62,0)</f>
        <v>0.0</v>
      </c>
      <c r="BL62" s="14">
        <f>IF(AND(BL$5-$A62&gt;=0,BL$5-$A62&lt;=19),INDEX(HU_ord,BL$5-$A62+1)*$B62,0)</f>
        <v>0.0</v>
      </c>
      <c r="BM62" s="14">
        <f>IF(AND(BM$5-$A62&gt;=0,BM$5-$A62&lt;=19),INDEX(HU_ord,BM$5-$A62+1)*$B62,0)</f>
        <v>0.0</v>
      </c>
      <c r="BN62" s="14">
        <f>IF(AND(BN$5-$A62&gt;=0,BN$5-$A62&lt;=19),INDEX(HU_ord,BN$5-$A62+1)*$B62,0)</f>
        <v>0.0</v>
      </c>
      <c r="BO62" s="14">
        <f>IF(AND(BO$5-$A62&gt;=0,BO$5-$A62&lt;=19),INDEX(HU_ord,BO$5-$A62+1)*$B62,0)</f>
        <v>0.0</v>
      </c>
      <c r="BP62" s="14">
        <f>IF(AND(BP$5-$A62&gt;=0,BP$5-$A62&lt;=19),INDEX(HU_ord,BP$5-$A62+1)*$B62,0)</f>
        <v>0.0</v>
      </c>
      <c r="BQ62" s="14">
        <f>IF(AND(BQ$5-$A62&gt;=0,BQ$5-$A62&lt;=19),INDEX(HU_ord,BQ$5-$A62+1)*$B62,0)</f>
        <v>0.0</v>
      </c>
      <c r="BR62" s="14">
        <f>IF(AND(BR$5-$A62&gt;=0,BR$5-$A62&lt;=19),INDEX(HU_ord,BR$5-$A62+1)*$B62,0)</f>
        <v>0.0</v>
      </c>
      <c r="BS62" s="14">
        <f>IF(AND(BS$5-$A62&gt;=0,BS$5-$A62&lt;=19),INDEX(HU_ord,BS$5-$A62+1)*$B62,0)</f>
        <v>0.0</v>
      </c>
      <c r="BT62" s="14">
        <f>IF(AND(BT$5-$A62&gt;=0,BT$5-$A62&lt;=19),INDEX(HU_ord,BT$5-$A62+1)*$B62,0)</f>
        <v>0.0</v>
      </c>
      <c r="BU62" s="14">
        <f>IF(AND(BU$5-$A62&gt;=0,BU$5-$A62&lt;=19),INDEX(HU_ord,BU$5-$A62+1)*$B62,0)</f>
        <v>0.0</v>
      </c>
      <c r="BV62" s="14">
        <f>IF(AND(BV$5-$A62&gt;=0,BV$5-$A62&lt;=19),INDEX(HU_ord,BV$5-$A62+1)*$B62,0)</f>
        <v>0.0</v>
      </c>
      <c r="BW62" s="14">
        <f>IF(AND(BW$5-$A62&gt;=0,BW$5-$A62&lt;=19),INDEX(HU_ord,BW$5-$A62+1)*$B62,0)</f>
        <v>0.0</v>
      </c>
      <c r="BX62" s="14">
        <f>IF(AND(BX$5-$A62&gt;=0,BX$5-$A62&lt;=19),INDEX(HU_ord,BX$5-$A62+1)*$B62,0)</f>
        <v>0.0</v>
      </c>
      <c r="BY62" s="14">
        <f>IF(AND(BY$5-$A62&gt;=0,BY$5-$A62&lt;=19),INDEX(HU_ord,BY$5-$A62+1)*$B62,0)</f>
        <v>0.0</v>
      </c>
      <c r="BZ62" s="14">
        <f>IF(AND(BZ$5-$A62&gt;=0,BZ$5-$A62&lt;=19),INDEX(HU_ord,BZ$5-$A62+1)*$B62,0)</f>
        <v>0.0</v>
      </c>
      <c r="CA62" s="14">
        <f>IF(AND(CA$5-$A62&gt;=0,CA$5-$A62&lt;=19),INDEX(HU_ord,CA$5-$A62+1)*$B62,0)</f>
        <v>0.0</v>
      </c>
      <c r="CB62" s="14">
        <f>IF(AND(CB$5-$A62&gt;=0,CB$5-$A62&lt;=19),INDEX(HU_ord,CB$5-$A62+1)*$B62,0)</f>
        <v>0.0</v>
      </c>
      <c r="CC62" s="14">
        <f>IF(AND(CC$5-$A62&gt;=0,CC$5-$A62&lt;=19),INDEX(HU_ord,CC$5-$A62+1)*$B62,0)</f>
        <v>0.0</v>
      </c>
      <c r="CD62" s="14">
        <f>IF(AND(CD$5-$A62&gt;=0,CD$5-$A62&lt;=19),INDEX(HU_ord,CD$5-$A62+1)*$B62,0)</f>
        <v>0.0</v>
      </c>
      <c r="CE62" s="14">
        <f>IF(AND(CE$5-$A62&gt;=0,CE$5-$A62&lt;=19),INDEX(HU_ord,CE$5-$A62+1)*$B62,0)</f>
        <v>0.0</v>
      </c>
      <c r="CF62" s="14">
        <f>IF(AND(CF$5-$A62&gt;=0,CF$5-$A62&lt;=19),INDEX(HU_ord,CF$5-$A62+1)*$B62,0)</f>
        <v>0.0</v>
      </c>
      <c r="CG62" s="14">
        <f>IF(AND(CG$5-$A62&gt;=0,CG$5-$A62&lt;=19),INDEX(HU_ord,CG$5-$A62+1)*$B62,0)</f>
        <v>0.0</v>
      </c>
      <c r="CH62" s="14">
        <f>IF(AND(CH$5-$A62&gt;=0,CH$5-$A62&lt;=19),INDEX(HU_ord,CH$5-$A62+1)*$B62,0)</f>
        <v>0.0</v>
      </c>
      <c r="CI62" s="14">
        <f>IF(AND(CI$5-$A62&gt;=0,CI$5-$A62&lt;=19),INDEX(HU_ord,CI$5-$A62+1)*$B62,0)</f>
        <v>0.0</v>
      </c>
      <c r="CJ62" s="14">
        <f>IF(AND(CJ$5-$A62&gt;=0,CJ$5-$A62&lt;=19),INDEX(HU_ord,CJ$5-$A62+1)*$B62,0)</f>
        <v>0.0</v>
      </c>
      <c r="CK62" s="14">
        <f>IF(AND(CK$5-$A62&gt;=0,CK$5-$A62&lt;=19),INDEX(HU_ord,CK$5-$A62+1)*$B62,0)</f>
        <v>0.0</v>
      </c>
      <c r="CL62" s="14">
        <f>IF(AND(CL$5-$A62&gt;=0,CL$5-$A62&lt;=19),INDEX(HU_ord,CL$5-$A62+1)*$B62,0)</f>
        <v>0.0</v>
      </c>
      <c r="CM62" s="14">
        <f>IF(AND(CM$5-$A62&gt;=0,CM$5-$A62&lt;=19),INDEX(HU_ord,CM$5-$A62+1)*$B62,0)</f>
        <v>0.0</v>
      </c>
      <c r="CN62" s="14">
        <f>IF(AND(CN$5-$A62&gt;=0,CN$5-$A62&lt;=19),INDEX(HU_ord,CN$5-$A62+1)*$B62,0)</f>
        <v>0.0</v>
      </c>
      <c r="CO62" s="14">
        <f>IF(AND(CO$5-$A62&gt;=0,CO$5-$A62&lt;=19),INDEX(HU_ord,CO$5-$A62+1)*$B62,0)</f>
        <v>0.0</v>
      </c>
      <c r="CP62" s="14">
        <f>IF(AND(CP$5-$A62&gt;=0,CP$5-$A62&lt;=19),INDEX(HU_ord,CP$5-$A62+1)*$B62,0)</f>
        <v>0.0</v>
      </c>
      <c r="CQ62" s="14">
        <f>IF(AND(CQ$5-$A62&gt;=0,CQ$5-$A62&lt;=19),INDEX(HU_ord,CQ$5-$A62+1)*$B62,0)</f>
        <v>0.0</v>
      </c>
      <c r="CR62" s="14">
        <f>IF(AND(CR$5-$A62&gt;=0,CR$5-$A62&lt;=19),INDEX(HU_ord,CR$5-$A62+1)*$B62,0)</f>
        <v>0.0</v>
      </c>
      <c r="CS62" s="14">
        <f>IF(AND(CS$5-$A62&gt;=0,CS$5-$A62&lt;=19),INDEX(HU_ord,CS$5-$A62+1)*$B62,0)</f>
        <v>0.0</v>
      </c>
      <c r="CT62" s="14">
        <f>IF(AND(CT$5-$A62&gt;=0,CT$5-$A62&lt;=19),INDEX(HU_ord,CT$5-$A62+1)*$B62,0)</f>
        <v>0.0</v>
      </c>
      <c r="CU62" s="14">
        <f>IF(AND(CU$5-$A62&gt;=0,CU$5-$A62&lt;=19),INDEX(HU_ord,CU$5-$A62+1)*$B62,0)</f>
        <v>0.0</v>
      </c>
      <c r="CV62" s="14">
        <f>IF(AND(CV$5-$A62&gt;=0,CV$5-$A62&lt;=19),INDEX(HU_ord,CV$5-$A62+1)*$B62,0)</f>
        <v>0.0</v>
      </c>
      <c r="CW62" s="14">
        <f>IF(AND(CW$5-$A62&gt;=0,CW$5-$A62&lt;=19),INDEX(HU_ord,CW$5-$A62+1)*$B62,0)</f>
        <v>0.0</v>
      </c>
      <c r="CX62" s="14">
        <f>IF(AND(CX$5-$A62&gt;=0,CX$5-$A62&lt;=19),INDEX(HU_ord,CX$5-$A62+1)*$B62,0)</f>
        <v>0.0</v>
      </c>
      <c r="CY62" s="14">
        <f>IF(AND(CY$5-$A62&gt;=0,CY$5-$A62&lt;=19),INDEX(HU_ord,CY$5-$A62+1)*$B62,0)</f>
        <v>0.0</v>
      </c>
      <c r="CZ62" s="14">
        <f>IF(AND(CZ$5-$A62&gt;=0,CZ$5-$A62&lt;=19),INDEX(HU_ord,CZ$5-$A62+1)*$B62,0)</f>
        <v>0.0</v>
      </c>
      <c r="DA62" s="14">
        <f>IF(AND(DA$5-$A62&gt;=0,DA$5-$A62&lt;=19),INDEX(HU_ord,DA$5-$A62+1)*$B62,0)</f>
        <v>0.0</v>
      </c>
      <c r="DB62" s="14">
        <f>IF(AND(DB$5-$A62&gt;=0,DB$5-$A62&lt;=19),INDEX(HU_ord,DB$5-$A62+1)*$B62,0)</f>
        <v>0.0</v>
      </c>
      <c r="DC62" s="14">
        <f>IF(AND(DC$5-$A62&gt;=0,DC$5-$A62&lt;=19),INDEX(HU_ord,DC$5-$A62+1)*$B62,0)</f>
        <v>0.0</v>
      </c>
      <c r="DD62" s="14">
        <f>IF(AND(DD$5-$A62&gt;=0,DD$5-$A62&lt;=19),INDEX(HU_ord,DD$5-$A62+1)*$B62,0)</f>
        <v>0.0</v>
      </c>
      <c r="DE62" s="14">
        <f>IF(AND(DE$5-$A62&gt;=0,DE$5-$A62&lt;=19),INDEX(HU_ord,DE$5-$A62+1)*$B62,0)</f>
        <v>0.0</v>
      </c>
      <c r="DF62" s="14">
        <f>IF(AND(DF$5-$A62&gt;=0,DF$5-$A62&lt;=19),INDEX(HU_ord,DF$5-$A62+1)*$B62,0)</f>
        <v>0.0</v>
      </c>
      <c r="DG62" s="14">
        <f>IF(AND(DG$5-$A62&gt;=0,DG$5-$A62&lt;=19),INDEX(HU_ord,DG$5-$A62+1)*$B62,0)</f>
        <v>0.0</v>
      </c>
      <c r="DH62" s="14">
        <f>IF(AND(DH$5-$A62&gt;=0,DH$5-$A62&lt;=19),INDEX(HU_ord,DH$5-$A62+1)*$B62,0)</f>
        <v>0.0</v>
      </c>
      <c r="DI62" s="14">
        <f>IF(AND(DI$5-$A62&gt;=0,DI$5-$A62&lt;=19),INDEX(HU_ord,DI$5-$A62+1)*$B62,0)</f>
        <v>0.0</v>
      </c>
    </row>
    <row r="63" spans="1:113">
      <c r="A63">
        <v>57</v>
      </c>
      <c r="B63" s="10">
        <f>Serie_horaria!N59</f>
        <v>0.0</v>
      </c>
      <c r="C63" s="14">
        <f>IF(AND(C$5-$A63&gt;=0,C$5-$A63&lt;=19),INDEX(HU_ord,C$5-$A63+1)*$B63,0)</f>
        <v>0.0</v>
      </c>
      <c r="D63" s="14">
        <f>IF(AND(D$5-$A63&gt;=0,D$5-$A63&lt;=19),INDEX(HU_ord,D$5-$A63+1)*$B63,0)</f>
        <v>0.0</v>
      </c>
      <c r="E63" s="14">
        <f>IF(AND(E$5-$A63&gt;=0,E$5-$A63&lt;=19),INDEX(HU_ord,E$5-$A63+1)*$B63,0)</f>
        <v>0.0</v>
      </c>
      <c r="F63" s="14">
        <f>IF(AND(F$5-$A63&gt;=0,F$5-$A63&lt;=19),INDEX(HU_ord,F$5-$A63+1)*$B63,0)</f>
        <v>0.0</v>
      </c>
      <c r="G63" s="14">
        <f>IF(AND(G$5-$A63&gt;=0,G$5-$A63&lt;=19),INDEX(HU_ord,G$5-$A63+1)*$B63,0)</f>
        <v>0.0</v>
      </c>
      <c r="H63" s="14">
        <f>IF(AND(H$5-$A63&gt;=0,H$5-$A63&lt;=19),INDEX(HU_ord,H$5-$A63+1)*$B63,0)</f>
        <v>0.0</v>
      </c>
      <c r="I63" s="14">
        <f>IF(AND(I$5-$A63&gt;=0,I$5-$A63&lt;=19),INDEX(HU_ord,I$5-$A63+1)*$B63,0)</f>
        <v>0.0</v>
      </c>
      <c r="J63" s="14">
        <f>IF(AND(J$5-$A63&gt;=0,J$5-$A63&lt;=19),INDEX(HU_ord,J$5-$A63+1)*$B63,0)</f>
        <v>0.0</v>
      </c>
      <c r="K63" s="14">
        <f>IF(AND(K$5-$A63&gt;=0,K$5-$A63&lt;=19),INDEX(HU_ord,K$5-$A63+1)*$B63,0)</f>
        <v>0.0</v>
      </c>
      <c r="L63" s="14">
        <f>IF(AND(L$5-$A63&gt;=0,L$5-$A63&lt;=19),INDEX(HU_ord,L$5-$A63+1)*$B63,0)</f>
        <v>0.0</v>
      </c>
      <c r="M63" s="14">
        <f>IF(AND(M$5-$A63&gt;=0,M$5-$A63&lt;=19),INDEX(HU_ord,M$5-$A63+1)*$B63,0)</f>
        <v>0.0</v>
      </c>
      <c r="N63" s="14">
        <f>IF(AND(N$5-$A63&gt;=0,N$5-$A63&lt;=19),INDEX(HU_ord,N$5-$A63+1)*$B63,0)</f>
        <v>0.0</v>
      </c>
      <c r="O63" s="14">
        <f>IF(AND(O$5-$A63&gt;=0,O$5-$A63&lt;=19),INDEX(HU_ord,O$5-$A63+1)*$B63,0)</f>
        <v>0.0</v>
      </c>
      <c r="P63" s="14">
        <f>IF(AND(P$5-$A63&gt;=0,P$5-$A63&lt;=19),INDEX(HU_ord,P$5-$A63+1)*$B63,0)</f>
        <v>0.0</v>
      </c>
      <c r="Q63" s="14">
        <f>IF(AND(Q$5-$A63&gt;=0,Q$5-$A63&lt;=19),INDEX(HU_ord,Q$5-$A63+1)*$B63,0)</f>
        <v>0.0</v>
      </c>
      <c r="R63" s="14">
        <f>IF(AND(R$5-$A63&gt;=0,R$5-$A63&lt;=19),INDEX(HU_ord,R$5-$A63+1)*$B63,0)</f>
        <v>0.0</v>
      </c>
      <c r="S63" s="14">
        <f>IF(AND(S$5-$A63&gt;=0,S$5-$A63&lt;=19),INDEX(HU_ord,S$5-$A63+1)*$B63,0)</f>
        <v>0.0</v>
      </c>
      <c r="T63" s="14">
        <f>IF(AND(T$5-$A63&gt;=0,T$5-$A63&lt;=19),INDEX(HU_ord,T$5-$A63+1)*$B63,0)</f>
        <v>0.0</v>
      </c>
      <c r="U63" s="14">
        <f>IF(AND(U$5-$A63&gt;=0,U$5-$A63&lt;=19),INDEX(HU_ord,U$5-$A63+1)*$B63,0)</f>
        <v>0.0</v>
      </c>
      <c r="V63" s="14">
        <f>IF(AND(V$5-$A63&gt;=0,V$5-$A63&lt;=19),INDEX(HU_ord,V$5-$A63+1)*$B63,0)</f>
        <v>0.0</v>
      </c>
      <c r="W63" s="14">
        <f>IF(AND(W$5-$A63&gt;=0,W$5-$A63&lt;=19),INDEX(HU_ord,W$5-$A63+1)*$B63,0)</f>
        <v>0.0</v>
      </c>
      <c r="X63" s="14">
        <f>IF(AND(X$5-$A63&gt;=0,X$5-$A63&lt;=19),INDEX(HU_ord,X$5-$A63+1)*$B63,0)</f>
        <v>0.0</v>
      </c>
      <c r="Y63" s="14">
        <f>IF(AND(Y$5-$A63&gt;=0,Y$5-$A63&lt;=19),INDEX(HU_ord,Y$5-$A63+1)*$B63,0)</f>
        <v>0.0</v>
      </c>
      <c r="Z63" s="14">
        <f>IF(AND(Z$5-$A63&gt;=0,Z$5-$A63&lt;=19),INDEX(HU_ord,Z$5-$A63+1)*$B63,0)</f>
        <v>0.0</v>
      </c>
      <c r="AA63" s="14">
        <f>IF(AND(AA$5-$A63&gt;=0,AA$5-$A63&lt;=19),INDEX(HU_ord,AA$5-$A63+1)*$B63,0)</f>
        <v>0.0</v>
      </c>
      <c r="AB63" s="14">
        <f>IF(AND(AB$5-$A63&gt;=0,AB$5-$A63&lt;=19),INDEX(HU_ord,AB$5-$A63+1)*$B63,0)</f>
        <v>0.0</v>
      </c>
      <c r="AC63" s="14">
        <f>IF(AND(AC$5-$A63&gt;=0,AC$5-$A63&lt;=19),INDEX(HU_ord,AC$5-$A63+1)*$B63,0)</f>
        <v>0.0</v>
      </c>
      <c r="AD63" s="14">
        <f>IF(AND(AD$5-$A63&gt;=0,AD$5-$A63&lt;=19),INDEX(HU_ord,AD$5-$A63+1)*$B63,0)</f>
        <v>0.0</v>
      </c>
      <c r="AE63" s="14">
        <f>IF(AND(AE$5-$A63&gt;=0,AE$5-$A63&lt;=19),INDEX(HU_ord,AE$5-$A63+1)*$B63,0)</f>
        <v>0.0</v>
      </c>
      <c r="AF63" s="14">
        <f>IF(AND(AF$5-$A63&gt;=0,AF$5-$A63&lt;=19),INDEX(HU_ord,AF$5-$A63+1)*$B63,0)</f>
        <v>0.0</v>
      </c>
      <c r="AG63" s="14">
        <f>IF(AND(AG$5-$A63&gt;=0,AG$5-$A63&lt;=19),INDEX(HU_ord,AG$5-$A63+1)*$B63,0)</f>
        <v>0.0</v>
      </c>
      <c r="AH63" s="14">
        <f>IF(AND(AH$5-$A63&gt;=0,AH$5-$A63&lt;=19),INDEX(HU_ord,AH$5-$A63+1)*$B63,0)</f>
        <v>0.0</v>
      </c>
      <c r="AI63" s="14">
        <f>IF(AND(AI$5-$A63&gt;=0,AI$5-$A63&lt;=19),INDEX(HU_ord,AI$5-$A63+1)*$B63,0)</f>
        <v>0.0</v>
      </c>
      <c r="AJ63" s="14">
        <f>IF(AND(AJ$5-$A63&gt;=0,AJ$5-$A63&lt;=19),INDEX(HU_ord,AJ$5-$A63+1)*$B63,0)</f>
        <v>0.0</v>
      </c>
      <c r="AK63" s="14">
        <f>IF(AND(AK$5-$A63&gt;=0,AK$5-$A63&lt;=19),INDEX(HU_ord,AK$5-$A63+1)*$B63,0)</f>
        <v>0.0</v>
      </c>
      <c r="AL63" s="14">
        <f>IF(AND(AL$5-$A63&gt;=0,AL$5-$A63&lt;=19),INDEX(HU_ord,AL$5-$A63+1)*$B63,0)</f>
        <v>0.0</v>
      </c>
      <c r="AM63" s="14">
        <f>IF(AND(AM$5-$A63&gt;=0,AM$5-$A63&lt;=19),INDEX(HU_ord,AM$5-$A63+1)*$B63,0)</f>
        <v>0.0</v>
      </c>
      <c r="AN63" s="14">
        <f>IF(AND(AN$5-$A63&gt;=0,AN$5-$A63&lt;=19),INDEX(HU_ord,AN$5-$A63+1)*$B63,0)</f>
        <v>0.0</v>
      </c>
      <c r="AO63" s="14">
        <f>IF(AND(AO$5-$A63&gt;=0,AO$5-$A63&lt;=19),INDEX(HU_ord,AO$5-$A63+1)*$B63,0)</f>
        <v>0.0</v>
      </c>
      <c r="AP63" s="14">
        <f>IF(AND(AP$5-$A63&gt;=0,AP$5-$A63&lt;=19),INDEX(HU_ord,AP$5-$A63+1)*$B63,0)</f>
        <v>0.0</v>
      </c>
      <c r="AQ63" s="14">
        <f>IF(AND(AQ$5-$A63&gt;=0,AQ$5-$A63&lt;=19),INDEX(HU_ord,AQ$5-$A63+1)*$B63,0)</f>
        <v>0.0</v>
      </c>
      <c r="AR63" s="14">
        <f>IF(AND(AR$5-$A63&gt;=0,AR$5-$A63&lt;=19),INDEX(HU_ord,AR$5-$A63+1)*$B63,0)</f>
        <v>0.0</v>
      </c>
      <c r="AS63" s="14">
        <f>IF(AND(AS$5-$A63&gt;=0,AS$5-$A63&lt;=19),INDEX(HU_ord,AS$5-$A63+1)*$B63,0)</f>
        <v>0.0</v>
      </c>
      <c r="AT63" s="14">
        <f>IF(AND(AT$5-$A63&gt;=0,AT$5-$A63&lt;=19),INDEX(HU_ord,AT$5-$A63+1)*$B63,0)</f>
        <v>0.0</v>
      </c>
      <c r="AU63" s="14">
        <f>IF(AND(AU$5-$A63&gt;=0,AU$5-$A63&lt;=19),INDEX(HU_ord,AU$5-$A63+1)*$B63,0)</f>
        <v>0.0</v>
      </c>
      <c r="AV63" s="14">
        <f>IF(AND(AV$5-$A63&gt;=0,AV$5-$A63&lt;=19),INDEX(HU_ord,AV$5-$A63+1)*$B63,0)</f>
        <v>0.0</v>
      </c>
      <c r="AW63" s="14">
        <f>IF(AND(AW$5-$A63&gt;=0,AW$5-$A63&lt;=19),INDEX(HU_ord,AW$5-$A63+1)*$B63,0)</f>
        <v>0.0</v>
      </c>
      <c r="AX63" s="14">
        <f>IF(AND(AX$5-$A63&gt;=0,AX$5-$A63&lt;=19),INDEX(HU_ord,AX$5-$A63+1)*$B63,0)</f>
        <v>0.0</v>
      </c>
      <c r="AY63" s="14">
        <f>IF(AND(AY$5-$A63&gt;=0,AY$5-$A63&lt;=19),INDEX(HU_ord,AY$5-$A63+1)*$B63,0)</f>
        <v>0.0</v>
      </c>
      <c r="AZ63" s="14">
        <f>IF(AND(AZ$5-$A63&gt;=0,AZ$5-$A63&lt;=19),INDEX(HU_ord,AZ$5-$A63+1)*$B63,0)</f>
        <v>0.0</v>
      </c>
      <c r="BA63" s="14">
        <f>IF(AND(BA$5-$A63&gt;=0,BA$5-$A63&lt;=19),INDEX(HU_ord,BA$5-$A63+1)*$B63,0)</f>
        <v>0.0</v>
      </c>
      <c r="BB63" s="14">
        <f>IF(AND(BB$5-$A63&gt;=0,BB$5-$A63&lt;=19),INDEX(HU_ord,BB$5-$A63+1)*$B63,0)</f>
        <v>0.0</v>
      </c>
      <c r="BC63" s="14">
        <f>IF(AND(BC$5-$A63&gt;=0,BC$5-$A63&lt;=19),INDEX(HU_ord,BC$5-$A63+1)*$B63,0)</f>
        <v>0.0</v>
      </c>
      <c r="BD63" s="14">
        <f>IF(AND(BD$5-$A63&gt;=0,BD$5-$A63&lt;=19),INDEX(HU_ord,BD$5-$A63+1)*$B63,0)</f>
        <v>0.0</v>
      </c>
      <c r="BE63" s="14">
        <f>IF(AND(BE$5-$A63&gt;=0,BE$5-$A63&lt;=19),INDEX(HU_ord,BE$5-$A63+1)*$B63,0)</f>
        <v>0.0</v>
      </c>
      <c r="BF63" s="14">
        <f>IF(AND(BF$5-$A63&gt;=0,BF$5-$A63&lt;=19),INDEX(HU_ord,BF$5-$A63+1)*$B63,0)</f>
        <v>0.0</v>
      </c>
      <c r="BG63" s="14">
        <f>IF(AND(BG$5-$A63&gt;=0,BG$5-$A63&lt;=19),INDEX(HU_ord,BG$5-$A63+1)*$B63,0)</f>
        <v>0.0</v>
      </c>
      <c r="BH63" s="14">
        <f>IF(AND(BH$5-$A63&gt;=0,BH$5-$A63&lt;=19),INDEX(HU_ord,BH$5-$A63+1)*$B63,0)</f>
        <v>0.0</v>
      </c>
      <c r="BI63" s="14">
        <f>IF(AND(BI$5-$A63&gt;=0,BI$5-$A63&lt;=19),INDEX(HU_ord,BI$5-$A63+1)*$B63,0)</f>
        <v>0.0</v>
      </c>
      <c r="BJ63" s="14">
        <f>IF(AND(BJ$5-$A63&gt;=0,BJ$5-$A63&lt;=19),INDEX(HU_ord,BJ$5-$A63+1)*$B63,0)</f>
        <v>0.0</v>
      </c>
      <c r="BK63" s="14">
        <f>IF(AND(BK$5-$A63&gt;=0,BK$5-$A63&lt;=19),INDEX(HU_ord,BK$5-$A63+1)*$B63,0)</f>
        <v>0.0</v>
      </c>
      <c r="BL63" s="14">
        <f>IF(AND(BL$5-$A63&gt;=0,BL$5-$A63&lt;=19),INDEX(HU_ord,BL$5-$A63+1)*$B63,0)</f>
        <v>0.0</v>
      </c>
      <c r="BM63" s="14">
        <f>IF(AND(BM$5-$A63&gt;=0,BM$5-$A63&lt;=19),INDEX(HU_ord,BM$5-$A63+1)*$B63,0)</f>
        <v>0.0</v>
      </c>
      <c r="BN63" s="14">
        <f>IF(AND(BN$5-$A63&gt;=0,BN$5-$A63&lt;=19),INDEX(HU_ord,BN$5-$A63+1)*$B63,0)</f>
        <v>0.0</v>
      </c>
      <c r="BO63" s="14">
        <f>IF(AND(BO$5-$A63&gt;=0,BO$5-$A63&lt;=19),INDEX(HU_ord,BO$5-$A63+1)*$B63,0)</f>
        <v>0.0</v>
      </c>
      <c r="BP63" s="14">
        <f>IF(AND(BP$5-$A63&gt;=0,BP$5-$A63&lt;=19),INDEX(HU_ord,BP$5-$A63+1)*$B63,0)</f>
        <v>0.0</v>
      </c>
      <c r="BQ63" s="14">
        <f>IF(AND(BQ$5-$A63&gt;=0,BQ$5-$A63&lt;=19),INDEX(HU_ord,BQ$5-$A63+1)*$B63,0)</f>
        <v>0.0</v>
      </c>
      <c r="BR63" s="14">
        <f>IF(AND(BR$5-$A63&gt;=0,BR$5-$A63&lt;=19),INDEX(HU_ord,BR$5-$A63+1)*$B63,0)</f>
        <v>0.0</v>
      </c>
      <c r="BS63" s="14">
        <f>IF(AND(BS$5-$A63&gt;=0,BS$5-$A63&lt;=19),INDEX(HU_ord,BS$5-$A63+1)*$B63,0)</f>
        <v>0.0</v>
      </c>
      <c r="BT63" s="14">
        <f>IF(AND(BT$5-$A63&gt;=0,BT$5-$A63&lt;=19),INDEX(HU_ord,BT$5-$A63+1)*$B63,0)</f>
        <v>0.0</v>
      </c>
      <c r="BU63" s="14">
        <f>IF(AND(BU$5-$A63&gt;=0,BU$5-$A63&lt;=19),INDEX(HU_ord,BU$5-$A63+1)*$B63,0)</f>
        <v>0.0</v>
      </c>
      <c r="BV63" s="14">
        <f>IF(AND(BV$5-$A63&gt;=0,BV$5-$A63&lt;=19),INDEX(HU_ord,BV$5-$A63+1)*$B63,0)</f>
        <v>0.0</v>
      </c>
      <c r="BW63" s="14">
        <f>IF(AND(BW$5-$A63&gt;=0,BW$5-$A63&lt;=19),INDEX(HU_ord,BW$5-$A63+1)*$B63,0)</f>
        <v>0.0</v>
      </c>
      <c r="BX63" s="14">
        <f>IF(AND(BX$5-$A63&gt;=0,BX$5-$A63&lt;=19),INDEX(HU_ord,BX$5-$A63+1)*$B63,0)</f>
        <v>0.0</v>
      </c>
      <c r="BY63" s="14">
        <f>IF(AND(BY$5-$A63&gt;=0,BY$5-$A63&lt;=19),INDEX(HU_ord,BY$5-$A63+1)*$B63,0)</f>
        <v>0.0</v>
      </c>
      <c r="BZ63" s="14">
        <f>IF(AND(BZ$5-$A63&gt;=0,BZ$5-$A63&lt;=19),INDEX(HU_ord,BZ$5-$A63+1)*$B63,0)</f>
        <v>0.0</v>
      </c>
      <c r="CA63" s="14">
        <f>IF(AND(CA$5-$A63&gt;=0,CA$5-$A63&lt;=19),INDEX(HU_ord,CA$5-$A63+1)*$B63,0)</f>
        <v>0.0</v>
      </c>
      <c r="CB63" s="14">
        <f>IF(AND(CB$5-$A63&gt;=0,CB$5-$A63&lt;=19),INDEX(HU_ord,CB$5-$A63+1)*$B63,0)</f>
        <v>0.0</v>
      </c>
      <c r="CC63" s="14">
        <f>IF(AND(CC$5-$A63&gt;=0,CC$5-$A63&lt;=19),INDEX(HU_ord,CC$5-$A63+1)*$B63,0)</f>
        <v>0.0</v>
      </c>
      <c r="CD63" s="14">
        <f>IF(AND(CD$5-$A63&gt;=0,CD$5-$A63&lt;=19),INDEX(HU_ord,CD$5-$A63+1)*$B63,0)</f>
        <v>0.0</v>
      </c>
      <c r="CE63" s="14">
        <f>IF(AND(CE$5-$A63&gt;=0,CE$5-$A63&lt;=19),INDEX(HU_ord,CE$5-$A63+1)*$B63,0)</f>
        <v>0.0</v>
      </c>
      <c r="CF63" s="14">
        <f>IF(AND(CF$5-$A63&gt;=0,CF$5-$A63&lt;=19),INDEX(HU_ord,CF$5-$A63+1)*$B63,0)</f>
        <v>0.0</v>
      </c>
      <c r="CG63" s="14">
        <f>IF(AND(CG$5-$A63&gt;=0,CG$5-$A63&lt;=19),INDEX(HU_ord,CG$5-$A63+1)*$B63,0)</f>
        <v>0.0</v>
      </c>
      <c r="CH63" s="14">
        <f>IF(AND(CH$5-$A63&gt;=0,CH$5-$A63&lt;=19),INDEX(HU_ord,CH$5-$A63+1)*$B63,0)</f>
        <v>0.0</v>
      </c>
      <c r="CI63" s="14">
        <f>IF(AND(CI$5-$A63&gt;=0,CI$5-$A63&lt;=19),INDEX(HU_ord,CI$5-$A63+1)*$B63,0)</f>
        <v>0.0</v>
      </c>
      <c r="CJ63" s="14">
        <f>IF(AND(CJ$5-$A63&gt;=0,CJ$5-$A63&lt;=19),INDEX(HU_ord,CJ$5-$A63+1)*$B63,0)</f>
        <v>0.0</v>
      </c>
      <c r="CK63" s="14">
        <f>IF(AND(CK$5-$A63&gt;=0,CK$5-$A63&lt;=19),INDEX(HU_ord,CK$5-$A63+1)*$B63,0)</f>
        <v>0.0</v>
      </c>
      <c r="CL63" s="14">
        <f>IF(AND(CL$5-$A63&gt;=0,CL$5-$A63&lt;=19),INDEX(HU_ord,CL$5-$A63+1)*$B63,0)</f>
        <v>0.0</v>
      </c>
      <c r="CM63" s="14">
        <f>IF(AND(CM$5-$A63&gt;=0,CM$5-$A63&lt;=19),INDEX(HU_ord,CM$5-$A63+1)*$B63,0)</f>
        <v>0.0</v>
      </c>
      <c r="CN63" s="14">
        <f>IF(AND(CN$5-$A63&gt;=0,CN$5-$A63&lt;=19),INDEX(HU_ord,CN$5-$A63+1)*$B63,0)</f>
        <v>0.0</v>
      </c>
      <c r="CO63" s="14">
        <f>IF(AND(CO$5-$A63&gt;=0,CO$5-$A63&lt;=19),INDEX(HU_ord,CO$5-$A63+1)*$B63,0)</f>
        <v>0.0</v>
      </c>
      <c r="CP63" s="14">
        <f>IF(AND(CP$5-$A63&gt;=0,CP$5-$A63&lt;=19),INDEX(HU_ord,CP$5-$A63+1)*$B63,0)</f>
        <v>0.0</v>
      </c>
      <c r="CQ63" s="14">
        <f>IF(AND(CQ$5-$A63&gt;=0,CQ$5-$A63&lt;=19),INDEX(HU_ord,CQ$5-$A63+1)*$B63,0)</f>
        <v>0.0</v>
      </c>
      <c r="CR63" s="14">
        <f>IF(AND(CR$5-$A63&gt;=0,CR$5-$A63&lt;=19),INDEX(HU_ord,CR$5-$A63+1)*$B63,0)</f>
        <v>0.0</v>
      </c>
      <c r="CS63" s="14">
        <f>IF(AND(CS$5-$A63&gt;=0,CS$5-$A63&lt;=19),INDEX(HU_ord,CS$5-$A63+1)*$B63,0)</f>
        <v>0.0</v>
      </c>
      <c r="CT63" s="14">
        <f>IF(AND(CT$5-$A63&gt;=0,CT$5-$A63&lt;=19),INDEX(HU_ord,CT$5-$A63+1)*$B63,0)</f>
        <v>0.0</v>
      </c>
      <c r="CU63" s="14">
        <f>IF(AND(CU$5-$A63&gt;=0,CU$5-$A63&lt;=19),INDEX(HU_ord,CU$5-$A63+1)*$B63,0)</f>
        <v>0.0</v>
      </c>
      <c r="CV63" s="14">
        <f>IF(AND(CV$5-$A63&gt;=0,CV$5-$A63&lt;=19),INDEX(HU_ord,CV$5-$A63+1)*$B63,0)</f>
        <v>0.0</v>
      </c>
      <c r="CW63" s="14">
        <f>IF(AND(CW$5-$A63&gt;=0,CW$5-$A63&lt;=19),INDEX(HU_ord,CW$5-$A63+1)*$B63,0)</f>
        <v>0.0</v>
      </c>
      <c r="CX63" s="14">
        <f>IF(AND(CX$5-$A63&gt;=0,CX$5-$A63&lt;=19),INDEX(HU_ord,CX$5-$A63+1)*$B63,0)</f>
        <v>0.0</v>
      </c>
      <c r="CY63" s="14">
        <f>IF(AND(CY$5-$A63&gt;=0,CY$5-$A63&lt;=19),INDEX(HU_ord,CY$5-$A63+1)*$B63,0)</f>
        <v>0.0</v>
      </c>
      <c r="CZ63" s="14">
        <f>IF(AND(CZ$5-$A63&gt;=0,CZ$5-$A63&lt;=19),INDEX(HU_ord,CZ$5-$A63+1)*$B63,0)</f>
        <v>0.0</v>
      </c>
      <c r="DA63" s="14">
        <f>IF(AND(DA$5-$A63&gt;=0,DA$5-$A63&lt;=19),INDEX(HU_ord,DA$5-$A63+1)*$B63,0)</f>
        <v>0.0</v>
      </c>
      <c r="DB63" s="14">
        <f>IF(AND(DB$5-$A63&gt;=0,DB$5-$A63&lt;=19),INDEX(HU_ord,DB$5-$A63+1)*$B63,0)</f>
        <v>0.0</v>
      </c>
      <c r="DC63" s="14">
        <f>IF(AND(DC$5-$A63&gt;=0,DC$5-$A63&lt;=19),INDEX(HU_ord,DC$5-$A63+1)*$B63,0)</f>
        <v>0.0</v>
      </c>
      <c r="DD63" s="14">
        <f>IF(AND(DD$5-$A63&gt;=0,DD$5-$A63&lt;=19),INDEX(HU_ord,DD$5-$A63+1)*$B63,0)</f>
        <v>0.0</v>
      </c>
      <c r="DE63" s="14">
        <f>IF(AND(DE$5-$A63&gt;=0,DE$5-$A63&lt;=19),INDEX(HU_ord,DE$5-$A63+1)*$B63,0)</f>
        <v>0.0</v>
      </c>
      <c r="DF63" s="14">
        <f>IF(AND(DF$5-$A63&gt;=0,DF$5-$A63&lt;=19),INDEX(HU_ord,DF$5-$A63+1)*$B63,0)</f>
        <v>0.0</v>
      </c>
      <c r="DG63" s="14">
        <f>IF(AND(DG$5-$A63&gt;=0,DG$5-$A63&lt;=19),INDEX(HU_ord,DG$5-$A63+1)*$B63,0)</f>
        <v>0.0</v>
      </c>
      <c r="DH63" s="14">
        <f>IF(AND(DH$5-$A63&gt;=0,DH$5-$A63&lt;=19),INDEX(HU_ord,DH$5-$A63+1)*$B63,0)</f>
        <v>0.0</v>
      </c>
      <c r="DI63" s="14">
        <f>IF(AND(DI$5-$A63&gt;=0,DI$5-$A63&lt;=19),INDEX(HU_ord,DI$5-$A63+1)*$B63,0)</f>
        <v>0.0</v>
      </c>
    </row>
    <row r="64" spans="1:113">
      <c r="A64">
        <v>58</v>
      </c>
      <c r="B64" s="10">
        <f>Serie_horaria!N60</f>
        <v>0.0</v>
      </c>
      <c r="C64" s="14">
        <f>IF(AND(C$5-$A64&gt;=0,C$5-$A64&lt;=19),INDEX(HU_ord,C$5-$A64+1)*$B64,0)</f>
        <v>0.0</v>
      </c>
      <c r="D64" s="14">
        <f>IF(AND(D$5-$A64&gt;=0,D$5-$A64&lt;=19),INDEX(HU_ord,D$5-$A64+1)*$B64,0)</f>
        <v>0.0</v>
      </c>
      <c r="E64" s="14">
        <f>IF(AND(E$5-$A64&gt;=0,E$5-$A64&lt;=19),INDEX(HU_ord,E$5-$A64+1)*$B64,0)</f>
        <v>0.0</v>
      </c>
      <c r="F64" s="14">
        <f>IF(AND(F$5-$A64&gt;=0,F$5-$A64&lt;=19),INDEX(HU_ord,F$5-$A64+1)*$B64,0)</f>
        <v>0.0</v>
      </c>
      <c r="G64" s="14">
        <f>IF(AND(G$5-$A64&gt;=0,G$5-$A64&lt;=19),INDEX(HU_ord,G$5-$A64+1)*$B64,0)</f>
        <v>0.0</v>
      </c>
      <c r="H64" s="14">
        <f>IF(AND(H$5-$A64&gt;=0,H$5-$A64&lt;=19),INDEX(HU_ord,H$5-$A64+1)*$B64,0)</f>
        <v>0.0</v>
      </c>
      <c r="I64" s="14">
        <f>IF(AND(I$5-$A64&gt;=0,I$5-$A64&lt;=19),INDEX(HU_ord,I$5-$A64+1)*$B64,0)</f>
        <v>0.0</v>
      </c>
      <c r="J64" s="14">
        <f>IF(AND(J$5-$A64&gt;=0,J$5-$A64&lt;=19),INDEX(HU_ord,J$5-$A64+1)*$B64,0)</f>
        <v>0.0</v>
      </c>
      <c r="K64" s="14">
        <f>IF(AND(K$5-$A64&gt;=0,K$5-$A64&lt;=19),INDEX(HU_ord,K$5-$A64+1)*$B64,0)</f>
        <v>0.0</v>
      </c>
      <c r="L64" s="14">
        <f>IF(AND(L$5-$A64&gt;=0,L$5-$A64&lt;=19),INDEX(HU_ord,L$5-$A64+1)*$B64,0)</f>
        <v>0.0</v>
      </c>
      <c r="M64" s="14">
        <f>IF(AND(M$5-$A64&gt;=0,M$5-$A64&lt;=19),INDEX(HU_ord,M$5-$A64+1)*$B64,0)</f>
        <v>0.0</v>
      </c>
      <c r="N64" s="14">
        <f>IF(AND(N$5-$A64&gt;=0,N$5-$A64&lt;=19),INDEX(HU_ord,N$5-$A64+1)*$B64,0)</f>
        <v>0.0</v>
      </c>
      <c r="O64" s="14">
        <f>IF(AND(O$5-$A64&gt;=0,O$5-$A64&lt;=19),INDEX(HU_ord,O$5-$A64+1)*$B64,0)</f>
        <v>0.0</v>
      </c>
      <c r="P64" s="14">
        <f>IF(AND(P$5-$A64&gt;=0,P$5-$A64&lt;=19),INDEX(HU_ord,P$5-$A64+1)*$B64,0)</f>
        <v>0.0</v>
      </c>
      <c r="Q64" s="14">
        <f>IF(AND(Q$5-$A64&gt;=0,Q$5-$A64&lt;=19),INDEX(HU_ord,Q$5-$A64+1)*$B64,0)</f>
        <v>0.0</v>
      </c>
      <c r="R64" s="14">
        <f>IF(AND(R$5-$A64&gt;=0,R$5-$A64&lt;=19),INDEX(HU_ord,R$5-$A64+1)*$B64,0)</f>
        <v>0.0</v>
      </c>
      <c r="S64" s="14">
        <f>IF(AND(S$5-$A64&gt;=0,S$5-$A64&lt;=19),INDEX(HU_ord,S$5-$A64+1)*$B64,0)</f>
        <v>0.0</v>
      </c>
      <c r="T64" s="14">
        <f>IF(AND(T$5-$A64&gt;=0,T$5-$A64&lt;=19),INDEX(HU_ord,T$5-$A64+1)*$B64,0)</f>
        <v>0.0</v>
      </c>
      <c r="U64" s="14">
        <f>IF(AND(U$5-$A64&gt;=0,U$5-$A64&lt;=19),INDEX(HU_ord,U$5-$A64+1)*$B64,0)</f>
        <v>0.0</v>
      </c>
      <c r="V64" s="14">
        <f>IF(AND(V$5-$A64&gt;=0,V$5-$A64&lt;=19),INDEX(HU_ord,V$5-$A64+1)*$B64,0)</f>
        <v>0.0</v>
      </c>
      <c r="W64" s="14">
        <f>IF(AND(W$5-$A64&gt;=0,W$5-$A64&lt;=19),INDEX(HU_ord,W$5-$A64+1)*$B64,0)</f>
        <v>0.0</v>
      </c>
      <c r="X64" s="14">
        <f>IF(AND(X$5-$A64&gt;=0,X$5-$A64&lt;=19),INDEX(HU_ord,X$5-$A64+1)*$B64,0)</f>
        <v>0.0</v>
      </c>
      <c r="Y64" s="14">
        <f>IF(AND(Y$5-$A64&gt;=0,Y$5-$A64&lt;=19),INDEX(HU_ord,Y$5-$A64+1)*$B64,0)</f>
        <v>0.0</v>
      </c>
      <c r="Z64" s="14">
        <f>IF(AND(Z$5-$A64&gt;=0,Z$5-$A64&lt;=19),INDEX(HU_ord,Z$5-$A64+1)*$B64,0)</f>
        <v>0.0</v>
      </c>
      <c r="AA64" s="14">
        <f>IF(AND(AA$5-$A64&gt;=0,AA$5-$A64&lt;=19),INDEX(HU_ord,AA$5-$A64+1)*$B64,0)</f>
        <v>0.0</v>
      </c>
      <c r="AB64" s="14">
        <f>IF(AND(AB$5-$A64&gt;=0,AB$5-$A64&lt;=19),INDEX(HU_ord,AB$5-$A64+1)*$B64,0)</f>
        <v>0.0</v>
      </c>
      <c r="AC64" s="14">
        <f>IF(AND(AC$5-$A64&gt;=0,AC$5-$A64&lt;=19),INDEX(HU_ord,AC$5-$A64+1)*$B64,0)</f>
        <v>0.0</v>
      </c>
      <c r="AD64" s="14">
        <f>IF(AND(AD$5-$A64&gt;=0,AD$5-$A64&lt;=19),INDEX(HU_ord,AD$5-$A64+1)*$B64,0)</f>
        <v>0.0</v>
      </c>
      <c r="AE64" s="14">
        <f>IF(AND(AE$5-$A64&gt;=0,AE$5-$A64&lt;=19),INDEX(HU_ord,AE$5-$A64+1)*$B64,0)</f>
        <v>0.0</v>
      </c>
      <c r="AF64" s="14">
        <f>IF(AND(AF$5-$A64&gt;=0,AF$5-$A64&lt;=19),INDEX(HU_ord,AF$5-$A64+1)*$B64,0)</f>
        <v>0.0</v>
      </c>
      <c r="AG64" s="14">
        <f>IF(AND(AG$5-$A64&gt;=0,AG$5-$A64&lt;=19),INDEX(HU_ord,AG$5-$A64+1)*$B64,0)</f>
        <v>0.0</v>
      </c>
      <c r="AH64" s="14">
        <f>IF(AND(AH$5-$A64&gt;=0,AH$5-$A64&lt;=19),INDEX(HU_ord,AH$5-$A64+1)*$B64,0)</f>
        <v>0.0</v>
      </c>
      <c r="AI64" s="14">
        <f>IF(AND(AI$5-$A64&gt;=0,AI$5-$A64&lt;=19),INDEX(HU_ord,AI$5-$A64+1)*$B64,0)</f>
        <v>0.0</v>
      </c>
      <c r="AJ64" s="14">
        <f>IF(AND(AJ$5-$A64&gt;=0,AJ$5-$A64&lt;=19),INDEX(HU_ord,AJ$5-$A64+1)*$B64,0)</f>
        <v>0.0</v>
      </c>
      <c r="AK64" s="14">
        <f>IF(AND(AK$5-$A64&gt;=0,AK$5-$A64&lt;=19),INDEX(HU_ord,AK$5-$A64+1)*$B64,0)</f>
        <v>0.0</v>
      </c>
      <c r="AL64" s="14">
        <f>IF(AND(AL$5-$A64&gt;=0,AL$5-$A64&lt;=19),INDEX(HU_ord,AL$5-$A64+1)*$B64,0)</f>
        <v>0.0</v>
      </c>
      <c r="AM64" s="14">
        <f>IF(AND(AM$5-$A64&gt;=0,AM$5-$A64&lt;=19),INDEX(HU_ord,AM$5-$A64+1)*$B64,0)</f>
        <v>0.0</v>
      </c>
      <c r="AN64" s="14">
        <f>IF(AND(AN$5-$A64&gt;=0,AN$5-$A64&lt;=19),INDEX(HU_ord,AN$5-$A64+1)*$B64,0)</f>
        <v>0.0</v>
      </c>
      <c r="AO64" s="14">
        <f>IF(AND(AO$5-$A64&gt;=0,AO$5-$A64&lt;=19),INDEX(HU_ord,AO$5-$A64+1)*$B64,0)</f>
        <v>0.0</v>
      </c>
      <c r="AP64" s="14">
        <f>IF(AND(AP$5-$A64&gt;=0,AP$5-$A64&lt;=19),INDEX(HU_ord,AP$5-$A64+1)*$B64,0)</f>
        <v>0.0</v>
      </c>
      <c r="AQ64" s="14">
        <f>IF(AND(AQ$5-$A64&gt;=0,AQ$5-$A64&lt;=19),INDEX(HU_ord,AQ$5-$A64+1)*$B64,0)</f>
        <v>0.0</v>
      </c>
      <c r="AR64" s="14">
        <f>IF(AND(AR$5-$A64&gt;=0,AR$5-$A64&lt;=19),INDEX(HU_ord,AR$5-$A64+1)*$B64,0)</f>
        <v>0.0</v>
      </c>
      <c r="AS64" s="14">
        <f>IF(AND(AS$5-$A64&gt;=0,AS$5-$A64&lt;=19),INDEX(HU_ord,AS$5-$A64+1)*$B64,0)</f>
        <v>0.0</v>
      </c>
      <c r="AT64" s="14">
        <f>IF(AND(AT$5-$A64&gt;=0,AT$5-$A64&lt;=19),INDEX(HU_ord,AT$5-$A64+1)*$B64,0)</f>
        <v>0.0</v>
      </c>
      <c r="AU64" s="14">
        <f>IF(AND(AU$5-$A64&gt;=0,AU$5-$A64&lt;=19),INDEX(HU_ord,AU$5-$A64+1)*$B64,0)</f>
        <v>0.0</v>
      </c>
      <c r="AV64" s="14">
        <f>IF(AND(AV$5-$A64&gt;=0,AV$5-$A64&lt;=19),INDEX(HU_ord,AV$5-$A64+1)*$B64,0)</f>
        <v>0.0</v>
      </c>
      <c r="AW64" s="14">
        <f>IF(AND(AW$5-$A64&gt;=0,AW$5-$A64&lt;=19),INDEX(HU_ord,AW$5-$A64+1)*$B64,0)</f>
        <v>0.0</v>
      </c>
      <c r="AX64" s="14">
        <f>IF(AND(AX$5-$A64&gt;=0,AX$5-$A64&lt;=19),INDEX(HU_ord,AX$5-$A64+1)*$B64,0)</f>
        <v>0.0</v>
      </c>
      <c r="AY64" s="14">
        <f>IF(AND(AY$5-$A64&gt;=0,AY$5-$A64&lt;=19),INDEX(HU_ord,AY$5-$A64+1)*$B64,0)</f>
        <v>0.0</v>
      </c>
      <c r="AZ64" s="14">
        <f>IF(AND(AZ$5-$A64&gt;=0,AZ$5-$A64&lt;=19),INDEX(HU_ord,AZ$5-$A64+1)*$B64,0)</f>
        <v>0.0</v>
      </c>
      <c r="BA64" s="14">
        <f>IF(AND(BA$5-$A64&gt;=0,BA$5-$A64&lt;=19),INDEX(HU_ord,BA$5-$A64+1)*$B64,0)</f>
        <v>0.0</v>
      </c>
      <c r="BB64" s="14">
        <f>IF(AND(BB$5-$A64&gt;=0,BB$5-$A64&lt;=19),INDEX(HU_ord,BB$5-$A64+1)*$B64,0)</f>
        <v>0.0</v>
      </c>
      <c r="BC64" s="14">
        <f>IF(AND(BC$5-$A64&gt;=0,BC$5-$A64&lt;=19),INDEX(HU_ord,BC$5-$A64+1)*$B64,0)</f>
        <v>0.0</v>
      </c>
      <c r="BD64" s="14">
        <f>IF(AND(BD$5-$A64&gt;=0,BD$5-$A64&lt;=19),INDEX(HU_ord,BD$5-$A64+1)*$B64,0)</f>
        <v>0.0</v>
      </c>
      <c r="BE64" s="14">
        <f>IF(AND(BE$5-$A64&gt;=0,BE$5-$A64&lt;=19),INDEX(HU_ord,BE$5-$A64+1)*$B64,0)</f>
        <v>0.0</v>
      </c>
      <c r="BF64" s="14">
        <f>IF(AND(BF$5-$A64&gt;=0,BF$5-$A64&lt;=19),INDEX(HU_ord,BF$5-$A64+1)*$B64,0)</f>
        <v>0.0</v>
      </c>
      <c r="BG64" s="14">
        <f>IF(AND(BG$5-$A64&gt;=0,BG$5-$A64&lt;=19),INDEX(HU_ord,BG$5-$A64+1)*$B64,0)</f>
        <v>0.0</v>
      </c>
      <c r="BH64" s="14">
        <f>IF(AND(BH$5-$A64&gt;=0,BH$5-$A64&lt;=19),INDEX(HU_ord,BH$5-$A64+1)*$B64,0)</f>
        <v>0.0</v>
      </c>
      <c r="BI64" s="14">
        <f>IF(AND(BI$5-$A64&gt;=0,BI$5-$A64&lt;=19),INDEX(HU_ord,BI$5-$A64+1)*$B64,0)</f>
        <v>0.0</v>
      </c>
      <c r="BJ64" s="14">
        <f>IF(AND(BJ$5-$A64&gt;=0,BJ$5-$A64&lt;=19),INDEX(HU_ord,BJ$5-$A64+1)*$B64,0)</f>
        <v>0.0</v>
      </c>
      <c r="BK64" s="14">
        <f>IF(AND(BK$5-$A64&gt;=0,BK$5-$A64&lt;=19),INDEX(HU_ord,BK$5-$A64+1)*$B64,0)</f>
        <v>0.0</v>
      </c>
      <c r="BL64" s="14">
        <f>IF(AND(BL$5-$A64&gt;=0,BL$5-$A64&lt;=19),INDEX(HU_ord,BL$5-$A64+1)*$B64,0)</f>
        <v>0.0</v>
      </c>
      <c r="BM64" s="14">
        <f>IF(AND(BM$5-$A64&gt;=0,BM$5-$A64&lt;=19),INDEX(HU_ord,BM$5-$A64+1)*$B64,0)</f>
        <v>0.0</v>
      </c>
      <c r="BN64" s="14">
        <f>IF(AND(BN$5-$A64&gt;=0,BN$5-$A64&lt;=19),INDEX(HU_ord,BN$5-$A64+1)*$B64,0)</f>
        <v>0.0</v>
      </c>
      <c r="BO64" s="14">
        <f>IF(AND(BO$5-$A64&gt;=0,BO$5-$A64&lt;=19),INDEX(HU_ord,BO$5-$A64+1)*$B64,0)</f>
        <v>0.0</v>
      </c>
      <c r="BP64" s="14">
        <f>IF(AND(BP$5-$A64&gt;=0,BP$5-$A64&lt;=19),INDEX(HU_ord,BP$5-$A64+1)*$B64,0)</f>
        <v>0.0</v>
      </c>
      <c r="BQ64" s="14">
        <f>IF(AND(BQ$5-$A64&gt;=0,BQ$5-$A64&lt;=19),INDEX(HU_ord,BQ$5-$A64+1)*$B64,0)</f>
        <v>0.0</v>
      </c>
      <c r="BR64" s="14">
        <f>IF(AND(BR$5-$A64&gt;=0,BR$5-$A64&lt;=19),INDEX(HU_ord,BR$5-$A64+1)*$B64,0)</f>
        <v>0.0</v>
      </c>
      <c r="BS64" s="14">
        <f>IF(AND(BS$5-$A64&gt;=0,BS$5-$A64&lt;=19),INDEX(HU_ord,BS$5-$A64+1)*$B64,0)</f>
        <v>0.0</v>
      </c>
      <c r="BT64" s="14">
        <f>IF(AND(BT$5-$A64&gt;=0,BT$5-$A64&lt;=19),INDEX(HU_ord,BT$5-$A64+1)*$B64,0)</f>
        <v>0.0</v>
      </c>
      <c r="BU64" s="14">
        <f>IF(AND(BU$5-$A64&gt;=0,BU$5-$A64&lt;=19),INDEX(HU_ord,BU$5-$A64+1)*$B64,0)</f>
        <v>0.0</v>
      </c>
      <c r="BV64" s="14">
        <f>IF(AND(BV$5-$A64&gt;=0,BV$5-$A64&lt;=19),INDEX(HU_ord,BV$5-$A64+1)*$B64,0)</f>
        <v>0.0</v>
      </c>
      <c r="BW64" s="14">
        <f>IF(AND(BW$5-$A64&gt;=0,BW$5-$A64&lt;=19),INDEX(HU_ord,BW$5-$A64+1)*$B64,0)</f>
        <v>0.0</v>
      </c>
      <c r="BX64" s="14">
        <f>IF(AND(BX$5-$A64&gt;=0,BX$5-$A64&lt;=19),INDEX(HU_ord,BX$5-$A64+1)*$B64,0)</f>
        <v>0.0</v>
      </c>
      <c r="BY64" s="14">
        <f>IF(AND(BY$5-$A64&gt;=0,BY$5-$A64&lt;=19),INDEX(HU_ord,BY$5-$A64+1)*$B64,0)</f>
        <v>0.0</v>
      </c>
      <c r="BZ64" s="14">
        <f>IF(AND(BZ$5-$A64&gt;=0,BZ$5-$A64&lt;=19),INDEX(HU_ord,BZ$5-$A64+1)*$B64,0)</f>
        <v>0.0</v>
      </c>
      <c r="CA64" s="14">
        <f>IF(AND(CA$5-$A64&gt;=0,CA$5-$A64&lt;=19),INDEX(HU_ord,CA$5-$A64+1)*$B64,0)</f>
        <v>0.0</v>
      </c>
      <c r="CB64" s="14">
        <f>IF(AND(CB$5-$A64&gt;=0,CB$5-$A64&lt;=19),INDEX(HU_ord,CB$5-$A64+1)*$B64,0)</f>
        <v>0.0</v>
      </c>
      <c r="CC64" s="14">
        <f>IF(AND(CC$5-$A64&gt;=0,CC$5-$A64&lt;=19),INDEX(HU_ord,CC$5-$A64+1)*$B64,0)</f>
        <v>0.0</v>
      </c>
      <c r="CD64" s="14">
        <f>IF(AND(CD$5-$A64&gt;=0,CD$5-$A64&lt;=19),INDEX(HU_ord,CD$5-$A64+1)*$B64,0)</f>
        <v>0.0</v>
      </c>
      <c r="CE64" s="14">
        <f>IF(AND(CE$5-$A64&gt;=0,CE$5-$A64&lt;=19),INDEX(HU_ord,CE$5-$A64+1)*$B64,0)</f>
        <v>0.0</v>
      </c>
      <c r="CF64" s="14">
        <f>IF(AND(CF$5-$A64&gt;=0,CF$5-$A64&lt;=19),INDEX(HU_ord,CF$5-$A64+1)*$B64,0)</f>
        <v>0.0</v>
      </c>
      <c r="CG64" s="14">
        <f>IF(AND(CG$5-$A64&gt;=0,CG$5-$A64&lt;=19),INDEX(HU_ord,CG$5-$A64+1)*$B64,0)</f>
        <v>0.0</v>
      </c>
      <c r="CH64" s="14">
        <f>IF(AND(CH$5-$A64&gt;=0,CH$5-$A64&lt;=19),INDEX(HU_ord,CH$5-$A64+1)*$B64,0)</f>
        <v>0.0</v>
      </c>
      <c r="CI64" s="14">
        <f>IF(AND(CI$5-$A64&gt;=0,CI$5-$A64&lt;=19),INDEX(HU_ord,CI$5-$A64+1)*$B64,0)</f>
        <v>0.0</v>
      </c>
      <c r="CJ64" s="14">
        <f>IF(AND(CJ$5-$A64&gt;=0,CJ$5-$A64&lt;=19),INDEX(HU_ord,CJ$5-$A64+1)*$B64,0)</f>
        <v>0.0</v>
      </c>
      <c r="CK64" s="14">
        <f>IF(AND(CK$5-$A64&gt;=0,CK$5-$A64&lt;=19),INDEX(HU_ord,CK$5-$A64+1)*$B64,0)</f>
        <v>0.0</v>
      </c>
      <c r="CL64" s="14">
        <f>IF(AND(CL$5-$A64&gt;=0,CL$5-$A64&lt;=19),INDEX(HU_ord,CL$5-$A64+1)*$B64,0)</f>
        <v>0.0</v>
      </c>
      <c r="CM64" s="14">
        <f>IF(AND(CM$5-$A64&gt;=0,CM$5-$A64&lt;=19),INDEX(HU_ord,CM$5-$A64+1)*$B64,0)</f>
        <v>0.0</v>
      </c>
      <c r="CN64" s="14">
        <f>IF(AND(CN$5-$A64&gt;=0,CN$5-$A64&lt;=19),INDEX(HU_ord,CN$5-$A64+1)*$B64,0)</f>
        <v>0.0</v>
      </c>
      <c r="CO64" s="14">
        <f>IF(AND(CO$5-$A64&gt;=0,CO$5-$A64&lt;=19),INDEX(HU_ord,CO$5-$A64+1)*$B64,0)</f>
        <v>0.0</v>
      </c>
      <c r="CP64" s="14">
        <f>IF(AND(CP$5-$A64&gt;=0,CP$5-$A64&lt;=19),INDEX(HU_ord,CP$5-$A64+1)*$B64,0)</f>
        <v>0.0</v>
      </c>
      <c r="CQ64" s="14">
        <f>IF(AND(CQ$5-$A64&gt;=0,CQ$5-$A64&lt;=19),INDEX(HU_ord,CQ$5-$A64+1)*$B64,0)</f>
        <v>0.0</v>
      </c>
      <c r="CR64" s="14">
        <f>IF(AND(CR$5-$A64&gt;=0,CR$5-$A64&lt;=19),INDEX(HU_ord,CR$5-$A64+1)*$B64,0)</f>
        <v>0.0</v>
      </c>
      <c r="CS64" s="14">
        <f>IF(AND(CS$5-$A64&gt;=0,CS$5-$A64&lt;=19),INDEX(HU_ord,CS$5-$A64+1)*$B64,0)</f>
        <v>0.0</v>
      </c>
      <c r="CT64" s="14">
        <f>IF(AND(CT$5-$A64&gt;=0,CT$5-$A64&lt;=19),INDEX(HU_ord,CT$5-$A64+1)*$B64,0)</f>
        <v>0.0</v>
      </c>
      <c r="CU64" s="14">
        <f>IF(AND(CU$5-$A64&gt;=0,CU$5-$A64&lt;=19),INDEX(HU_ord,CU$5-$A64+1)*$B64,0)</f>
        <v>0.0</v>
      </c>
      <c r="CV64" s="14">
        <f>IF(AND(CV$5-$A64&gt;=0,CV$5-$A64&lt;=19),INDEX(HU_ord,CV$5-$A64+1)*$B64,0)</f>
        <v>0.0</v>
      </c>
      <c r="CW64" s="14">
        <f>IF(AND(CW$5-$A64&gt;=0,CW$5-$A64&lt;=19),INDEX(HU_ord,CW$5-$A64+1)*$B64,0)</f>
        <v>0.0</v>
      </c>
      <c r="CX64" s="14">
        <f>IF(AND(CX$5-$A64&gt;=0,CX$5-$A64&lt;=19),INDEX(HU_ord,CX$5-$A64+1)*$B64,0)</f>
        <v>0.0</v>
      </c>
      <c r="CY64" s="14">
        <f>IF(AND(CY$5-$A64&gt;=0,CY$5-$A64&lt;=19),INDEX(HU_ord,CY$5-$A64+1)*$B64,0)</f>
        <v>0.0</v>
      </c>
      <c r="CZ64" s="14">
        <f>IF(AND(CZ$5-$A64&gt;=0,CZ$5-$A64&lt;=19),INDEX(HU_ord,CZ$5-$A64+1)*$B64,0)</f>
        <v>0.0</v>
      </c>
      <c r="DA64" s="14">
        <f>IF(AND(DA$5-$A64&gt;=0,DA$5-$A64&lt;=19),INDEX(HU_ord,DA$5-$A64+1)*$B64,0)</f>
        <v>0.0</v>
      </c>
      <c r="DB64" s="14">
        <f>IF(AND(DB$5-$A64&gt;=0,DB$5-$A64&lt;=19),INDEX(HU_ord,DB$5-$A64+1)*$B64,0)</f>
        <v>0.0</v>
      </c>
      <c r="DC64" s="14">
        <f>IF(AND(DC$5-$A64&gt;=0,DC$5-$A64&lt;=19),INDEX(HU_ord,DC$5-$A64+1)*$B64,0)</f>
        <v>0.0</v>
      </c>
      <c r="DD64" s="14">
        <f>IF(AND(DD$5-$A64&gt;=0,DD$5-$A64&lt;=19),INDEX(HU_ord,DD$5-$A64+1)*$B64,0)</f>
        <v>0.0</v>
      </c>
      <c r="DE64" s="14">
        <f>IF(AND(DE$5-$A64&gt;=0,DE$5-$A64&lt;=19),INDEX(HU_ord,DE$5-$A64+1)*$B64,0)</f>
        <v>0.0</v>
      </c>
      <c r="DF64" s="14">
        <f>IF(AND(DF$5-$A64&gt;=0,DF$5-$A64&lt;=19),INDEX(HU_ord,DF$5-$A64+1)*$B64,0)</f>
        <v>0.0</v>
      </c>
      <c r="DG64" s="14">
        <f>IF(AND(DG$5-$A64&gt;=0,DG$5-$A64&lt;=19),INDEX(HU_ord,DG$5-$A64+1)*$B64,0)</f>
        <v>0.0</v>
      </c>
      <c r="DH64" s="14">
        <f>IF(AND(DH$5-$A64&gt;=0,DH$5-$A64&lt;=19),INDEX(HU_ord,DH$5-$A64+1)*$B64,0)</f>
        <v>0.0</v>
      </c>
      <c r="DI64" s="14">
        <f>IF(AND(DI$5-$A64&gt;=0,DI$5-$A64&lt;=19),INDEX(HU_ord,DI$5-$A64+1)*$B64,0)</f>
        <v>0.0</v>
      </c>
    </row>
    <row r="65" spans="1:113">
      <c r="A65">
        <v>59</v>
      </c>
      <c r="B65" s="10">
        <f>Serie_horaria!N61</f>
        <v>0.0</v>
      </c>
      <c r="C65" s="14">
        <f>IF(AND(C$5-$A65&gt;=0,C$5-$A65&lt;=19),INDEX(HU_ord,C$5-$A65+1)*$B65,0)</f>
        <v>0.0</v>
      </c>
      <c r="D65" s="14">
        <f>IF(AND(D$5-$A65&gt;=0,D$5-$A65&lt;=19),INDEX(HU_ord,D$5-$A65+1)*$B65,0)</f>
        <v>0.0</v>
      </c>
      <c r="E65" s="14">
        <f>IF(AND(E$5-$A65&gt;=0,E$5-$A65&lt;=19),INDEX(HU_ord,E$5-$A65+1)*$B65,0)</f>
        <v>0.0</v>
      </c>
      <c r="F65" s="14">
        <f>IF(AND(F$5-$A65&gt;=0,F$5-$A65&lt;=19),INDEX(HU_ord,F$5-$A65+1)*$B65,0)</f>
        <v>0.0</v>
      </c>
      <c r="G65" s="14">
        <f>IF(AND(G$5-$A65&gt;=0,G$5-$A65&lt;=19),INDEX(HU_ord,G$5-$A65+1)*$B65,0)</f>
        <v>0.0</v>
      </c>
      <c r="H65" s="14">
        <f>IF(AND(H$5-$A65&gt;=0,H$5-$A65&lt;=19),INDEX(HU_ord,H$5-$A65+1)*$B65,0)</f>
        <v>0.0</v>
      </c>
      <c r="I65" s="14">
        <f>IF(AND(I$5-$A65&gt;=0,I$5-$A65&lt;=19),INDEX(HU_ord,I$5-$A65+1)*$B65,0)</f>
        <v>0.0</v>
      </c>
      <c r="J65" s="14">
        <f>IF(AND(J$5-$A65&gt;=0,J$5-$A65&lt;=19),INDEX(HU_ord,J$5-$A65+1)*$B65,0)</f>
        <v>0.0</v>
      </c>
      <c r="K65" s="14">
        <f>IF(AND(K$5-$A65&gt;=0,K$5-$A65&lt;=19),INDEX(HU_ord,K$5-$A65+1)*$B65,0)</f>
        <v>0.0</v>
      </c>
      <c r="L65" s="14">
        <f>IF(AND(L$5-$A65&gt;=0,L$5-$A65&lt;=19),INDEX(HU_ord,L$5-$A65+1)*$B65,0)</f>
        <v>0.0</v>
      </c>
      <c r="M65" s="14">
        <f>IF(AND(M$5-$A65&gt;=0,M$5-$A65&lt;=19),INDEX(HU_ord,M$5-$A65+1)*$B65,0)</f>
        <v>0.0</v>
      </c>
      <c r="N65" s="14">
        <f>IF(AND(N$5-$A65&gt;=0,N$5-$A65&lt;=19),INDEX(HU_ord,N$5-$A65+1)*$B65,0)</f>
        <v>0.0</v>
      </c>
      <c r="O65" s="14">
        <f>IF(AND(O$5-$A65&gt;=0,O$5-$A65&lt;=19),INDEX(HU_ord,O$5-$A65+1)*$B65,0)</f>
        <v>0.0</v>
      </c>
      <c r="P65" s="14">
        <f>IF(AND(P$5-$A65&gt;=0,P$5-$A65&lt;=19),INDEX(HU_ord,P$5-$A65+1)*$B65,0)</f>
        <v>0.0</v>
      </c>
      <c r="Q65" s="14">
        <f>IF(AND(Q$5-$A65&gt;=0,Q$5-$A65&lt;=19),INDEX(HU_ord,Q$5-$A65+1)*$B65,0)</f>
        <v>0.0</v>
      </c>
      <c r="R65" s="14">
        <f>IF(AND(R$5-$A65&gt;=0,R$5-$A65&lt;=19),INDEX(HU_ord,R$5-$A65+1)*$B65,0)</f>
        <v>0.0</v>
      </c>
      <c r="S65" s="14">
        <f>IF(AND(S$5-$A65&gt;=0,S$5-$A65&lt;=19),INDEX(HU_ord,S$5-$A65+1)*$B65,0)</f>
        <v>0.0</v>
      </c>
      <c r="T65" s="14">
        <f>IF(AND(T$5-$A65&gt;=0,T$5-$A65&lt;=19),INDEX(HU_ord,T$5-$A65+1)*$B65,0)</f>
        <v>0.0</v>
      </c>
      <c r="U65" s="14">
        <f>IF(AND(U$5-$A65&gt;=0,U$5-$A65&lt;=19),INDEX(HU_ord,U$5-$A65+1)*$B65,0)</f>
        <v>0.0</v>
      </c>
      <c r="V65" s="14">
        <f>IF(AND(V$5-$A65&gt;=0,V$5-$A65&lt;=19),INDEX(HU_ord,V$5-$A65+1)*$B65,0)</f>
        <v>0.0</v>
      </c>
      <c r="W65" s="14">
        <f>IF(AND(W$5-$A65&gt;=0,W$5-$A65&lt;=19),INDEX(HU_ord,W$5-$A65+1)*$B65,0)</f>
        <v>0.0</v>
      </c>
      <c r="X65" s="14">
        <f>IF(AND(X$5-$A65&gt;=0,X$5-$A65&lt;=19),INDEX(HU_ord,X$5-$A65+1)*$B65,0)</f>
        <v>0.0</v>
      </c>
      <c r="Y65" s="14">
        <f>IF(AND(Y$5-$A65&gt;=0,Y$5-$A65&lt;=19),INDEX(HU_ord,Y$5-$A65+1)*$B65,0)</f>
        <v>0.0</v>
      </c>
      <c r="Z65" s="14">
        <f>IF(AND(Z$5-$A65&gt;=0,Z$5-$A65&lt;=19),INDEX(HU_ord,Z$5-$A65+1)*$B65,0)</f>
        <v>0.0</v>
      </c>
      <c r="AA65" s="14">
        <f>IF(AND(AA$5-$A65&gt;=0,AA$5-$A65&lt;=19),INDEX(HU_ord,AA$5-$A65+1)*$B65,0)</f>
        <v>0.0</v>
      </c>
      <c r="AB65" s="14">
        <f>IF(AND(AB$5-$A65&gt;=0,AB$5-$A65&lt;=19),INDEX(HU_ord,AB$5-$A65+1)*$B65,0)</f>
        <v>0.0</v>
      </c>
      <c r="AC65" s="14">
        <f>IF(AND(AC$5-$A65&gt;=0,AC$5-$A65&lt;=19),INDEX(HU_ord,AC$5-$A65+1)*$B65,0)</f>
        <v>0.0</v>
      </c>
      <c r="AD65" s="14">
        <f>IF(AND(AD$5-$A65&gt;=0,AD$5-$A65&lt;=19),INDEX(HU_ord,AD$5-$A65+1)*$B65,0)</f>
        <v>0.0</v>
      </c>
      <c r="AE65" s="14">
        <f>IF(AND(AE$5-$A65&gt;=0,AE$5-$A65&lt;=19),INDEX(HU_ord,AE$5-$A65+1)*$B65,0)</f>
        <v>0.0</v>
      </c>
      <c r="AF65" s="14">
        <f>IF(AND(AF$5-$A65&gt;=0,AF$5-$A65&lt;=19),INDEX(HU_ord,AF$5-$A65+1)*$B65,0)</f>
        <v>0.0</v>
      </c>
      <c r="AG65" s="14">
        <f>IF(AND(AG$5-$A65&gt;=0,AG$5-$A65&lt;=19),INDEX(HU_ord,AG$5-$A65+1)*$B65,0)</f>
        <v>0.0</v>
      </c>
      <c r="AH65" s="14">
        <f>IF(AND(AH$5-$A65&gt;=0,AH$5-$A65&lt;=19),INDEX(HU_ord,AH$5-$A65+1)*$B65,0)</f>
        <v>0.0</v>
      </c>
      <c r="AI65" s="14">
        <f>IF(AND(AI$5-$A65&gt;=0,AI$5-$A65&lt;=19),INDEX(HU_ord,AI$5-$A65+1)*$B65,0)</f>
        <v>0.0</v>
      </c>
      <c r="AJ65" s="14">
        <f>IF(AND(AJ$5-$A65&gt;=0,AJ$5-$A65&lt;=19),INDEX(HU_ord,AJ$5-$A65+1)*$B65,0)</f>
        <v>0.0</v>
      </c>
      <c r="AK65" s="14">
        <f>IF(AND(AK$5-$A65&gt;=0,AK$5-$A65&lt;=19),INDEX(HU_ord,AK$5-$A65+1)*$B65,0)</f>
        <v>0.0</v>
      </c>
      <c r="AL65" s="14">
        <f>IF(AND(AL$5-$A65&gt;=0,AL$5-$A65&lt;=19),INDEX(HU_ord,AL$5-$A65+1)*$B65,0)</f>
        <v>0.0</v>
      </c>
      <c r="AM65" s="14">
        <f>IF(AND(AM$5-$A65&gt;=0,AM$5-$A65&lt;=19),INDEX(HU_ord,AM$5-$A65+1)*$B65,0)</f>
        <v>0.0</v>
      </c>
      <c r="AN65" s="14">
        <f>IF(AND(AN$5-$A65&gt;=0,AN$5-$A65&lt;=19),INDEX(HU_ord,AN$5-$A65+1)*$B65,0)</f>
        <v>0.0</v>
      </c>
      <c r="AO65" s="14">
        <f>IF(AND(AO$5-$A65&gt;=0,AO$5-$A65&lt;=19),INDEX(HU_ord,AO$5-$A65+1)*$B65,0)</f>
        <v>0.0</v>
      </c>
      <c r="AP65" s="14">
        <f>IF(AND(AP$5-$A65&gt;=0,AP$5-$A65&lt;=19),INDEX(HU_ord,AP$5-$A65+1)*$B65,0)</f>
        <v>0.0</v>
      </c>
      <c r="AQ65" s="14">
        <f>IF(AND(AQ$5-$A65&gt;=0,AQ$5-$A65&lt;=19),INDEX(HU_ord,AQ$5-$A65+1)*$B65,0)</f>
        <v>0.0</v>
      </c>
      <c r="AR65" s="14">
        <f>IF(AND(AR$5-$A65&gt;=0,AR$5-$A65&lt;=19),INDEX(HU_ord,AR$5-$A65+1)*$B65,0)</f>
        <v>0.0</v>
      </c>
      <c r="AS65" s="14">
        <f>IF(AND(AS$5-$A65&gt;=0,AS$5-$A65&lt;=19),INDEX(HU_ord,AS$5-$A65+1)*$B65,0)</f>
        <v>0.0</v>
      </c>
      <c r="AT65" s="14">
        <f>IF(AND(AT$5-$A65&gt;=0,AT$5-$A65&lt;=19),INDEX(HU_ord,AT$5-$A65+1)*$B65,0)</f>
        <v>0.0</v>
      </c>
      <c r="AU65" s="14">
        <f>IF(AND(AU$5-$A65&gt;=0,AU$5-$A65&lt;=19),INDEX(HU_ord,AU$5-$A65+1)*$B65,0)</f>
        <v>0.0</v>
      </c>
      <c r="AV65" s="14">
        <f>IF(AND(AV$5-$A65&gt;=0,AV$5-$A65&lt;=19),INDEX(HU_ord,AV$5-$A65+1)*$B65,0)</f>
        <v>0.0</v>
      </c>
      <c r="AW65" s="14">
        <f>IF(AND(AW$5-$A65&gt;=0,AW$5-$A65&lt;=19),INDEX(HU_ord,AW$5-$A65+1)*$B65,0)</f>
        <v>0.0</v>
      </c>
      <c r="AX65" s="14">
        <f>IF(AND(AX$5-$A65&gt;=0,AX$5-$A65&lt;=19),INDEX(HU_ord,AX$5-$A65+1)*$B65,0)</f>
        <v>0.0</v>
      </c>
      <c r="AY65" s="14">
        <f>IF(AND(AY$5-$A65&gt;=0,AY$5-$A65&lt;=19),INDEX(HU_ord,AY$5-$A65+1)*$B65,0)</f>
        <v>0.0</v>
      </c>
      <c r="AZ65" s="14">
        <f>IF(AND(AZ$5-$A65&gt;=0,AZ$5-$A65&lt;=19),INDEX(HU_ord,AZ$5-$A65+1)*$B65,0)</f>
        <v>0.0</v>
      </c>
      <c r="BA65" s="14">
        <f>IF(AND(BA$5-$A65&gt;=0,BA$5-$A65&lt;=19),INDEX(HU_ord,BA$5-$A65+1)*$B65,0)</f>
        <v>0.0</v>
      </c>
      <c r="BB65" s="14">
        <f>IF(AND(BB$5-$A65&gt;=0,BB$5-$A65&lt;=19),INDEX(HU_ord,BB$5-$A65+1)*$B65,0)</f>
        <v>0.0</v>
      </c>
      <c r="BC65" s="14">
        <f>IF(AND(BC$5-$A65&gt;=0,BC$5-$A65&lt;=19),INDEX(HU_ord,BC$5-$A65+1)*$B65,0)</f>
        <v>0.0</v>
      </c>
      <c r="BD65" s="14">
        <f>IF(AND(BD$5-$A65&gt;=0,BD$5-$A65&lt;=19),INDEX(HU_ord,BD$5-$A65+1)*$B65,0)</f>
        <v>0.0</v>
      </c>
      <c r="BE65" s="14">
        <f>IF(AND(BE$5-$A65&gt;=0,BE$5-$A65&lt;=19),INDEX(HU_ord,BE$5-$A65+1)*$B65,0)</f>
        <v>0.0</v>
      </c>
      <c r="BF65" s="14">
        <f>IF(AND(BF$5-$A65&gt;=0,BF$5-$A65&lt;=19),INDEX(HU_ord,BF$5-$A65+1)*$B65,0)</f>
        <v>0.0</v>
      </c>
      <c r="BG65" s="14">
        <f>IF(AND(BG$5-$A65&gt;=0,BG$5-$A65&lt;=19),INDEX(HU_ord,BG$5-$A65+1)*$B65,0)</f>
        <v>0.0</v>
      </c>
      <c r="BH65" s="14">
        <f>IF(AND(BH$5-$A65&gt;=0,BH$5-$A65&lt;=19),INDEX(HU_ord,BH$5-$A65+1)*$B65,0)</f>
        <v>0.0</v>
      </c>
      <c r="BI65" s="14">
        <f>IF(AND(BI$5-$A65&gt;=0,BI$5-$A65&lt;=19),INDEX(HU_ord,BI$5-$A65+1)*$B65,0)</f>
        <v>0.0</v>
      </c>
      <c r="BJ65" s="14">
        <f>IF(AND(BJ$5-$A65&gt;=0,BJ$5-$A65&lt;=19),INDEX(HU_ord,BJ$5-$A65+1)*$B65,0)</f>
        <v>0.0</v>
      </c>
      <c r="BK65" s="14">
        <f>IF(AND(BK$5-$A65&gt;=0,BK$5-$A65&lt;=19),INDEX(HU_ord,BK$5-$A65+1)*$B65,0)</f>
        <v>0.0</v>
      </c>
      <c r="BL65" s="14">
        <f>IF(AND(BL$5-$A65&gt;=0,BL$5-$A65&lt;=19),INDEX(HU_ord,BL$5-$A65+1)*$B65,0)</f>
        <v>0.0</v>
      </c>
      <c r="BM65" s="14">
        <f>IF(AND(BM$5-$A65&gt;=0,BM$5-$A65&lt;=19),INDEX(HU_ord,BM$5-$A65+1)*$B65,0)</f>
        <v>0.0</v>
      </c>
      <c r="BN65" s="14">
        <f>IF(AND(BN$5-$A65&gt;=0,BN$5-$A65&lt;=19),INDEX(HU_ord,BN$5-$A65+1)*$B65,0)</f>
        <v>0.0</v>
      </c>
      <c r="BO65" s="14">
        <f>IF(AND(BO$5-$A65&gt;=0,BO$5-$A65&lt;=19),INDEX(HU_ord,BO$5-$A65+1)*$B65,0)</f>
        <v>0.0</v>
      </c>
      <c r="BP65" s="14">
        <f>IF(AND(BP$5-$A65&gt;=0,BP$5-$A65&lt;=19),INDEX(HU_ord,BP$5-$A65+1)*$B65,0)</f>
        <v>0.0</v>
      </c>
      <c r="BQ65" s="14">
        <f>IF(AND(BQ$5-$A65&gt;=0,BQ$5-$A65&lt;=19),INDEX(HU_ord,BQ$5-$A65+1)*$B65,0)</f>
        <v>0.0</v>
      </c>
      <c r="BR65" s="14">
        <f>IF(AND(BR$5-$A65&gt;=0,BR$5-$A65&lt;=19),INDEX(HU_ord,BR$5-$A65+1)*$B65,0)</f>
        <v>0.0</v>
      </c>
      <c r="BS65" s="14">
        <f>IF(AND(BS$5-$A65&gt;=0,BS$5-$A65&lt;=19),INDEX(HU_ord,BS$5-$A65+1)*$B65,0)</f>
        <v>0.0</v>
      </c>
      <c r="BT65" s="14">
        <f>IF(AND(BT$5-$A65&gt;=0,BT$5-$A65&lt;=19),INDEX(HU_ord,BT$5-$A65+1)*$B65,0)</f>
        <v>0.0</v>
      </c>
      <c r="BU65" s="14">
        <f>IF(AND(BU$5-$A65&gt;=0,BU$5-$A65&lt;=19),INDEX(HU_ord,BU$5-$A65+1)*$B65,0)</f>
        <v>0.0</v>
      </c>
      <c r="BV65" s="14">
        <f>IF(AND(BV$5-$A65&gt;=0,BV$5-$A65&lt;=19),INDEX(HU_ord,BV$5-$A65+1)*$B65,0)</f>
        <v>0.0</v>
      </c>
      <c r="BW65" s="14">
        <f>IF(AND(BW$5-$A65&gt;=0,BW$5-$A65&lt;=19),INDEX(HU_ord,BW$5-$A65+1)*$B65,0)</f>
        <v>0.0</v>
      </c>
      <c r="BX65" s="14">
        <f>IF(AND(BX$5-$A65&gt;=0,BX$5-$A65&lt;=19),INDEX(HU_ord,BX$5-$A65+1)*$B65,0)</f>
        <v>0.0</v>
      </c>
      <c r="BY65" s="14">
        <f>IF(AND(BY$5-$A65&gt;=0,BY$5-$A65&lt;=19),INDEX(HU_ord,BY$5-$A65+1)*$B65,0)</f>
        <v>0.0</v>
      </c>
      <c r="BZ65" s="14">
        <f>IF(AND(BZ$5-$A65&gt;=0,BZ$5-$A65&lt;=19),INDEX(HU_ord,BZ$5-$A65+1)*$B65,0)</f>
        <v>0.0</v>
      </c>
      <c r="CA65" s="14">
        <f>IF(AND(CA$5-$A65&gt;=0,CA$5-$A65&lt;=19),INDEX(HU_ord,CA$5-$A65+1)*$B65,0)</f>
        <v>0.0</v>
      </c>
      <c r="CB65" s="14">
        <f>IF(AND(CB$5-$A65&gt;=0,CB$5-$A65&lt;=19),INDEX(HU_ord,CB$5-$A65+1)*$B65,0)</f>
        <v>0.0</v>
      </c>
      <c r="CC65" s="14">
        <f>IF(AND(CC$5-$A65&gt;=0,CC$5-$A65&lt;=19),INDEX(HU_ord,CC$5-$A65+1)*$B65,0)</f>
        <v>0.0</v>
      </c>
      <c r="CD65" s="14">
        <f>IF(AND(CD$5-$A65&gt;=0,CD$5-$A65&lt;=19),INDEX(HU_ord,CD$5-$A65+1)*$B65,0)</f>
        <v>0.0</v>
      </c>
      <c r="CE65" s="14">
        <f>IF(AND(CE$5-$A65&gt;=0,CE$5-$A65&lt;=19),INDEX(HU_ord,CE$5-$A65+1)*$B65,0)</f>
        <v>0.0</v>
      </c>
      <c r="CF65" s="14">
        <f>IF(AND(CF$5-$A65&gt;=0,CF$5-$A65&lt;=19),INDEX(HU_ord,CF$5-$A65+1)*$B65,0)</f>
        <v>0.0</v>
      </c>
      <c r="CG65" s="14">
        <f>IF(AND(CG$5-$A65&gt;=0,CG$5-$A65&lt;=19),INDEX(HU_ord,CG$5-$A65+1)*$B65,0)</f>
        <v>0.0</v>
      </c>
      <c r="CH65" s="14">
        <f>IF(AND(CH$5-$A65&gt;=0,CH$5-$A65&lt;=19),INDEX(HU_ord,CH$5-$A65+1)*$B65,0)</f>
        <v>0.0</v>
      </c>
      <c r="CI65" s="14">
        <f>IF(AND(CI$5-$A65&gt;=0,CI$5-$A65&lt;=19),INDEX(HU_ord,CI$5-$A65+1)*$B65,0)</f>
        <v>0.0</v>
      </c>
      <c r="CJ65" s="14">
        <f>IF(AND(CJ$5-$A65&gt;=0,CJ$5-$A65&lt;=19),INDEX(HU_ord,CJ$5-$A65+1)*$B65,0)</f>
        <v>0.0</v>
      </c>
      <c r="CK65" s="14">
        <f>IF(AND(CK$5-$A65&gt;=0,CK$5-$A65&lt;=19),INDEX(HU_ord,CK$5-$A65+1)*$B65,0)</f>
        <v>0.0</v>
      </c>
      <c r="CL65" s="14">
        <f>IF(AND(CL$5-$A65&gt;=0,CL$5-$A65&lt;=19),INDEX(HU_ord,CL$5-$A65+1)*$B65,0)</f>
        <v>0.0</v>
      </c>
      <c r="CM65" s="14">
        <f>IF(AND(CM$5-$A65&gt;=0,CM$5-$A65&lt;=19),INDEX(HU_ord,CM$5-$A65+1)*$B65,0)</f>
        <v>0.0</v>
      </c>
      <c r="CN65" s="14">
        <f>IF(AND(CN$5-$A65&gt;=0,CN$5-$A65&lt;=19),INDEX(HU_ord,CN$5-$A65+1)*$B65,0)</f>
        <v>0.0</v>
      </c>
      <c r="CO65" s="14">
        <f>IF(AND(CO$5-$A65&gt;=0,CO$5-$A65&lt;=19),INDEX(HU_ord,CO$5-$A65+1)*$B65,0)</f>
        <v>0.0</v>
      </c>
      <c r="CP65" s="14">
        <f>IF(AND(CP$5-$A65&gt;=0,CP$5-$A65&lt;=19),INDEX(HU_ord,CP$5-$A65+1)*$B65,0)</f>
        <v>0.0</v>
      </c>
      <c r="CQ65" s="14">
        <f>IF(AND(CQ$5-$A65&gt;=0,CQ$5-$A65&lt;=19),INDEX(HU_ord,CQ$5-$A65+1)*$B65,0)</f>
        <v>0.0</v>
      </c>
      <c r="CR65" s="14">
        <f>IF(AND(CR$5-$A65&gt;=0,CR$5-$A65&lt;=19),INDEX(HU_ord,CR$5-$A65+1)*$B65,0)</f>
        <v>0.0</v>
      </c>
      <c r="CS65" s="14">
        <f>IF(AND(CS$5-$A65&gt;=0,CS$5-$A65&lt;=19),INDEX(HU_ord,CS$5-$A65+1)*$B65,0)</f>
        <v>0.0</v>
      </c>
      <c r="CT65" s="14">
        <f>IF(AND(CT$5-$A65&gt;=0,CT$5-$A65&lt;=19),INDEX(HU_ord,CT$5-$A65+1)*$B65,0)</f>
        <v>0.0</v>
      </c>
      <c r="CU65" s="14">
        <f>IF(AND(CU$5-$A65&gt;=0,CU$5-$A65&lt;=19),INDEX(HU_ord,CU$5-$A65+1)*$B65,0)</f>
        <v>0.0</v>
      </c>
      <c r="CV65" s="14">
        <f>IF(AND(CV$5-$A65&gt;=0,CV$5-$A65&lt;=19),INDEX(HU_ord,CV$5-$A65+1)*$B65,0)</f>
        <v>0.0</v>
      </c>
      <c r="CW65" s="14">
        <f>IF(AND(CW$5-$A65&gt;=0,CW$5-$A65&lt;=19),INDEX(HU_ord,CW$5-$A65+1)*$B65,0)</f>
        <v>0.0</v>
      </c>
      <c r="CX65" s="14">
        <f>IF(AND(CX$5-$A65&gt;=0,CX$5-$A65&lt;=19),INDEX(HU_ord,CX$5-$A65+1)*$B65,0)</f>
        <v>0.0</v>
      </c>
      <c r="CY65" s="14">
        <f>IF(AND(CY$5-$A65&gt;=0,CY$5-$A65&lt;=19),INDEX(HU_ord,CY$5-$A65+1)*$B65,0)</f>
        <v>0.0</v>
      </c>
      <c r="CZ65" s="14">
        <f>IF(AND(CZ$5-$A65&gt;=0,CZ$5-$A65&lt;=19),INDEX(HU_ord,CZ$5-$A65+1)*$B65,0)</f>
        <v>0.0</v>
      </c>
      <c r="DA65" s="14">
        <f>IF(AND(DA$5-$A65&gt;=0,DA$5-$A65&lt;=19),INDEX(HU_ord,DA$5-$A65+1)*$B65,0)</f>
        <v>0.0</v>
      </c>
      <c r="DB65" s="14">
        <f>IF(AND(DB$5-$A65&gt;=0,DB$5-$A65&lt;=19),INDEX(HU_ord,DB$5-$A65+1)*$B65,0)</f>
        <v>0.0</v>
      </c>
      <c r="DC65" s="14">
        <f>IF(AND(DC$5-$A65&gt;=0,DC$5-$A65&lt;=19),INDEX(HU_ord,DC$5-$A65+1)*$B65,0)</f>
        <v>0.0</v>
      </c>
      <c r="DD65" s="14">
        <f>IF(AND(DD$5-$A65&gt;=0,DD$5-$A65&lt;=19),INDEX(HU_ord,DD$5-$A65+1)*$B65,0)</f>
        <v>0.0</v>
      </c>
      <c r="DE65" s="14">
        <f>IF(AND(DE$5-$A65&gt;=0,DE$5-$A65&lt;=19),INDEX(HU_ord,DE$5-$A65+1)*$B65,0)</f>
        <v>0.0</v>
      </c>
      <c r="DF65" s="14">
        <f>IF(AND(DF$5-$A65&gt;=0,DF$5-$A65&lt;=19),INDEX(HU_ord,DF$5-$A65+1)*$B65,0)</f>
        <v>0.0</v>
      </c>
      <c r="DG65" s="14">
        <f>IF(AND(DG$5-$A65&gt;=0,DG$5-$A65&lt;=19),INDEX(HU_ord,DG$5-$A65+1)*$B65,0)</f>
        <v>0.0</v>
      </c>
      <c r="DH65" s="14">
        <f>IF(AND(DH$5-$A65&gt;=0,DH$5-$A65&lt;=19),INDEX(HU_ord,DH$5-$A65+1)*$B65,0)</f>
        <v>0.0</v>
      </c>
      <c r="DI65" s="14">
        <f>IF(AND(DI$5-$A65&gt;=0,DI$5-$A65&lt;=19),INDEX(HU_ord,DI$5-$A65+1)*$B65,0)</f>
        <v>0.0</v>
      </c>
    </row>
    <row r="66" spans="1:113">
      <c r="A66">
        <v>60</v>
      </c>
      <c r="B66" s="10">
        <f>Serie_horaria!N62</f>
        <v>0.0</v>
      </c>
      <c r="C66" s="14">
        <f>IF(AND(C$5-$A66&gt;=0,C$5-$A66&lt;=19),INDEX(HU_ord,C$5-$A66+1)*$B66,0)</f>
        <v>0.0</v>
      </c>
      <c r="D66" s="14">
        <f>IF(AND(D$5-$A66&gt;=0,D$5-$A66&lt;=19),INDEX(HU_ord,D$5-$A66+1)*$B66,0)</f>
        <v>0.0</v>
      </c>
      <c r="E66" s="14">
        <f>IF(AND(E$5-$A66&gt;=0,E$5-$A66&lt;=19),INDEX(HU_ord,E$5-$A66+1)*$B66,0)</f>
        <v>0.0</v>
      </c>
      <c r="F66" s="14">
        <f>IF(AND(F$5-$A66&gt;=0,F$5-$A66&lt;=19),INDEX(HU_ord,F$5-$A66+1)*$B66,0)</f>
        <v>0.0</v>
      </c>
      <c r="G66" s="14">
        <f>IF(AND(G$5-$A66&gt;=0,G$5-$A66&lt;=19),INDEX(HU_ord,G$5-$A66+1)*$B66,0)</f>
        <v>0.0</v>
      </c>
      <c r="H66" s="14">
        <f>IF(AND(H$5-$A66&gt;=0,H$5-$A66&lt;=19),INDEX(HU_ord,H$5-$A66+1)*$B66,0)</f>
        <v>0.0</v>
      </c>
      <c r="I66" s="14">
        <f>IF(AND(I$5-$A66&gt;=0,I$5-$A66&lt;=19),INDEX(HU_ord,I$5-$A66+1)*$B66,0)</f>
        <v>0.0</v>
      </c>
      <c r="J66" s="14">
        <f>IF(AND(J$5-$A66&gt;=0,J$5-$A66&lt;=19),INDEX(HU_ord,J$5-$A66+1)*$B66,0)</f>
        <v>0.0</v>
      </c>
      <c r="K66" s="14">
        <f>IF(AND(K$5-$A66&gt;=0,K$5-$A66&lt;=19),INDEX(HU_ord,K$5-$A66+1)*$B66,0)</f>
        <v>0.0</v>
      </c>
      <c r="L66" s="14">
        <f>IF(AND(L$5-$A66&gt;=0,L$5-$A66&lt;=19),INDEX(HU_ord,L$5-$A66+1)*$B66,0)</f>
        <v>0.0</v>
      </c>
      <c r="M66" s="14">
        <f>IF(AND(M$5-$A66&gt;=0,M$5-$A66&lt;=19),INDEX(HU_ord,M$5-$A66+1)*$B66,0)</f>
        <v>0.0</v>
      </c>
      <c r="N66" s="14">
        <f>IF(AND(N$5-$A66&gt;=0,N$5-$A66&lt;=19),INDEX(HU_ord,N$5-$A66+1)*$B66,0)</f>
        <v>0.0</v>
      </c>
      <c r="O66" s="14">
        <f>IF(AND(O$5-$A66&gt;=0,O$5-$A66&lt;=19),INDEX(HU_ord,O$5-$A66+1)*$B66,0)</f>
        <v>0.0</v>
      </c>
      <c r="P66" s="14">
        <f>IF(AND(P$5-$A66&gt;=0,P$5-$A66&lt;=19),INDEX(HU_ord,P$5-$A66+1)*$B66,0)</f>
        <v>0.0</v>
      </c>
      <c r="Q66" s="14">
        <f>IF(AND(Q$5-$A66&gt;=0,Q$5-$A66&lt;=19),INDEX(HU_ord,Q$5-$A66+1)*$B66,0)</f>
        <v>0.0</v>
      </c>
      <c r="R66" s="14">
        <f>IF(AND(R$5-$A66&gt;=0,R$5-$A66&lt;=19),INDEX(HU_ord,R$5-$A66+1)*$B66,0)</f>
        <v>0.0</v>
      </c>
      <c r="S66" s="14">
        <f>IF(AND(S$5-$A66&gt;=0,S$5-$A66&lt;=19),INDEX(HU_ord,S$5-$A66+1)*$B66,0)</f>
        <v>0.0</v>
      </c>
      <c r="T66" s="14">
        <f>IF(AND(T$5-$A66&gt;=0,T$5-$A66&lt;=19),INDEX(HU_ord,T$5-$A66+1)*$B66,0)</f>
        <v>0.0</v>
      </c>
      <c r="U66" s="14">
        <f>IF(AND(U$5-$A66&gt;=0,U$5-$A66&lt;=19),INDEX(HU_ord,U$5-$A66+1)*$B66,0)</f>
        <v>0.0</v>
      </c>
      <c r="V66" s="14">
        <f>IF(AND(V$5-$A66&gt;=0,V$5-$A66&lt;=19),INDEX(HU_ord,V$5-$A66+1)*$B66,0)</f>
        <v>0.0</v>
      </c>
      <c r="W66" s="14">
        <f>IF(AND(W$5-$A66&gt;=0,W$5-$A66&lt;=19),INDEX(HU_ord,W$5-$A66+1)*$B66,0)</f>
        <v>0.0</v>
      </c>
      <c r="X66" s="14">
        <f>IF(AND(X$5-$A66&gt;=0,X$5-$A66&lt;=19),INDEX(HU_ord,X$5-$A66+1)*$B66,0)</f>
        <v>0.0</v>
      </c>
      <c r="Y66" s="14">
        <f>IF(AND(Y$5-$A66&gt;=0,Y$5-$A66&lt;=19),INDEX(HU_ord,Y$5-$A66+1)*$B66,0)</f>
        <v>0.0</v>
      </c>
      <c r="Z66" s="14">
        <f>IF(AND(Z$5-$A66&gt;=0,Z$5-$A66&lt;=19),INDEX(HU_ord,Z$5-$A66+1)*$B66,0)</f>
        <v>0.0</v>
      </c>
      <c r="AA66" s="14">
        <f>IF(AND(AA$5-$A66&gt;=0,AA$5-$A66&lt;=19),INDEX(HU_ord,AA$5-$A66+1)*$B66,0)</f>
        <v>0.0</v>
      </c>
      <c r="AB66" s="14">
        <f>IF(AND(AB$5-$A66&gt;=0,AB$5-$A66&lt;=19),INDEX(HU_ord,AB$5-$A66+1)*$B66,0)</f>
        <v>0.0</v>
      </c>
      <c r="AC66" s="14">
        <f>IF(AND(AC$5-$A66&gt;=0,AC$5-$A66&lt;=19),INDEX(HU_ord,AC$5-$A66+1)*$B66,0)</f>
        <v>0.0</v>
      </c>
      <c r="AD66" s="14">
        <f>IF(AND(AD$5-$A66&gt;=0,AD$5-$A66&lt;=19),INDEX(HU_ord,AD$5-$A66+1)*$B66,0)</f>
        <v>0.0</v>
      </c>
      <c r="AE66" s="14">
        <f>IF(AND(AE$5-$A66&gt;=0,AE$5-$A66&lt;=19),INDEX(HU_ord,AE$5-$A66+1)*$B66,0)</f>
        <v>0.0</v>
      </c>
      <c r="AF66" s="14">
        <f>IF(AND(AF$5-$A66&gt;=0,AF$5-$A66&lt;=19),INDEX(HU_ord,AF$5-$A66+1)*$B66,0)</f>
        <v>0.0</v>
      </c>
      <c r="AG66" s="14">
        <f>IF(AND(AG$5-$A66&gt;=0,AG$5-$A66&lt;=19),INDEX(HU_ord,AG$5-$A66+1)*$B66,0)</f>
        <v>0.0</v>
      </c>
      <c r="AH66" s="14">
        <f>IF(AND(AH$5-$A66&gt;=0,AH$5-$A66&lt;=19),INDEX(HU_ord,AH$5-$A66+1)*$B66,0)</f>
        <v>0.0</v>
      </c>
      <c r="AI66" s="14">
        <f>IF(AND(AI$5-$A66&gt;=0,AI$5-$A66&lt;=19),INDEX(HU_ord,AI$5-$A66+1)*$B66,0)</f>
        <v>0.0</v>
      </c>
      <c r="AJ66" s="14">
        <f>IF(AND(AJ$5-$A66&gt;=0,AJ$5-$A66&lt;=19),INDEX(HU_ord,AJ$5-$A66+1)*$B66,0)</f>
        <v>0.0</v>
      </c>
      <c r="AK66" s="14">
        <f>IF(AND(AK$5-$A66&gt;=0,AK$5-$A66&lt;=19),INDEX(HU_ord,AK$5-$A66+1)*$B66,0)</f>
        <v>0.0</v>
      </c>
      <c r="AL66" s="14">
        <f>IF(AND(AL$5-$A66&gt;=0,AL$5-$A66&lt;=19),INDEX(HU_ord,AL$5-$A66+1)*$B66,0)</f>
        <v>0.0</v>
      </c>
      <c r="AM66" s="14">
        <f>IF(AND(AM$5-$A66&gt;=0,AM$5-$A66&lt;=19),INDEX(HU_ord,AM$5-$A66+1)*$B66,0)</f>
        <v>0.0</v>
      </c>
      <c r="AN66" s="14">
        <f>IF(AND(AN$5-$A66&gt;=0,AN$5-$A66&lt;=19),INDEX(HU_ord,AN$5-$A66+1)*$B66,0)</f>
        <v>0.0</v>
      </c>
      <c r="AO66" s="14">
        <f>IF(AND(AO$5-$A66&gt;=0,AO$5-$A66&lt;=19),INDEX(HU_ord,AO$5-$A66+1)*$B66,0)</f>
        <v>0.0</v>
      </c>
      <c r="AP66" s="14">
        <f>IF(AND(AP$5-$A66&gt;=0,AP$5-$A66&lt;=19),INDEX(HU_ord,AP$5-$A66+1)*$B66,0)</f>
        <v>0.0</v>
      </c>
      <c r="AQ66" s="14">
        <f>IF(AND(AQ$5-$A66&gt;=0,AQ$5-$A66&lt;=19),INDEX(HU_ord,AQ$5-$A66+1)*$B66,0)</f>
        <v>0.0</v>
      </c>
      <c r="AR66" s="14">
        <f>IF(AND(AR$5-$A66&gt;=0,AR$5-$A66&lt;=19),INDEX(HU_ord,AR$5-$A66+1)*$B66,0)</f>
        <v>0.0</v>
      </c>
      <c r="AS66" s="14">
        <f>IF(AND(AS$5-$A66&gt;=0,AS$5-$A66&lt;=19),INDEX(HU_ord,AS$5-$A66+1)*$B66,0)</f>
        <v>0.0</v>
      </c>
      <c r="AT66" s="14">
        <f>IF(AND(AT$5-$A66&gt;=0,AT$5-$A66&lt;=19),INDEX(HU_ord,AT$5-$A66+1)*$B66,0)</f>
        <v>0.0</v>
      </c>
      <c r="AU66" s="14">
        <f>IF(AND(AU$5-$A66&gt;=0,AU$5-$A66&lt;=19),INDEX(HU_ord,AU$5-$A66+1)*$B66,0)</f>
        <v>0.0</v>
      </c>
      <c r="AV66" s="14">
        <f>IF(AND(AV$5-$A66&gt;=0,AV$5-$A66&lt;=19),INDEX(HU_ord,AV$5-$A66+1)*$B66,0)</f>
        <v>0.0</v>
      </c>
      <c r="AW66" s="14">
        <f>IF(AND(AW$5-$A66&gt;=0,AW$5-$A66&lt;=19),INDEX(HU_ord,AW$5-$A66+1)*$B66,0)</f>
        <v>0.0</v>
      </c>
      <c r="AX66" s="14">
        <f>IF(AND(AX$5-$A66&gt;=0,AX$5-$A66&lt;=19),INDEX(HU_ord,AX$5-$A66+1)*$B66,0)</f>
        <v>0.0</v>
      </c>
      <c r="AY66" s="14">
        <f>IF(AND(AY$5-$A66&gt;=0,AY$5-$A66&lt;=19),INDEX(HU_ord,AY$5-$A66+1)*$B66,0)</f>
        <v>0.0</v>
      </c>
      <c r="AZ66" s="14">
        <f>IF(AND(AZ$5-$A66&gt;=0,AZ$5-$A66&lt;=19),INDEX(HU_ord,AZ$5-$A66+1)*$B66,0)</f>
        <v>0.0</v>
      </c>
      <c r="BA66" s="14">
        <f>IF(AND(BA$5-$A66&gt;=0,BA$5-$A66&lt;=19),INDEX(HU_ord,BA$5-$A66+1)*$B66,0)</f>
        <v>0.0</v>
      </c>
      <c r="BB66" s="14">
        <f>IF(AND(BB$5-$A66&gt;=0,BB$5-$A66&lt;=19),INDEX(HU_ord,BB$5-$A66+1)*$B66,0)</f>
        <v>0.0</v>
      </c>
      <c r="BC66" s="14">
        <f>IF(AND(BC$5-$A66&gt;=0,BC$5-$A66&lt;=19),INDEX(HU_ord,BC$5-$A66+1)*$B66,0)</f>
        <v>0.0</v>
      </c>
      <c r="BD66" s="14">
        <f>IF(AND(BD$5-$A66&gt;=0,BD$5-$A66&lt;=19),INDEX(HU_ord,BD$5-$A66+1)*$B66,0)</f>
        <v>0.0</v>
      </c>
      <c r="BE66" s="14">
        <f>IF(AND(BE$5-$A66&gt;=0,BE$5-$A66&lt;=19),INDEX(HU_ord,BE$5-$A66+1)*$B66,0)</f>
        <v>0.0</v>
      </c>
      <c r="BF66" s="14">
        <f>IF(AND(BF$5-$A66&gt;=0,BF$5-$A66&lt;=19),INDEX(HU_ord,BF$5-$A66+1)*$B66,0)</f>
        <v>0.0</v>
      </c>
      <c r="BG66" s="14">
        <f>IF(AND(BG$5-$A66&gt;=0,BG$5-$A66&lt;=19),INDEX(HU_ord,BG$5-$A66+1)*$B66,0)</f>
        <v>0.0</v>
      </c>
      <c r="BH66" s="14">
        <f>IF(AND(BH$5-$A66&gt;=0,BH$5-$A66&lt;=19),INDEX(HU_ord,BH$5-$A66+1)*$B66,0)</f>
        <v>0.0</v>
      </c>
      <c r="BI66" s="14">
        <f>IF(AND(BI$5-$A66&gt;=0,BI$5-$A66&lt;=19),INDEX(HU_ord,BI$5-$A66+1)*$B66,0)</f>
        <v>0.0</v>
      </c>
      <c r="BJ66" s="14">
        <f>IF(AND(BJ$5-$A66&gt;=0,BJ$5-$A66&lt;=19),INDEX(HU_ord,BJ$5-$A66+1)*$B66,0)</f>
        <v>0.0</v>
      </c>
      <c r="BK66" s="14">
        <f>IF(AND(BK$5-$A66&gt;=0,BK$5-$A66&lt;=19),INDEX(HU_ord,BK$5-$A66+1)*$B66,0)</f>
        <v>0.0</v>
      </c>
      <c r="BL66" s="14">
        <f>IF(AND(BL$5-$A66&gt;=0,BL$5-$A66&lt;=19),INDEX(HU_ord,BL$5-$A66+1)*$B66,0)</f>
        <v>0.0</v>
      </c>
      <c r="BM66" s="14">
        <f>IF(AND(BM$5-$A66&gt;=0,BM$5-$A66&lt;=19),INDEX(HU_ord,BM$5-$A66+1)*$B66,0)</f>
        <v>0.0</v>
      </c>
      <c r="BN66" s="14">
        <f>IF(AND(BN$5-$A66&gt;=0,BN$5-$A66&lt;=19),INDEX(HU_ord,BN$5-$A66+1)*$B66,0)</f>
        <v>0.0</v>
      </c>
      <c r="BO66" s="14">
        <f>IF(AND(BO$5-$A66&gt;=0,BO$5-$A66&lt;=19),INDEX(HU_ord,BO$5-$A66+1)*$B66,0)</f>
        <v>0.0</v>
      </c>
      <c r="BP66" s="14">
        <f>IF(AND(BP$5-$A66&gt;=0,BP$5-$A66&lt;=19),INDEX(HU_ord,BP$5-$A66+1)*$B66,0)</f>
        <v>0.0</v>
      </c>
      <c r="BQ66" s="14">
        <f>IF(AND(BQ$5-$A66&gt;=0,BQ$5-$A66&lt;=19),INDEX(HU_ord,BQ$5-$A66+1)*$B66,0)</f>
        <v>0.0</v>
      </c>
      <c r="BR66" s="14">
        <f>IF(AND(BR$5-$A66&gt;=0,BR$5-$A66&lt;=19),INDEX(HU_ord,BR$5-$A66+1)*$B66,0)</f>
        <v>0.0</v>
      </c>
      <c r="BS66" s="14">
        <f>IF(AND(BS$5-$A66&gt;=0,BS$5-$A66&lt;=19),INDEX(HU_ord,BS$5-$A66+1)*$B66,0)</f>
        <v>0.0</v>
      </c>
      <c r="BT66" s="14">
        <f>IF(AND(BT$5-$A66&gt;=0,BT$5-$A66&lt;=19),INDEX(HU_ord,BT$5-$A66+1)*$B66,0)</f>
        <v>0.0</v>
      </c>
      <c r="BU66" s="14">
        <f>IF(AND(BU$5-$A66&gt;=0,BU$5-$A66&lt;=19),INDEX(HU_ord,BU$5-$A66+1)*$B66,0)</f>
        <v>0.0</v>
      </c>
      <c r="BV66" s="14">
        <f>IF(AND(BV$5-$A66&gt;=0,BV$5-$A66&lt;=19),INDEX(HU_ord,BV$5-$A66+1)*$B66,0)</f>
        <v>0.0</v>
      </c>
      <c r="BW66" s="14">
        <f>IF(AND(BW$5-$A66&gt;=0,BW$5-$A66&lt;=19),INDEX(HU_ord,BW$5-$A66+1)*$B66,0)</f>
        <v>0.0</v>
      </c>
      <c r="BX66" s="14">
        <f>IF(AND(BX$5-$A66&gt;=0,BX$5-$A66&lt;=19),INDEX(HU_ord,BX$5-$A66+1)*$B66,0)</f>
        <v>0.0</v>
      </c>
      <c r="BY66" s="14">
        <f>IF(AND(BY$5-$A66&gt;=0,BY$5-$A66&lt;=19),INDEX(HU_ord,BY$5-$A66+1)*$B66,0)</f>
        <v>0.0</v>
      </c>
      <c r="BZ66" s="14">
        <f>IF(AND(BZ$5-$A66&gt;=0,BZ$5-$A66&lt;=19),INDEX(HU_ord,BZ$5-$A66+1)*$B66,0)</f>
        <v>0.0</v>
      </c>
      <c r="CA66" s="14">
        <f>IF(AND(CA$5-$A66&gt;=0,CA$5-$A66&lt;=19),INDEX(HU_ord,CA$5-$A66+1)*$B66,0)</f>
        <v>0.0</v>
      </c>
      <c r="CB66" s="14">
        <f>IF(AND(CB$5-$A66&gt;=0,CB$5-$A66&lt;=19),INDEX(HU_ord,CB$5-$A66+1)*$B66,0)</f>
        <v>0.0</v>
      </c>
      <c r="CC66" s="14">
        <f>IF(AND(CC$5-$A66&gt;=0,CC$5-$A66&lt;=19),INDEX(HU_ord,CC$5-$A66+1)*$B66,0)</f>
        <v>0.0</v>
      </c>
      <c r="CD66" s="14">
        <f>IF(AND(CD$5-$A66&gt;=0,CD$5-$A66&lt;=19),INDEX(HU_ord,CD$5-$A66+1)*$B66,0)</f>
        <v>0.0</v>
      </c>
      <c r="CE66" s="14">
        <f>IF(AND(CE$5-$A66&gt;=0,CE$5-$A66&lt;=19),INDEX(HU_ord,CE$5-$A66+1)*$B66,0)</f>
        <v>0.0</v>
      </c>
      <c r="CF66" s="14">
        <f>IF(AND(CF$5-$A66&gt;=0,CF$5-$A66&lt;=19),INDEX(HU_ord,CF$5-$A66+1)*$B66,0)</f>
        <v>0.0</v>
      </c>
      <c r="CG66" s="14">
        <f>IF(AND(CG$5-$A66&gt;=0,CG$5-$A66&lt;=19),INDEX(HU_ord,CG$5-$A66+1)*$B66,0)</f>
        <v>0.0</v>
      </c>
      <c r="CH66" s="14">
        <f>IF(AND(CH$5-$A66&gt;=0,CH$5-$A66&lt;=19),INDEX(HU_ord,CH$5-$A66+1)*$B66,0)</f>
        <v>0.0</v>
      </c>
      <c r="CI66" s="14">
        <f>IF(AND(CI$5-$A66&gt;=0,CI$5-$A66&lt;=19),INDEX(HU_ord,CI$5-$A66+1)*$B66,0)</f>
        <v>0.0</v>
      </c>
      <c r="CJ66" s="14">
        <f>IF(AND(CJ$5-$A66&gt;=0,CJ$5-$A66&lt;=19),INDEX(HU_ord,CJ$5-$A66+1)*$B66,0)</f>
        <v>0.0</v>
      </c>
      <c r="CK66" s="14">
        <f>IF(AND(CK$5-$A66&gt;=0,CK$5-$A66&lt;=19),INDEX(HU_ord,CK$5-$A66+1)*$B66,0)</f>
        <v>0.0</v>
      </c>
      <c r="CL66" s="14">
        <f>IF(AND(CL$5-$A66&gt;=0,CL$5-$A66&lt;=19),INDEX(HU_ord,CL$5-$A66+1)*$B66,0)</f>
        <v>0.0</v>
      </c>
      <c r="CM66" s="14">
        <f>IF(AND(CM$5-$A66&gt;=0,CM$5-$A66&lt;=19),INDEX(HU_ord,CM$5-$A66+1)*$B66,0)</f>
        <v>0.0</v>
      </c>
      <c r="CN66" s="14">
        <f>IF(AND(CN$5-$A66&gt;=0,CN$5-$A66&lt;=19),INDEX(HU_ord,CN$5-$A66+1)*$B66,0)</f>
        <v>0.0</v>
      </c>
      <c r="CO66" s="14">
        <f>IF(AND(CO$5-$A66&gt;=0,CO$5-$A66&lt;=19),INDEX(HU_ord,CO$5-$A66+1)*$B66,0)</f>
        <v>0.0</v>
      </c>
      <c r="CP66" s="14">
        <f>IF(AND(CP$5-$A66&gt;=0,CP$5-$A66&lt;=19),INDEX(HU_ord,CP$5-$A66+1)*$B66,0)</f>
        <v>0.0</v>
      </c>
      <c r="CQ66" s="14">
        <f>IF(AND(CQ$5-$A66&gt;=0,CQ$5-$A66&lt;=19),INDEX(HU_ord,CQ$5-$A66+1)*$B66,0)</f>
        <v>0.0</v>
      </c>
      <c r="CR66" s="14">
        <f>IF(AND(CR$5-$A66&gt;=0,CR$5-$A66&lt;=19),INDEX(HU_ord,CR$5-$A66+1)*$B66,0)</f>
        <v>0.0</v>
      </c>
      <c r="CS66" s="14">
        <f>IF(AND(CS$5-$A66&gt;=0,CS$5-$A66&lt;=19),INDEX(HU_ord,CS$5-$A66+1)*$B66,0)</f>
        <v>0.0</v>
      </c>
      <c r="CT66" s="14">
        <f>IF(AND(CT$5-$A66&gt;=0,CT$5-$A66&lt;=19),INDEX(HU_ord,CT$5-$A66+1)*$B66,0)</f>
        <v>0.0</v>
      </c>
      <c r="CU66" s="14">
        <f>IF(AND(CU$5-$A66&gt;=0,CU$5-$A66&lt;=19),INDEX(HU_ord,CU$5-$A66+1)*$B66,0)</f>
        <v>0.0</v>
      </c>
      <c r="CV66" s="14">
        <f>IF(AND(CV$5-$A66&gt;=0,CV$5-$A66&lt;=19),INDEX(HU_ord,CV$5-$A66+1)*$B66,0)</f>
        <v>0.0</v>
      </c>
      <c r="CW66" s="14">
        <f>IF(AND(CW$5-$A66&gt;=0,CW$5-$A66&lt;=19),INDEX(HU_ord,CW$5-$A66+1)*$B66,0)</f>
        <v>0.0</v>
      </c>
      <c r="CX66" s="14">
        <f>IF(AND(CX$5-$A66&gt;=0,CX$5-$A66&lt;=19),INDEX(HU_ord,CX$5-$A66+1)*$B66,0)</f>
        <v>0.0</v>
      </c>
      <c r="CY66" s="14">
        <f>IF(AND(CY$5-$A66&gt;=0,CY$5-$A66&lt;=19),INDEX(HU_ord,CY$5-$A66+1)*$B66,0)</f>
        <v>0.0</v>
      </c>
      <c r="CZ66" s="14">
        <f>IF(AND(CZ$5-$A66&gt;=0,CZ$5-$A66&lt;=19),INDEX(HU_ord,CZ$5-$A66+1)*$B66,0)</f>
        <v>0.0</v>
      </c>
      <c r="DA66" s="14">
        <f>IF(AND(DA$5-$A66&gt;=0,DA$5-$A66&lt;=19),INDEX(HU_ord,DA$5-$A66+1)*$B66,0)</f>
        <v>0.0</v>
      </c>
      <c r="DB66" s="14">
        <f>IF(AND(DB$5-$A66&gt;=0,DB$5-$A66&lt;=19),INDEX(HU_ord,DB$5-$A66+1)*$B66,0)</f>
        <v>0.0</v>
      </c>
      <c r="DC66" s="14">
        <f>IF(AND(DC$5-$A66&gt;=0,DC$5-$A66&lt;=19),INDEX(HU_ord,DC$5-$A66+1)*$B66,0)</f>
        <v>0.0</v>
      </c>
      <c r="DD66" s="14">
        <f>IF(AND(DD$5-$A66&gt;=0,DD$5-$A66&lt;=19),INDEX(HU_ord,DD$5-$A66+1)*$B66,0)</f>
        <v>0.0</v>
      </c>
      <c r="DE66" s="14">
        <f>IF(AND(DE$5-$A66&gt;=0,DE$5-$A66&lt;=19),INDEX(HU_ord,DE$5-$A66+1)*$B66,0)</f>
        <v>0.0</v>
      </c>
      <c r="DF66" s="14">
        <f>IF(AND(DF$5-$A66&gt;=0,DF$5-$A66&lt;=19),INDEX(HU_ord,DF$5-$A66+1)*$B66,0)</f>
        <v>0.0</v>
      </c>
      <c r="DG66" s="14">
        <f>IF(AND(DG$5-$A66&gt;=0,DG$5-$A66&lt;=19),INDEX(HU_ord,DG$5-$A66+1)*$B66,0)</f>
        <v>0.0</v>
      </c>
      <c r="DH66" s="14">
        <f>IF(AND(DH$5-$A66&gt;=0,DH$5-$A66&lt;=19),INDEX(HU_ord,DH$5-$A66+1)*$B66,0)</f>
        <v>0.0</v>
      </c>
      <c r="DI66" s="14">
        <f>IF(AND(DI$5-$A66&gt;=0,DI$5-$A66&lt;=19),INDEX(HU_ord,DI$5-$A66+1)*$B66,0)</f>
        <v>0.0</v>
      </c>
    </row>
    <row r="67" spans="1:113">
      <c r="A67">
        <v>61</v>
      </c>
      <c r="B67" s="10">
        <f>Serie_horaria!N63</f>
        <v>0.0</v>
      </c>
      <c r="C67" s="14">
        <f>IF(AND(C$5-$A67&gt;=0,C$5-$A67&lt;=19),INDEX(HU_ord,C$5-$A67+1)*$B67,0)</f>
        <v>0.0</v>
      </c>
      <c r="D67" s="14">
        <f>IF(AND(D$5-$A67&gt;=0,D$5-$A67&lt;=19),INDEX(HU_ord,D$5-$A67+1)*$B67,0)</f>
        <v>0.0</v>
      </c>
      <c r="E67" s="14">
        <f>IF(AND(E$5-$A67&gt;=0,E$5-$A67&lt;=19),INDEX(HU_ord,E$5-$A67+1)*$B67,0)</f>
        <v>0.0</v>
      </c>
      <c r="F67" s="14">
        <f>IF(AND(F$5-$A67&gt;=0,F$5-$A67&lt;=19),INDEX(HU_ord,F$5-$A67+1)*$B67,0)</f>
        <v>0.0</v>
      </c>
      <c r="G67" s="14">
        <f>IF(AND(G$5-$A67&gt;=0,G$5-$A67&lt;=19),INDEX(HU_ord,G$5-$A67+1)*$B67,0)</f>
        <v>0.0</v>
      </c>
      <c r="H67" s="14">
        <f>IF(AND(H$5-$A67&gt;=0,H$5-$A67&lt;=19),INDEX(HU_ord,H$5-$A67+1)*$B67,0)</f>
        <v>0.0</v>
      </c>
      <c r="I67" s="14">
        <f>IF(AND(I$5-$A67&gt;=0,I$5-$A67&lt;=19),INDEX(HU_ord,I$5-$A67+1)*$B67,0)</f>
        <v>0.0</v>
      </c>
      <c r="J67" s="14">
        <f>IF(AND(J$5-$A67&gt;=0,J$5-$A67&lt;=19),INDEX(HU_ord,J$5-$A67+1)*$B67,0)</f>
        <v>0.0</v>
      </c>
      <c r="K67" s="14">
        <f>IF(AND(K$5-$A67&gt;=0,K$5-$A67&lt;=19),INDEX(HU_ord,K$5-$A67+1)*$B67,0)</f>
        <v>0.0</v>
      </c>
      <c r="L67" s="14">
        <f>IF(AND(L$5-$A67&gt;=0,L$5-$A67&lt;=19),INDEX(HU_ord,L$5-$A67+1)*$B67,0)</f>
        <v>0.0</v>
      </c>
      <c r="M67" s="14">
        <f>IF(AND(M$5-$A67&gt;=0,M$5-$A67&lt;=19),INDEX(HU_ord,M$5-$A67+1)*$B67,0)</f>
        <v>0.0</v>
      </c>
      <c r="N67" s="14">
        <f>IF(AND(N$5-$A67&gt;=0,N$5-$A67&lt;=19),INDEX(HU_ord,N$5-$A67+1)*$B67,0)</f>
        <v>0.0</v>
      </c>
      <c r="O67" s="14">
        <f>IF(AND(O$5-$A67&gt;=0,O$5-$A67&lt;=19),INDEX(HU_ord,O$5-$A67+1)*$B67,0)</f>
        <v>0.0</v>
      </c>
      <c r="P67" s="14">
        <f>IF(AND(P$5-$A67&gt;=0,P$5-$A67&lt;=19),INDEX(HU_ord,P$5-$A67+1)*$B67,0)</f>
        <v>0.0</v>
      </c>
      <c r="Q67" s="14">
        <f>IF(AND(Q$5-$A67&gt;=0,Q$5-$A67&lt;=19),INDEX(HU_ord,Q$5-$A67+1)*$B67,0)</f>
        <v>0.0</v>
      </c>
      <c r="R67" s="14">
        <f>IF(AND(R$5-$A67&gt;=0,R$5-$A67&lt;=19),INDEX(HU_ord,R$5-$A67+1)*$B67,0)</f>
        <v>0.0</v>
      </c>
      <c r="S67" s="14">
        <f>IF(AND(S$5-$A67&gt;=0,S$5-$A67&lt;=19),INDEX(HU_ord,S$5-$A67+1)*$B67,0)</f>
        <v>0.0</v>
      </c>
      <c r="T67" s="14">
        <f>IF(AND(T$5-$A67&gt;=0,T$5-$A67&lt;=19),INDEX(HU_ord,T$5-$A67+1)*$B67,0)</f>
        <v>0.0</v>
      </c>
      <c r="U67" s="14">
        <f>IF(AND(U$5-$A67&gt;=0,U$5-$A67&lt;=19),INDEX(HU_ord,U$5-$A67+1)*$B67,0)</f>
        <v>0.0</v>
      </c>
      <c r="V67" s="14">
        <f>IF(AND(V$5-$A67&gt;=0,V$5-$A67&lt;=19),INDEX(HU_ord,V$5-$A67+1)*$B67,0)</f>
        <v>0.0</v>
      </c>
      <c r="W67" s="14">
        <f>IF(AND(W$5-$A67&gt;=0,W$5-$A67&lt;=19),INDEX(HU_ord,W$5-$A67+1)*$B67,0)</f>
        <v>0.0</v>
      </c>
      <c r="X67" s="14">
        <f>IF(AND(X$5-$A67&gt;=0,X$5-$A67&lt;=19),INDEX(HU_ord,X$5-$A67+1)*$B67,0)</f>
        <v>0.0</v>
      </c>
      <c r="Y67" s="14">
        <f>IF(AND(Y$5-$A67&gt;=0,Y$5-$A67&lt;=19),INDEX(HU_ord,Y$5-$A67+1)*$B67,0)</f>
        <v>0.0</v>
      </c>
      <c r="Z67" s="14">
        <f>IF(AND(Z$5-$A67&gt;=0,Z$5-$A67&lt;=19),INDEX(HU_ord,Z$5-$A67+1)*$B67,0)</f>
        <v>0.0</v>
      </c>
      <c r="AA67" s="14">
        <f>IF(AND(AA$5-$A67&gt;=0,AA$5-$A67&lt;=19),INDEX(HU_ord,AA$5-$A67+1)*$B67,0)</f>
        <v>0.0</v>
      </c>
      <c r="AB67" s="14">
        <f>IF(AND(AB$5-$A67&gt;=0,AB$5-$A67&lt;=19),INDEX(HU_ord,AB$5-$A67+1)*$B67,0)</f>
        <v>0.0</v>
      </c>
      <c r="AC67" s="14">
        <f>IF(AND(AC$5-$A67&gt;=0,AC$5-$A67&lt;=19),INDEX(HU_ord,AC$5-$A67+1)*$B67,0)</f>
        <v>0.0</v>
      </c>
      <c r="AD67" s="14">
        <f>IF(AND(AD$5-$A67&gt;=0,AD$5-$A67&lt;=19),INDEX(HU_ord,AD$5-$A67+1)*$B67,0)</f>
        <v>0.0</v>
      </c>
      <c r="AE67" s="14">
        <f>IF(AND(AE$5-$A67&gt;=0,AE$5-$A67&lt;=19),INDEX(HU_ord,AE$5-$A67+1)*$B67,0)</f>
        <v>0.0</v>
      </c>
      <c r="AF67" s="14">
        <f>IF(AND(AF$5-$A67&gt;=0,AF$5-$A67&lt;=19),INDEX(HU_ord,AF$5-$A67+1)*$B67,0)</f>
        <v>0.0</v>
      </c>
      <c r="AG67" s="14">
        <f>IF(AND(AG$5-$A67&gt;=0,AG$5-$A67&lt;=19),INDEX(HU_ord,AG$5-$A67+1)*$B67,0)</f>
        <v>0.0</v>
      </c>
      <c r="AH67" s="14">
        <f>IF(AND(AH$5-$A67&gt;=0,AH$5-$A67&lt;=19),INDEX(HU_ord,AH$5-$A67+1)*$B67,0)</f>
        <v>0.0</v>
      </c>
      <c r="AI67" s="14">
        <f>IF(AND(AI$5-$A67&gt;=0,AI$5-$A67&lt;=19),INDEX(HU_ord,AI$5-$A67+1)*$B67,0)</f>
        <v>0.0</v>
      </c>
      <c r="AJ67" s="14">
        <f>IF(AND(AJ$5-$A67&gt;=0,AJ$5-$A67&lt;=19),INDEX(HU_ord,AJ$5-$A67+1)*$B67,0)</f>
        <v>0.0</v>
      </c>
      <c r="AK67" s="14">
        <f>IF(AND(AK$5-$A67&gt;=0,AK$5-$A67&lt;=19),INDEX(HU_ord,AK$5-$A67+1)*$B67,0)</f>
        <v>0.0</v>
      </c>
      <c r="AL67" s="14">
        <f>IF(AND(AL$5-$A67&gt;=0,AL$5-$A67&lt;=19),INDEX(HU_ord,AL$5-$A67+1)*$B67,0)</f>
        <v>0.0</v>
      </c>
      <c r="AM67" s="14">
        <f>IF(AND(AM$5-$A67&gt;=0,AM$5-$A67&lt;=19),INDEX(HU_ord,AM$5-$A67+1)*$B67,0)</f>
        <v>0.0</v>
      </c>
      <c r="AN67" s="14">
        <f>IF(AND(AN$5-$A67&gt;=0,AN$5-$A67&lt;=19),INDEX(HU_ord,AN$5-$A67+1)*$B67,0)</f>
        <v>0.0</v>
      </c>
      <c r="AO67" s="14">
        <f>IF(AND(AO$5-$A67&gt;=0,AO$5-$A67&lt;=19),INDEX(HU_ord,AO$5-$A67+1)*$B67,0)</f>
        <v>0.0</v>
      </c>
      <c r="AP67" s="14">
        <f>IF(AND(AP$5-$A67&gt;=0,AP$5-$A67&lt;=19),INDEX(HU_ord,AP$5-$A67+1)*$B67,0)</f>
        <v>0.0</v>
      </c>
      <c r="AQ67" s="14">
        <f>IF(AND(AQ$5-$A67&gt;=0,AQ$5-$A67&lt;=19),INDEX(HU_ord,AQ$5-$A67+1)*$B67,0)</f>
        <v>0.0</v>
      </c>
      <c r="AR67" s="14">
        <f>IF(AND(AR$5-$A67&gt;=0,AR$5-$A67&lt;=19),INDEX(HU_ord,AR$5-$A67+1)*$B67,0)</f>
        <v>0.0</v>
      </c>
      <c r="AS67" s="14">
        <f>IF(AND(AS$5-$A67&gt;=0,AS$5-$A67&lt;=19),INDEX(HU_ord,AS$5-$A67+1)*$B67,0)</f>
        <v>0.0</v>
      </c>
      <c r="AT67" s="14">
        <f>IF(AND(AT$5-$A67&gt;=0,AT$5-$A67&lt;=19),INDEX(HU_ord,AT$5-$A67+1)*$B67,0)</f>
        <v>0.0</v>
      </c>
      <c r="AU67" s="14">
        <f>IF(AND(AU$5-$A67&gt;=0,AU$5-$A67&lt;=19),INDEX(HU_ord,AU$5-$A67+1)*$B67,0)</f>
        <v>0.0</v>
      </c>
      <c r="AV67" s="14">
        <f>IF(AND(AV$5-$A67&gt;=0,AV$5-$A67&lt;=19),INDEX(HU_ord,AV$5-$A67+1)*$B67,0)</f>
        <v>0.0</v>
      </c>
      <c r="AW67" s="14">
        <f>IF(AND(AW$5-$A67&gt;=0,AW$5-$A67&lt;=19),INDEX(HU_ord,AW$5-$A67+1)*$B67,0)</f>
        <v>0.0</v>
      </c>
      <c r="AX67" s="14">
        <f>IF(AND(AX$5-$A67&gt;=0,AX$5-$A67&lt;=19),INDEX(HU_ord,AX$5-$A67+1)*$B67,0)</f>
        <v>0.0</v>
      </c>
      <c r="AY67" s="14">
        <f>IF(AND(AY$5-$A67&gt;=0,AY$5-$A67&lt;=19),INDEX(HU_ord,AY$5-$A67+1)*$B67,0)</f>
        <v>0.0</v>
      </c>
      <c r="AZ67" s="14">
        <f>IF(AND(AZ$5-$A67&gt;=0,AZ$5-$A67&lt;=19),INDEX(HU_ord,AZ$5-$A67+1)*$B67,0)</f>
        <v>0.0</v>
      </c>
      <c r="BA67" s="14">
        <f>IF(AND(BA$5-$A67&gt;=0,BA$5-$A67&lt;=19),INDEX(HU_ord,BA$5-$A67+1)*$B67,0)</f>
        <v>0.0</v>
      </c>
      <c r="BB67" s="14">
        <f>IF(AND(BB$5-$A67&gt;=0,BB$5-$A67&lt;=19),INDEX(HU_ord,BB$5-$A67+1)*$B67,0)</f>
        <v>0.0</v>
      </c>
      <c r="BC67" s="14">
        <f>IF(AND(BC$5-$A67&gt;=0,BC$5-$A67&lt;=19),INDEX(HU_ord,BC$5-$A67+1)*$B67,0)</f>
        <v>0.0</v>
      </c>
      <c r="BD67" s="14">
        <f>IF(AND(BD$5-$A67&gt;=0,BD$5-$A67&lt;=19),INDEX(HU_ord,BD$5-$A67+1)*$B67,0)</f>
        <v>0.0</v>
      </c>
      <c r="BE67" s="14">
        <f>IF(AND(BE$5-$A67&gt;=0,BE$5-$A67&lt;=19),INDEX(HU_ord,BE$5-$A67+1)*$B67,0)</f>
        <v>0.0</v>
      </c>
      <c r="BF67" s="14">
        <f>IF(AND(BF$5-$A67&gt;=0,BF$5-$A67&lt;=19),INDEX(HU_ord,BF$5-$A67+1)*$B67,0)</f>
        <v>0.0</v>
      </c>
      <c r="BG67" s="14">
        <f>IF(AND(BG$5-$A67&gt;=0,BG$5-$A67&lt;=19),INDEX(HU_ord,BG$5-$A67+1)*$B67,0)</f>
        <v>0.0</v>
      </c>
      <c r="BH67" s="14">
        <f>IF(AND(BH$5-$A67&gt;=0,BH$5-$A67&lt;=19),INDEX(HU_ord,BH$5-$A67+1)*$B67,0)</f>
        <v>0.0</v>
      </c>
      <c r="BI67" s="14">
        <f>IF(AND(BI$5-$A67&gt;=0,BI$5-$A67&lt;=19),INDEX(HU_ord,BI$5-$A67+1)*$B67,0)</f>
        <v>0.0</v>
      </c>
      <c r="BJ67" s="14">
        <f>IF(AND(BJ$5-$A67&gt;=0,BJ$5-$A67&lt;=19),INDEX(HU_ord,BJ$5-$A67+1)*$B67,0)</f>
        <v>0.0</v>
      </c>
      <c r="BK67" s="14">
        <f>IF(AND(BK$5-$A67&gt;=0,BK$5-$A67&lt;=19),INDEX(HU_ord,BK$5-$A67+1)*$B67,0)</f>
        <v>0.0</v>
      </c>
      <c r="BL67" s="14">
        <f>IF(AND(BL$5-$A67&gt;=0,BL$5-$A67&lt;=19),INDEX(HU_ord,BL$5-$A67+1)*$B67,0)</f>
        <v>0.0</v>
      </c>
      <c r="BM67" s="14">
        <f>IF(AND(BM$5-$A67&gt;=0,BM$5-$A67&lt;=19),INDEX(HU_ord,BM$5-$A67+1)*$B67,0)</f>
        <v>0.0</v>
      </c>
      <c r="BN67" s="14">
        <f>IF(AND(BN$5-$A67&gt;=0,BN$5-$A67&lt;=19),INDEX(HU_ord,BN$5-$A67+1)*$B67,0)</f>
        <v>0.0</v>
      </c>
      <c r="BO67" s="14">
        <f>IF(AND(BO$5-$A67&gt;=0,BO$5-$A67&lt;=19),INDEX(HU_ord,BO$5-$A67+1)*$B67,0)</f>
        <v>0.0</v>
      </c>
      <c r="BP67" s="14">
        <f>IF(AND(BP$5-$A67&gt;=0,BP$5-$A67&lt;=19),INDEX(HU_ord,BP$5-$A67+1)*$B67,0)</f>
        <v>0.0</v>
      </c>
      <c r="BQ67" s="14">
        <f>IF(AND(BQ$5-$A67&gt;=0,BQ$5-$A67&lt;=19),INDEX(HU_ord,BQ$5-$A67+1)*$B67,0)</f>
        <v>0.0</v>
      </c>
      <c r="BR67" s="14">
        <f>IF(AND(BR$5-$A67&gt;=0,BR$5-$A67&lt;=19),INDEX(HU_ord,BR$5-$A67+1)*$B67,0)</f>
        <v>0.0</v>
      </c>
      <c r="BS67" s="14">
        <f>IF(AND(BS$5-$A67&gt;=0,BS$5-$A67&lt;=19),INDEX(HU_ord,BS$5-$A67+1)*$B67,0)</f>
        <v>0.0</v>
      </c>
      <c r="BT67" s="14">
        <f>IF(AND(BT$5-$A67&gt;=0,BT$5-$A67&lt;=19),INDEX(HU_ord,BT$5-$A67+1)*$B67,0)</f>
        <v>0.0</v>
      </c>
      <c r="BU67" s="14">
        <f>IF(AND(BU$5-$A67&gt;=0,BU$5-$A67&lt;=19),INDEX(HU_ord,BU$5-$A67+1)*$B67,0)</f>
        <v>0.0</v>
      </c>
      <c r="BV67" s="14">
        <f>IF(AND(BV$5-$A67&gt;=0,BV$5-$A67&lt;=19),INDEX(HU_ord,BV$5-$A67+1)*$B67,0)</f>
        <v>0.0</v>
      </c>
      <c r="BW67" s="14">
        <f>IF(AND(BW$5-$A67&gt;=0,BW$5-$A67&lt;=19),INDEX(HU_ord,BW$5-$A67+1)*$B67,0)</f>
        <v>0.0</v>
      </c>
      <c r="BX67" s="14">
        <f>IF(AND(BX$5-$A67&gt;=0,BX$5-$A67&lt;=19),INDEX(HU_ord,BX$5-$A67+1)*$B67,0)</f>
        <v>0.0</v>
      </c>
      <c r="BY67" s="14">
        <f>IF(AND(BY$5-$A67&gt;=0,BY$5-$A67&lt;=19),INDEX(HU_ord,BY$5-$A67+1)*$B67,0)</f>
        <v>0.0</v>
      </c>
      <c r="BZ67" s="14">
        <f>IF(AND(BZ$5-$A67&gt;=0,BZ$5-$A67&lt;=19),INDEX(HU_ord,BZ$5-$A67+1)*$B67,0)</f>
        <v>0.0</v>
      </c>
      <c r="CA67" s="14">
        <f>IF(AND(CA$5-$A67&gt;=0,CA$5-$A67&lt;=19),INDEX(HU_ord,CA$5-$A67+1)*$B67,0)</f>
        <v>0.0</v>
      </c>
      <c r="CB67" s="14">
        <f>IF(AND(CB$5-$A67&gt;=0,CB$5-$A67&lt;=19),INDEX(HU_ord,CB$5-$A67+1)*$B67,0)</f>
        <v>0.0</v>
      </c>
      <c r="CC67" s="14">
        <f>IF(AND(CC$5-$A67&gt;=0,CC$5-$A67&lt;=19),INDEX(HU_ord,CC$5-$A67+1)*$B67,0)</f>
        <v>0.0</v>
      </c>
      <c r="CD67" s="14">
        <f>IF(AND(CD$5-$A67&gt;=0,CD$5-$A67&lt;=19),INDEX(HU_ord,CD$5-$A67+1)*$B67,0)</f>
        <v>0.0</v>
      </c>
      <c r="CE67" s="14">
        <f>IF(AND(CE$5-$A67&gt;=0,CE$5-$A67&lt;=19),INDEX(HU_ord,CE$5-$A67+1)*$B67,0)</f>
        <v>0.0</v>
      </c>
      <c r="CF67" s="14">
        <f>IF(AND(CF$5-$A67&gt;=0,CF$5-$A67&lt;=19),INDEX(HU_ord,CF$5-$A67+1)*$B67,0)</f>
        <v>0.0</v>
      </c>
      <c r="CG67" s="14">
        <f>IF(AND(CG$5-$A67&gt;=0,CG$5-$A67&lt;=19),INDEX(HU_ord,CG$5-$A67+1)*$B67,0)</f>
        <v>0.0</v>
      </c>
      <c r="CH67" s="14">
        <f>IF(AND(CH$5-$A67&gt;=0,CH$5-$A67&lt;=19),INDEX(HU_ord,CH$5-$A67+1)*$B67,0)</f>
        <v>0.0</v>
      </c>
      <c r="CI67" s="14">
        <f>IF(AND(CI$5-$A67&gt;=0,CI$5-$A67&lt;=19),INDEX(HU_ord,CI$5-$A67+1)*$B67,0)</f>
        <v>0.0</v>
      </c>
      <c r="CJ67" s="14">
        <f>IF(AND(CJ$5-$A67&gt;=0,CJ$5-$A67&lt;=19),INDEX(HU_ord,CJ$5-$A67+1)*$B67,0)</f>
        <v>0.0</v>
      </c>
      <c r="CK67" s="14">
        <f>IF(AND(CK$5-$A67&gt;=0,CK$5-$A67&lt;=19),INDEX(HU_ord,CK$5-$A67+1)*$B67,0)</f>
        <v>0.0</v>
      </c>
      <c r="CL67" s="14">
        <f>IF(AND(CL$5-$A67&gt;=0,CL$5-$A67&lt;=19),INDEX(HU_ord,CL$5-$A67+1)*$B67,0)</f>
        <v>0.0</v>
      </c>
      <c r="CM67" s="14">
        <f>IF(AND(CM$5-$A67&gt;=0,CM$5-$A67&lt;=19),INDEX(HU_ord,CM$5-$A67+1)*$B67,0)</f>
        <v>0.0</v>
      </c>
      <c r="CN67" s="14">
        <f>IF(AND(CN$5-$A67&gt;=0,CN$5-$A67&lt;=19),INDEX(HU_ord,CN$5-$A67+1)*$B67,0)</f>
        <v>0.0</v>
      </c>
      <c r="CO67" s="14">
        <f>IF(AND(CO$5-$A67&gt;=0,CO$5-$A67&lt;=19),INDEX(HU_ord,CO$5-$A67+1)*$B67,0)</f>
        <v>0.0</v>
      </c>
      <c r="CP67" s="14">
        <f>IF(AND(CP$5-$A67&gt;=0,CP$5-$A67&lt;=19),INDEX(HU_ord,CP$5-$A67+1)*$B67,0)</f>
        <v>0.0</v>
      </c>
      <c r="CQ67" s="14">
        <f>IF(AND(CQ$5-$A67&gt;=0,CQ$5-$A67&lt;=19),INDEX(HU_ord,CQ$5-$A67+1)*$B67,0)</f>
        <v>0.0</v>
      </c>
      <c r="CR67" s="14">
        <f>IF(AND(CR$5-$A67&gt;=0,CR$5-$A67&lt;=19),INDEX(HU_ord,CR$5-$A67+1)*$B67,0)</f>
        <v>0.0</v>
      </c>
      <c r="CS67" s="14">
        <f>IF(AND(CS$5-$A67&gt;=0,CS$5-$A67&lt;=19),INDEX(HU_ord,CS$5-$A67+1)*$B67,0)</f>
        <v>0.0</v>
      </c>
      <c r="CT67" s="14">
        <f>IF(AND(CT$5-$A67&gt;=0,CT$5-$A67&lt;=19),INDEX(HU_ord,CT$5-$A67+1)*$B67,0)</f>
        <v>0.0</v>
      </c>
      <c r="CU67" s="14">
        <f>IF(AND(CU$5-$A67&gt;=0,CU$5-$A67&lt;=19),INDEX(HU_ord,CU$5-$A67+1)*$B67,0)</f>
        <v>0.0</v>
      </c>
      <c r="CV67" s="14">
        <f>IF(AND(CV$5-$A67&gt;=0,CV$5-$A67&lt;=19),INDEX(HU_ord,CV$5-$A67+1)*$B67,0)</f>
        <v>0.0</v>
      </c>
      <c r="CW67" s="14">
        <f>IF(AND(CW$5-$A67&gt;=0,CW$5-$A67&lt;=19),INDEX(HU_ord,CW$5-$A67+1)*$B67,0)</f>
        <v>0.0</v>
      </c>
      <c r="CX67" s="14">
        <f>IF(AND(CX$5-$A67&gt;=0,CX$5-$A67&lt;=19),INDEX(HU_ord,CX$5-$A67+1)*$B67,0)</f>
        <v>0.0</v>
      </c>
      <c r="CY67" s="14">
        <f>IF(AND(CY$5-$A67&gt;=0,CY$5-$A67&lt;=19),INDEX(HU_ord,CY$5-$A67+1)*$B67,0)</f>
        <v>0.0</v>
      </c>
      <c r="CZ67" s="14">
        <f>IF(AND(CZ$5-$A67&gt;=0,CZ$5-$A67&lt;=19),INDEX(HU_ord,CZ$5-$A67+1)*$B67,0)</f>
        <v>0.0</v>
      </c>
      <c r="DA67" s="14">
        <f>IF(AND(DA$5-$A67&gt;=0,DA$5-$A67&lt;=19),INDEX(HU_ord,DA$5-$A67+1)*$B67,0)</f>
        <v>0.0</v>
      </c>
      <c r="DB67" s="14">
        <f>IF(AND(DB$5-$A67&gt;=0,DB$5-$A67&lt;=19),INDEX(HU_ord,DB$5-$A67+1)*$B67,0)</f>
        <v>0.0</v>
      </c>
      <c r="DC67" s="14">
        <f>IF(AND(DC$5-$A67&gt;=0,DC$5-$A67&lt;=19),INDEX(HU_ord,DC$5-$A67+1)*$B67,0)</f>
        <v>0.0</v>
      </c>
      <c r="DD67" s="14">
        <f>IF(AND(DD$5-$A67&gt;=0,DD$5-$A67&lt;=19),INDEX(HU_ord,DD$5-$A67+1)*$B67,0)</f>
        <v>0.0</v>
      </c>
      <c r="DE67" s="14">
        <f>IF(AND(DE$5-$A67&gt;=0,DE$5-$A67&lt;=19),INDEX(HU_ord,DE$5-$A67+1)*$B67,0)</f>
        <v>0.0</v>
      </c>
      <c r="DF67" s="14">
        <f>IF(AND(DF$5-$A67&gt;=0,DF$5-$A67&lt;=19),INDEX(HU_ord,DF$5-$A67+1)*$B67,0)</f>
        <v>0.0</v>
      </c>
      <c r="DG67" s="14">
        <f>IF(AND(DG$5-$A67&gt;=0,DG$5-$A67&lt;=19),INDEX(HU_ord,DG$5-$A67+1)*$B67,0)</f>
        <v>0.0</v>
      </c>
      <c r="DH67" s="14">
        <f>IF(AND(DH$5-$A67&gt;=0,DH$5-$A67&lt;=19),INDEX(HU_ord,DH$5-$A67+1)*$B67,0)</f>
        <v>0.0</v>
      </c>
      <c r="DI67" s="14">
        <f>IF(AND(DI$5-$A67&gt;=0,DI$5-$A67&lt;=19),INDEX(HU_ord,DI$5-$A67+1)*$B67,0)</f>
        <v>0.0</v>
      </c>
    </row>
    <row r="68" spans="1:113">
      <c r="A68">
        <v>62</v>
      </c>
      <c r="B68" s="10">
        <f>Serie_horaria!N64</f>
        <v>0.0</v>
      </c>
      <c r="C68" s="14">
        <f>IF(AND(C$5-$A68&gt;=0,C$5-$A68&lt;=19),INDEX(HU_ord,C$5-$A68+1)*$B68,0)</f>
        <v>0.0</v>
      </c>
      <c r="D68" s="14">
        <f>IF(AND(D$5-$A68&gt;=0,D$5-$A68&lt;=19),INDEX(HU_ord,D$5-$A68+1)*$B68,0)</f>
        <v>0.0</v>
      </c>
      <c r="E68" s="14">
        <f>IF(AND(E$5-$A68&gt;=0,E$5-$A68&lt;=19),INDEX(HU_ord,E$5-$A68+1)*$B68,0)</f>
        <v>0.0</v>
      </c>
      <c r="F68" s="14">
        <f>IF(AND(F$5-$A68&gt;=0,F$5-$A68&lt;=19),INDEX(HU_ord,F$5-$A68+1)*$B68,0)</f>
        <v>0.0</v>
      </c>
      <c r="G68" s="14">
        <f>IF(AND(G$5-$A68&gt;=0,G$5-$A68&lt;=19),INDEX(HU_ord,G$5-$A68+1)*$B68,0)</f>
        <v>0.0</v>
      </c>
      <c r="H68" s="14">
        <f>IF(AND(H$5-$A68&gt;=0,H$5-$A68&lt;=19),INDEX(HU_ord,H$5-$A68+1)*$B68,0)</f>
        <v>0.0</v>
      </c>
      <c r="I68" s="14">
        <f>IF(AND(I$5-$A68&gt;=0,I$5-$A68&lt;=19),INDEX(HU_ord,I$5-$A68+1)*$B68,0)</f>
        <v>0.0</v>
      </c>
      <c r="J68" s="14">
        <f>IF(AND(J$5-$A68&gt;=0,J$5-$A68&lt;=19),INDEX(HU_ord,J$5-$A68+1)*$B68,0)</f>
        <v>0.0</v>
      </c>
      <c r="K68" s="14">
        <f>IF(AND(K$5-$A68&gt;=0,K$5-$A68&lt;=19),INDEX(HU_ord,K$5-$A68+1)*$B68,0)</f>
        <v>0.0</v>
      </c>
      <c r="L68" s="14">
        <f>IF(AND(L$5-$A68&gt;=0,L$5-$A68&lt;=19),INDEX(HU_ord,L$5-$A68+1)*$B68,0)</f>
        <v>0.0</v>
      </c>
      <c r="M68" s="14">
        <f>IF(AND(M$5-$A68&gt;=0,M$5-$A68&lt;=19),INDEX(HU_ord,M$5-$A68+1)*$B68,0)</f>
        <v>0.0</v>
      </c>
      <c r="N68" s="14">
        <f>IF(AND(N$5-$A68&gt;=0,N$5-$A68&lt;=19),INDEX(HU_ord,N$5-$A68+1)*$B68,0)</f>
        <v>0.0</v>
      </c>
      <c r="O68" s="14">
        <f>IF(AND(O$5-$A68&gt;=0,O$5-$A68&lt;=19),INDEX(HU_ord,O$5-$A68+1)*$B68,0)</f>
        <v>0.0</v>
      </c>
      <c r="P68" s="14">
        <f>IF(AND(P$5-$A68&gt;=0,P$5-$A68&lt;=19),INDEX(HU_ord,P$5-$A68+1)*$B68,0)</f>
        <v>0.0</v>
      </c>
      <c r="Q68" s="14">
        <f>IF(AND(Q$5-$A68&gt;=0,Q$5-$A68&lt;=19),INDEX(HU_ord,Q$5-$A68+1)*$B68,0)</f>
        <v>0.0</v>
      </c>
      <c r="R68" s="14">
        <f>IF(AND(R$5-$A68&gt;=0,R$5-$A68&lt;=19),INDEX(HU_ord,R$5-$A68+1)*$B68,0)</f>
        <v>0.0</v>
      </c>
      <c r="S68" s="14">
        <f>IF(AND(S$5-$A68&gt;=0,S$5-$A68&lt;=19),INDEX(HU_ord,S$5-$A68+1)*$B68,0)</f>
        <v>0.0</v>
      </c>
      <c r="T68" s="14">
        <f>IF(AND(T$5-$A68&gt;=0,T$5-$A68&lt;=19),INDEX(HU_ord,T$5-$A68+1)*$B68,0)</f>
        <v>0.0</v>
      </c>
      <c r="U68" s="14">
        <f>IF(AND(U$5-$A68&gt;=0,U$5-$A68&lt;=19),INDEX(HU_ord,U$5-$A68+1)*$B68,0)</f>
        <v>0.0</v>
      </c>
      <c r="V68" s="14">
        <f>IF(AND(V$5-$A68&gt;=0,V$5-$A68&lt;=19),INDEX(HU_ord,V$5-$A68+1)*$B68,0)</f>
        <v>0.0</v>
      </c>
      <c r="W68" s="14">
        <f>IF(AND(W$5-$A68&gt;=0,W$5-$A68&lt;=19),INDEX(HU_ord,W$5-$A68+1)*$B68,0)</f>
        <v>0.0</v>
      </c>
      <c r="X68" s="14">
        <f>IF(AND(X$5-$A68&gt;=0,X$5-$A68&lt;=19),INDEX(HU_ord,X$5-$A68+1)*$B68,0)</f>
        <v>0.0</v>
      </c>
      <c r="Y68" s="14">
        <f>IF(AND(Y$5-$A68&gt;=0,Y$5-$A68&lt;=19),INDEX(HU_ord,Y$5-$A68+1)*$B68,0)</f>
        <v>0.0</v>
      </c>
      <c r="Z68" s="14">
        <f>IF(AND(Z$5-$A68&gt;=0,Z$5-$A68&lt;=19),INDEX(HU_ord,Z$5-$A68+1)*$B68,0)</f>
        <v>0.0</v>
      </c>
      <c r="AA68" s="14">
        <f>IF(AND(AA$5-$A68&gt;=0,AA$5-$A68&lt;=19),INDEX(HU_ord,AA$5-$A68+1)*$B68,0)</f>
        <v>0.0</v>
      </c>
      <c r="AB68" s="14">
        <f>IF(AND(AB$5-$A68&gt;=0,AB$5-$A68&lt;=19),INDEX(HU_ord,AB$5-$A68+1)*$B68,0)</f>
        <v>0.0</v>
      </c>
      <c r="AC68" s="14">
        <f>IF(AND(AC$5-$A68&gt;=0,AC$5-$A68&lt;=19),INDEX(HU_ord,AC$5-$A68+1)*$B68,0)</f>
        <v>0.0</v>
      </c>
      <c r="AD68" s="14">
        <f>IF(AND(AD$5-$A68&gt;=0,AD$5-$A68&lt;=19),INDEX(HU_ord,AD$5-$A68+1)*$B68,0)</f>
        <v>0.0</v>
      </c>
      <c r="AE68" s="14">
        <f>IF(AND(AE$5-$A68&gt;=0,AE$5-$A68&lt;=19),INDEX(HU_ord,AE$5-$A68+1)*$B68,0)</f>
        <v>0.0</v>
      </c>
      <c r="AF68" s="14">
        <f>IF(AND(AF$5-$A68&gt;=0,AF$5-$A68&lt;=19),INDEX(HU_ord,AF$5-$A68+1)*$B68,0)</f>
        <v>0.0</v>
      </c>
      <c r="AG68" s="14">
        <f>IF(AND(AG$5-$A68&gt;=0,AG$5-$A68&lt;=19),INDEX(HU_ord,AG$5-$A68+1)*$B68,0)</f>
        <v>0.0</v>
      </c>
      <c r="AH68" s="14">
        <f>IF(AND(AH$5-$A68&gt;=0,AH$5-$A68&lt;=19),INDEX(HU_ord,AH$5-$A68+1)*$B68,0)</f>
        <v>0.0</v>
      </c>
      <c r="AI68" s="14">
        <f>IF(AND(AI$5-$A68&gt;=0,AI$5-$A68&lt;=19),INDEX(HU_ord,AI$5-$A68+1)*$B68,0)</f>
        <v>0.0</v>
      </c>
      <c r="AJ68" s="14">
        <f>IF(AND(AJ$5-$A68&gt;=0,AJ$5-$A68&lt;=19),INDEX(HU_ord,AJ$5-$A68+1)*$B68,0)</f>
        <v>0.0</v>
      </c>
      <c r="AK68" s="14">
        <f>IF(AND(AK$5-$A68&gt;=0,AK$5-$A68&lt;=19),INDEX(HU_ord,AK$5-$A68+1)*$B68,0)</f>
        <v>0.0</v>
      </c>
      <c r="AL68" s="14">
        <f>IF(AND(AL$5-$A68&gt;=0,AL$5-$A68&lt;=19),INDEX(HU_ord,AL$5-$A68+1)*$B68,0)</f>
        <v>0.0</v>
      </c>
      <c r="AM68" s="14">
        <f>IF(AND(AM$5-$A68&gt;=0,AM$5-$A68&lt;=19),INDEX(HU_ord,AM$5-$A68+1)*$B68,0)</f>
        <v>0.0</v>
      </c>
      <c r="AN68" s="14">
        <f>IF(AND(AN$5-$A68&gt;=0,AN$5-$A68&lt;=19),INDEX(HU_ord,AN$5-$A68+1)*$B68,0)</f>
        <v>0.0</v>
      </c>
      <c r="AO68" s="14">
        <f>IF(AND(AO$5-$A68&gt;=0,AO$5-$A68&lt;=19),INDEX(HU_ord,AO$5-$A68+1)*$B68,0)</f>
        <v>0.0</v>
      </c>
      <c r="AP68" s="14">
        <f>IF(AND(AP$5-$A68&gt;=0,AP$5-$A68&lt;=19),INDEX(HU_ord,AP$5-$A68+1)*$B68,0)</f>
        <v>0.0</v>
      </c>
      <c r="AQ68" s="14">
        <f>IF(AND(AQ$5-$A68&gt;=0,AQ$5-$A68&lt;=19),INDEX(HU_ord,AQ$5-$A68+1)*$B68,0)</f>
        <v>0.0</v>
      </c>
      <c r="AR68" s="14">
        <f>IF(AND(AR$5-$A68&gt;=0,AR$5-$A68&lt;=19),INDEX(HU_ord,AR$5-$A68+1)*$B68,0)</f>
        <v>0.0</v>
      </c>
      <c r="AS68" s="14">
        <f>IF(AND(AS$5-$A68&gt;=0,AS$5-$A68&lt;=19),INDEX(HU_ord,AS$5-$A68+1)*$B68,0)</f>
        <v>0.0</v>
      </c>
      <c r="AT68" s="14">
        <f>IF(AND(AT$5-$A68&gt;=0,AT$5-$A68&lt;=19),INDEX(HU_ord,AT$5-$A68+1)*$B68,0)</f>
        <v>0.0</v>
      </c>
      <c r="AU68" s="14">
        <f>IF(AND(AU$5-$A68&gt;=0,AU$5-$A68&lt;=19),INDEX(HU_ord,AU$5-$A68+1)*$B68,0)</f>
        <v>0.0</v>
      </c>
      <c r="AV68" s="14">
        <f>IF(AND(AV$5-$A68&gt;=0,AV$5-$A68&lt;=19),INDEX(HU_ord,AV$5-$A68+1)*$B68,0)</f>
        <v>0.0</v>
      </c>
      <c r="AW68" s="14">
        <f>IF(AND(AW$5-$A68&gt;=0,AW$5-$A68&lt;=19),INDEX(HU_ord,AW$5-$A68+1)*$B68,0)</f>
        <v>0.0</v>
      </c>
      <c r="AX68" s="14">
        <f>IF(AND(AX$5-$A68&gt;=0,AX$5-$A68&lt;=19),INDEX(HU_ord,AX$5-$A68+1)*$B68,0)</f>
        <v>0.0</v>
      </c>
      <c r="AY68" s="14">
        <f>IF(AND(AY$5-$A68&gt;=0,AY$5-$A68&lt;=19),INDEX(HU_ord,AY$5-$A68+1)*$B68,0)</f>
        <v>0.0</v>
      </c>
      <c r="AZ68" s="14">
        <f>IF(AND(AZ$5-$A68&gt;=0,AZ$5-$A68&lt;=19),INDEX(HU_ord,AZ$5-$A68+1)*$B68,0)</f>
        <v>0.0</v>
      </c>
      <c r="BA68" s="14">
        <f>IF(AND(BA$5-$A68&gt;=0,BA$5-$A68&lt;=19),INDEX(HU_ord,BA$5-$A68+1)*$B68,0)</f>
        <v>0.0</v>
      </c>
      <c r="BB68" s="14">
        <f>IF(AND(BB$5-$A68&gt;=0,BB$5-$A68&lt;=19),INDEX(HU_ord,BB$5-$A68+1)*$B68,0)</f>
        <v>0.0</v>
      </c>
      <c r="BC68" s="14">
        <f>IF(AND(BC$5-$A68&gt;=0,BC$5-$A68&lt;=19),INDEX(HU_ord,BC$5-$A68+1)*$B68,0)</f>
        <v>0.0</v>
      </c>
      <c r="BD68" s="14">
        <f>IF(AND(BD$5-$A68&gt;=0,BD$5-$A68&lt;=19),INDEX(HU_ord,BD$5-$A68+1)*$B68,0)</f>
        <v>0.0</v>
      </c>
      <c r="BE68" s="14">
        <f>IF(AND(BE$5-$A68&gt;=0,BE$5-$A68&lt;=19),INDEX(HU_ord,BE$5-$A68+1)*$B68,0)</f>
        <v>0.0</v>
      </c>
      <c r="BF68" s="14">
        <f>IF(AND(BF$5-$A68&gt;=0,BF$5-$A68&lt;=19),INDEX(HU_ord,BF$5-$A68+1)*$B68,0)</f>
        <v>0.0</v>
      </c>
      <c r="BG68" s="14">
        <f>IF(AND(BG$5-$A68&gt;=0,BG$5-$A68&lt;=19),INDEX(HU_ord,BG$5-$A68+1)*$B68,0)</f>
        <v>0.0</v>
      </c>
      <c r="BH68" s="14">
        <f>IF(AND(BH$5-$A68&gt;=0,BH$5-$A68&lt;=19),INDEX(HU_ord,BH$5-$A68+1)*$B68,0)</f>
        <v>0.0</v>
      </c>
      <c r="BI68" s="14">
        <f>IF(AND(BI$5-$A68&gt;=0,BI$5-$A68&lt;=19),INDEX(HU_ord,BI$5-$A68+1)*$B68,0)</f>
        <v>0.0</v>
      </c>
      <c r="BJ68" s="14">
        <f>IF(AND(BJ$5-$A68&gt;=0,BJ$5-$A68&lt;=19),INDEX(HU_ord,BJ$5-$A68+1)*$B68,0)</f>
        <v>0.0</v>
      </c>
      <c r="BK68" s="14">
        <f>IF(AND(BK$5-$A68&gt;=0,BK$5-$A68&lt;=19),INDEX(HU_ord,BK$5-$A68+1)*$B68,0)</f>
        <v>0.0</v>
      </c>
      <c r="BL68" s="14">
        <f>IF(AND(BL$5-$A68&gt;=0,BL$5-$A68&lt;=19),INDEX(HU_ord,BL$5-$A68+1)*$B68,0)</f>
        <v>0.0</v>
      </c>
      <c r="BM68" s="14">
        <f>IF(AND(BM$5-$A68&gt;=0,BM$5-$A68&lt;=19),INDEX(HU_ord,BM$5-$A68+1)*$B68,0)</f>
        <v>0.0</v>
      </c>
      <c r="BN68" s="14">
        <f>IF(AND(BN$5-$A68&gt;=0,BN$5-$A68&lt;=19),INDEX(HU_ord,BN$5-$A68+1)*$B68,0)</f>
        <v>0.0</v>
      </c>
      <c r="BO68" s="14">
        <f>IF(AND(BO$5-$A68&gt;=0,BO$5-$A68&lt;=19),INDEX(HU_ord,BO$5-$A68+1)*$B68,0)</f>
        <v>0.0</v>
      </c>
      <c r="BP68" s="14">
        <f>IF(AND(BP$5-$A68&gt;=0,BP$5-$A68&lt;=19),INDEX(HU_ord,BP$5-$A68+1)*$B68,0)</f>
        <v>0.0</v>
      </c>
      <c r="BQ68" s="14">
        <f>IF(AND(BQ$5-$A68&gt;=0,BQ$5-$A68&lt;=19),INDEX(HU_ord,BQ$5-$A68+1)*$B68,0)</f>
        <v>0.0</v>
      </c>
      <c r="BR68" s="14">
        <f>IF(AND(BR$5-$A68&gt;=0,BR$5-$A68&lt;=19),INDEX(HU_ord,BR$5-$A68+1)*$B68,0)</f>
        <v>0.0</v>
      </c>
      <c r="BS68" s="14">
        <f>IF(AND(BS$5-$A68&gt;=0,BS$5-$A68&lt;=19),INDEX(HU_ord,BS$5-$A68+1)*$B68,0)</f>
        <v>0.0</v>
      </c>
      <c r="BT68" s="14">
        <f>IF(AND(BT$5-$A68&gt;=0,BT$5-$A68&lt;=19),INDEX(HU_ord,BT$5-$A68+1)*$B68,0)</f>
        <v>0.0</v>
      </c>
      <c r="BU68" s="14">
        <f>IF(AND(BU$5-$A68&gt;=0,BU$5-$A68&lt;=19),INDEX(HU_ord,BU$5-$A68+1)*$B68,0)</f>
        <v>0.0</v>
      </c>
      <c r="BV68" s="14">
        <f>IF(AND(BV$5-$A68&gt;=0,BV$5-$A68&lt;=19),INDEX(HU_ord,BV$5-$A68+1)*$B68,0)</f>
        <v>0.0</v>
      </c>
      <c r="BW68" s="14">
        <f>IF(AND(BW$5-$A68&gt;=0,BW$5-$A68&lt;=19),INDEX(HU_ord,BW$5-$A68+1)*$B68,0)</f>
        <v>0.0</v>
      </c>
      <c r="BX68" s="14">
        <f>IF(AND(BX$5-$A68&gt;=0,BX$5-$A68&lt;=19),INDEX(HU_ord,BX$5-$A68+1)*$B68,0)</f>
        <v>0.0</v>
      </c>
      <c r="BY68" s="14">
        <f>IF(AND(BY$5-$A68&gt;=0,BY$5-$A68&lt;=19),INDEX(HU_ord,BY$5-$A68+1)*$B68,0)</f>
        <v>0.0</v>
      </c>
      <c r="BZ68" s="14">
        <f>IF(AND(BZ$5-$A68&gt;=0,BZ$5-$A68&lt;=19),INDEX(HU_ord,BZ$5-$A68+1)*$B68,0)</f>
        <v>0.0</v>
      </c>
      <c r="CA68" s="14">
        <f>IF(AND(CA$5-$A68&gt;=0,CA$5-$A68&lt;=19),INDEX(HU_ord,CA$5-$A68+1)*$B68,0)</f>
        <v>0.0</v>
      </c>
      <c r="CB68" s="14">
        <f>IF(AND(CB$5-$A68&gt;=0,CB$5-$A68&lt;=19),INDEX(HU_ord,CB$5-$A68+1)*$B68,0)</f>
        <v>0.0</v>
      </c>
      <c r="CC68" s="14">
        <f>IF(AND(CC$5-$A68&gt;=0,CC$5-$A68&lt;=19),INDEX(HU_ord,CC$5-$A68+1)*$B68,0)</f>
        <v>0.0</v>
      </c>
      <c r="CD68" s="14">
        <f>IF(AND(CD$5-$A68&gt;=0,CD$5-$A68&lt;=19),INDEX(HU_ord,CD$5-$A68+1)*$B68,0)</f>
        <v>0.0</v>
      </c>
      <c r="CE68" s="14">
        <f>IF(AND(CE$5-$A68&gt;=0,CE$5-$A68&lt;=19),INDEX(HU_ord,CE$5-$A68+1)*$B68,0)</f>
        <v>0.0</v>
      </c>
      <c r="CF68" s="14">
        <f>IF(AND(CF$5-$A68&gt;=0,CF$5-$A68&lt;=19),INDEX(HU_ord,CF$5-$A68+1)*$B68,0)</f>
        <v>0.0</v>
      </c>
      <c r="CG68" s="14">
        <f>IF(AND(CG$5-$A68&gt;=0,CG$5-$A68&lt;=19),INDEX(HU_ord,CG$5-$A68+1)*$B68,0)</f>
        <v>0.0</v>
      </c>
      <c r="CH68" s="14">
        <f>IF(AND(CH$5-$A68&gt;=0,CH$5-$A68&lt;=19),INDEX(HU_ord,CH$5-$A68+1)*$B68,0)</f>
        <v>0.0</v>
      </c>
      <c r="CI68" s="14">
        <f>IF(AND(CI$5-$A68&gt;=0,CI$5-$A68&lt;=19),INDEX(HU_ord,CI$5-$A68+1)*$B68,0)</f>
        <v>0.0</v>
      </c>
      <c r="CJ68" s="14">
        <f>IF(AND(CJ$5-$A68&gt;=0,CJ$5-$A68&lt;=19),INDEX(HU_ord,CJ$5-$A68+1)*$B68,0)</f>
        <v>0.0</v>
      </c>
      <c r="CK68" s="14">
        <f>IF(AND(CK$5-$A68&gt;=0,CK$5-$A68&lt;=19),INDEX(HU_ord,CK$5-$A68+1)*$B68,0)</f>
        <v>0.0</v>
      </c>
      <c r="CL68" s="14">
        <f>IF(AND(CL$5-$A68&gt;=0,CL$5-$A68&lt;=19),INDEX(HU_ord,CL$5-$A68+1)*$B68,0)</f>
        <v>0.0</v>
      </c>
      <c r="CM68" s="14">
        <f>IF(AND(CM$5-$A68&gt;=0,CM$5-$A68&lt;=19),INDEX(HU_ord,CM$5-$A68+1)*$B68,0)</f>
        <v>0.0</v>
      </c>
      <c r="CN68" s="14">
        <f>IF(AND(CN$5-$A68&gt;=0,CN$5-$A68&lt;=19),INDEX(HU_ord,CN$5-$A68+1)*$B68,0)</f>
        <v>0.0</v>
      </c>
      <c r="CO68" s="14">
        <f>IF(AND(CO$5-$A68&gt;=0,CO$5-$A68&lt;=19),INDEX(HU_ord,CO$5-$A68+1)*$B68,0)</f>
        <v>0.0</v>
      </c>
      <c r="CP68" s="14">
        <f>IF(AND(CP$5-$A68&gt;=0,CP$5-$A68&lt;=19),INDEX(HU_ord,CP$5-$A68+1)*$B68,0)</f>
        <v>0.0</v>
      </c>
      <c r="CQ68" s="14">
        <f>IF(AND(CQ$5-$A68&gt;=0,CQ$5-$A68&lt;=19),INDEX(HU_ord,CQ$5-$A68+1)*$B68,0)</f>
        <v>0.0</v>
      </c>
      <c r="CR68" s="14">
        <f>IF(AND(CR$5-$A68&gt;=0,CR$5-$A68&lt;=19),INDEX(HU_ord,CR$5-$A68+1)*$B68,0)</f>
        <v>0.0</v>
      </c>
      <c r="CS68" s="14">
        <f>IF(AND(CS$5-$A68&gt;=0,CS$5-$A68&lt;=19),INDEX(HU_ord,CS$5-$A68+1)*$B68,0)</f>
        <v>0.0</v>
      </c>
      <c r="CT68" s="14">
        <f>IF(AND(CT$5-$A68&gt;=0,CT$5-$A68&lt;=19),INDEX(HU_ord,CT$5-$A68+1)*$B68,0)</f>
        <v>0.0</v>
      </c>
      <c r="CU68" s="14">
        <f>IF(AND(CU$5-$A68&gt;=0,CU$5-$A68&lt;=19),INDEX(HU_ord,CU$5-$A68+1)*$B68,0)</f>
        <v>0.0</v>
      </c>
      <c r="CV68" s="14">
        <f>IF(AND(CV$5-$A68&gt;=0,CV$5-$A68&lt;=19),INDEX(HU_ord,CV$5-$A68+1)*$B68,0)</f>
        <v>0.0</v>
      </c>
      <c r="CW68" s="14">
        <f>IF(AND(CW$5-$A68&gt;=0,CW$5-$A68&lt;=19),INDEX(HU_ord,CW$5-$A68+1)*$B68,0)</f>
        <v>0.0</v>
      </c>
      <c r="CX68" s="14">
        <f>IF(AND(CX$5-$A68&gt;=0,CX$5-$A68&lt;=19),INDEX(HU_ord,CX$5-$A68+1)*$B68,0)</f>
        <v>0.0</v>
      </c>
      <c r="CY68" s="14">
        <f>IF(AND(CY$5-$A68&gt;=0,CY$5-$A68&lt;=19),INDEX(HU_ord,CY$5-$A68+1)*$B68,0)</f>
        <v>0.0</v>
      </c>
      <c r="CZ68" s="14">
        <f>IF(AND(CZ$5-$A68&gt;=0,CZ$5-$A68&lt;=19),INDEX(HU_ord,CZ$5-$A68+1)*$B68,0)</f>
        <v>0.0</v>
      </c>
      <c r="DA68" s="14">
        <f>IF(AND(DA$5-$A68&gt;=0,DA$5-$A68&lt;=19),INDEX(HU_ord,DA$5-$A68+1)*$B68,0)</f>
        <v>0.0</v>
      </c>
      <c r="DB68" s="14">
        <f>IF(AND(DB$5-$A68&gt;=0,DB$5-$A68&lt;=19),INDEX(HU_ord,DB$5-$A68+1)*$B68,0)</f>
        <v>0.0</v>
      </c>
      <c r="DC68" s="14">
        <f>IF(AND(DC$5-$A68&gt;=0,DC$5-$A68&lt;=19),INDEX(HU_ord,DC$5-$A68+1)*$B68,0)</f>
        <v>0.0</v>
      </c>
      <c r="DD68" s="14">
        <f>IF(AND(DD$5-$A68&gt;=0,DD$5-$A68&lt;=19),INDEX(HU_ord,DD$5-$A68+1)*$B68,0)</f>
        <v>0.0</v>
      </c>
      <c r="DE68" s="14">
        <f>IF(AND(DE$5-$A68&gt;=0,DE$5-$A68&lt;=19),INDEX(HU_ord,DE$5-$A68+1)*$B68,0)</f>
        <v>0.0</v>
      </c>
      <c r="DF68" s="14">
        <f>IF(AND(DF$5-$A68&gt;=0,DF$5-$A68&lt;=19),INDEX(HU_ord,DF$5-$A68+1)*$B68,0)</f>
        <v>0.0</v>
      </c>
      <c r="DG68" s="14">
        <f>IF(AND(DG$5-$A68&gt;=0,DG$5-$A68&lt;=19),INDEX(HU_ord,DG$5-$A68+1)*$B68,0)</f>
        <v>0.0</v>
      </c>
      <c r="DH68" s="14">
        <f>IF(AND(DH$5-$A68&gt;=0,DH$5-$A68&lt;=19),INDEX(HU_ord,DH$5-$A68+1)*$B68,0)</f>
        <v>0.0</v>
      </c>
      <c r="DI68" s="14">
        <f>IF(AND(DI$5-$A68&gt;=0,DI$5-$A68&lt;=19),INDEX(HU_ord,DI$5-$A68+1)*$B68,0)</f>
        <v>0.0</v>
      </c>
    </row>
    <row r="69" spans="1:113">
      <c r="A69">
        <v>63</v>
      </c>
      <c r="B69" s="10">
        <f>Serie_horaria!N65</f>
        <v>0.004824420268733753</v>
      </c>
      <c r="C69" s="14">
        <f>IF(AND(C$5-$A69&gt;=0,C$5-$A69&lt;=19),INDEX(HU_ord,C$5-$A69+1)*$B69,0)</f>
        <v>0.0</v>
      </c>
      <c r="D69" s="14">
        <f>IF(AND(D$5-$A69&gt;=0,D$5-$A69&lt;=19),INDEX(HU_ord,D$5-$A69+1)*$B69,0)</f>
        <v>0.0</v>
      </c>
      <c r="E69" s="14">
        <f>IF(AND(E$5-$A69&gt;=0,E$5-$A69&lt;=19),INDEX(HU_ord,E$5-$A69+1)*$B69,0)</f>
        <v>0.0</v>
      </c>
      <c r="F69" s="14">
        <f>IF(AND(F$5-$A69&gt;=0,F$5-$A69&lt;=19),INDEX(HU_ord,F$5-$A69+1)*$B69,0)</f>
        <v>0.0</v>
      </c>
      <c r="G69" s="14">
        <f>IF(AND(G$5-$A69&gt;=0,G$5-$A69&lt;=19),INDEX(HU_ord,G$5-$A69+1)*$B69,0)</f>
        <v>0.0</v>
      </c>
      <c r="H69" s="14">
        <f>IF(AND(H$5-$A69&gt;=0,H$5-$A69&lt;=19),INDEX(HU_ord,H$5-$A69+1)*$B69,0)</f>
        <v>0.0</v>
      </c>
      <c r="I69" s="14">
        <f>IF(AND(I$5-$A69&gt;=0,I$5-$A69&lt;=19),INDEX(HU_ord,I$5-$A69+1)*$B69,0)</f>
        <v>0.0</v>
      </c>
      <c r="J69" s="14">
        <f>IF(AND(J$5-$A69&gt;=0,J$5-$A69&lt;=19),INDEX(HU_ord,J$5-$A69+1)*$B69,0)</f>
        <v>0.0</v>
      </c>
      <c r="K69" s="14">
        <f>IF(AND(K$5-$A69&gt;=0,K$5-$A69&lt;=19),INDEX(HU_ord,K$5-$A69+1)*$B69,0)</f>
        <v>0.0</v>
      </c>
      <c r="L69" s="14">
        <f>IF(AND(L$5-$A69&gt;=0,L$5-$A69&lt;=19),INDEX(HU_ord,L$5-$A69+1)*$B69,0)</f>
        <v>0.0</v>
      </c>
      <c r="M69" s="14">
        <f>IF(AND(M$5-$A69&gt;=0,M$5-$A69&lt;=19),INDEX(HU_ord,M$5-$A69+1)*$B69,0)</f>
        <v>0.0</v>
      </c>
      <c r="N69" s="14">
        <f>IF(AND(N$5-$A69&gt;=0,N$5-$A69&lt;=19),INDEX(HU_ord,N$5-$A69+1)*$B69,0)</f>
        <v>0.0</v>
      </c>
      <c r="O69" s="14">
        <f>IF(AND(O$5-$A69&gt;=0,O$5-$A69&lt;=19),INDEX(HU_ord,O$5-$A69+1)*$B69,0)</f>
        <v>0.0</v>
      </c>
      <c r="P69" s="14">
        <f>IF(AND(P$5-$A69&gt;=0,P$5-$A69&lt;=19),INDEX(HU_ord,P$5-$A69+1)*$B69,0)</f>
        <v>0.0</v>
      </c>
      <c r="Q69" s="14">
        <f>IF(AND(Q$5-$A69&gt;=0,Q$5-$A69&lt;=19),INDEX(HU_ord,Q$5-$A69+1)*$B69,0)</f>
        <v>0.0</v>
      </c>
      <c r="R69" s="14">
        <f>IF(AND(R$5-$A69&gt;=0,R$5-$A69&lt;=19),INDEX(HU_ord,R$5-$A69+1)*$B69,0)</f>
        <v>0.0</v>
      </c>
      <c r="S69" s="14">
        <f>IF(AND(S$5-$A69&gt;=0,S$5-$A69&lt;=19),INDEX(HU_ord,S$5-$A69+1)*$B69,0)</f>
        <v>0.0</v>
      </c>
      <c r="T69" s="14">
        <f>IF(AND(T$5-$A69&gt;=0,T$5-$A69&lt;=19),INDEX(HU_ord,T$5-$A69+1)*$B69,0)</f>
        <v>0.0</v>
      </c>
      <c r="U69" s="14">
        <f>IF(AND(U$5-$A69&gt;=0,U$5-$A69&lt;=19),INDEX(HU_ord,U$5-$A69+1)*$B69,0)</f>
        <v>0.0</v>
      </c>
      <c r="V69" s="14">
        <f>IF(AND(V$5-$A69&gt;=0,V$5-$A69&lt;=19),INDEX(HU_ord,V$5-$A69+1)*$B69,0)</f>
        <v>0.0</v>
      </c>
      <c r="W69" s="14">
        <f>IF(AND(W$5-$A69&gt;=0,W$5-$A69&lt;=19),INDEX(HU_ord,W$5-$A69+1)*$B69,0)</f>
        <v>0.0</v>
      </c>
      <c r="X69" s="14">
        <f>IF(AND(X$5-$A69&gt;=0,X$5-$A69&lt;=19),INDEX(HU_ord,X$5-$A69+1)*$B69,0)</f>
        <v>0.0</v>
      </c>
      <c r="Y69" s="14">
        <f>IF(AND(Y$5-$A69&gt;=0,Y$5-$A69&lt;=19),INDEX(HU_ord,Y$5-$A69+1)*$B69,0)</f>
        <v>0.0</v>
      </c>
      <c r="Z69" s="14">
        <f>IF(AND(Z$5-$A69&gt;=0,Z$5-$A69&lt;=19),INDEX(HU_ord,Z$5-$A69+1)*$B69,0)</f>
        <v>0.0</v>
      </c>
      <c r="AA69" s="14">
        <f>IF(AND(AA$5-$A69&gt;=0,AA$5-$A69&lt;=19),INDEX(HU_ord,AA$5-$A69+1)*$B69,0)</f>
        <v>0.0</v>
      </c>
      <c r="AB69" s="14">
        <f>IF(AND(AB$5-$A69&gt;=0,AB$5-$A69&lt;=19),INDEX(HU_ord,AB$5-$A69+1)*$B69,0)</f>
        <v>0.0</v>
      </c>
      <c r="AC69" s="14">
        <f>IF(AND(AC$5-$A69&gt;=0,AC$5-$A69&lt;=19),INDEX(HU_ord,AC$5-$A69+1)*$B69,0)</f>
        <v>0.0</v>
      </c>
      <c r="AD69" s="14">
        <f>IF(AND(AD$5-$A69&gt;=0,AD$5-$A69&lt;=19),INDEX(HU_ord,AD$5-$A69+1)*$B69,0)</f>
        <v>0.0</v>
      </c>
      <c r="AE69" s="14">
        <f>IF(AND(AE$5-$A69&gt;=0,AE$5-$A69&lt;=19),INDEX(HU_ord,AE$5-$A69+1)*$B69,0)</f>
        <v>0.0</v>
      </c>
      <c r="AF69" s="14">
        <f>IF(AND(AF$5-$A69&gt;=0,AF$5-$A69&lt;=19),INDEX(HU_ord,AF$5-$A69+1)*$B69,0)</f>
        <v>0.0</v>
      </c>
      <c r="AG69" s="14">
        <f>IF(AND(AG$5-$A69&gt;=0,AG$5-$A69&lt;=19),INDEX(HU_ord,AG$5-$A69+1)*$B69,0)</f>
        <v>0.0</v>
      </c>
      <c r="AH69" s="14">
        <f>IF(AND(AH$5-$A69&gt;=0,AH$5-$A69&lt;=19),INDEX(HU_ord,AH$5-$A69+1)*$B69,0)</f>
        <v>0.0</v>
      </c>
      <c r="AI69" s="14">
        <f>IF(AND(AI$5-$A69&gt;=0,AI$5-$A69&lt;=19),INDEX(HU_ord,AI$5-$A69+1)*$B69,0)</f>
        <v>0.0</v>
      </c>
      <c r="AJ69" s="14">
        <f>IF(AND(AJ$5-$A69&gt;=0,AJ$5-$A69&lt;=19),INDEX(HU_ord,AJ$5-$A69+1)*$B69,0)</f>
        <v>0.0</v>
      </c>
      <c r="AK69" s="14">
        <f>IF(AND(AK$5-$A69&gt;=0,AK$5-$A69&lt;=19),INDEX(HU_ord,AK$5-$A69+1)*$B69,0)</f>
        <v>0.0</v>
      </c>
      <c r="AL69" s="14">
        <f>IF(AND(AL$5-$A69&gt;=0,AL$5-$A69&lt;=19),INDEX(HU_ord,AL$5-$A69+1)*$B69,0)</f>
        <v>0.0</v>
      </c>
      <c r="AM69" s="14">
        <f>IF(AND(AM$5-$A69&gt;=0,AM$5-$A69&lt;=19),INDEX(HU_ord,AM$5-$A69+1)*$B69,0)</f>
        <v>0.0</v>
      </c>
      <c r="AN69" s="14">
        <f>IF(AND(AN$5-$A69&gt;=0,AN$5-$A69&lt;=19),INDEX(HU_ord,AN$5-$A69+1)*$B69,0)</f>
        <v>0.0</v>
      </c>
      <c r="AO69" s="14">
        <f>IF(AND(AO$5-$A69&gt;=0,AO$5-$A69&lt;=19),INDEX(HU_ord,AO$5-$A69+1)*$B69,0)</f>
        <v>0.0</v>
      </c>
      <c r="AP69" s="14">
        <f>IF(AND(AP$5-$A69&gt;=0,AP$5-$A69&lt;=19),INDEX(HU_ord,AP$5-$A69+1)*$B69,0)</f>
        <v>0.0</v>
      </c>
      <c r="AQ69" s="14">
        <f>IF(AND(AQ$5-$A69&gt;=0,AQ$5-$A69&lt;=19),INDEX(HU_ord,AQ$5-$A69+1)*$B69,0)</f>
        <v>0.0</v>
      </c>
      <c r="AR69" s="14">
        <f>IF(AND(AR$5-$A69&gt;=0,AR$5-$A69&lt;=19),INDEX(HU_ord,AR$5-$A69+1)*$B69,0)</f>
        <v>0.0</v>
      </c>
      <c r="AS69" s="14">
        <f>IF(AND(AS$5-$A69&gt;=0,AS$5-$A69&lt;=19),INDEX(HU_ord,AS$5-$A69+1)*$B69,0)</f>
        <v>0.0</v>
      </c>
      <c r="AT69" s="14">
        <f>IF(AND(AT$5-$A69&gt;=0,AT$5-$A69&lt;=19),INDEX(HU_ord,AT$5-$A69+1)*$B69,0)</f>
        <v>0.0</v>
      </c>
      <c r="AU69" s="14">
        <f>IF(AND(AU$5-$A69&gt;=0,AU$5-$A69&lt;=19),INDEX(HU_ord,AU$5-$A69+1)*$B69,0)</f>
        <v>0.0</v>
      </c>
      <c r="AV69" s="14">
        <f>IF(AND(AV$5-$A69&gt;=0,AV$5-$A69&lt;=19),INDEX(HU_ord,AV$5-$A69+1)*$B69,0)</f>
        <v>0.0</v>
      </c>
      <c r="AW69" s="14">
        <f>IF(AND(AW$5-$A69&gt;=0,AW$5-$A69&lt;=19),INDEX(HU_ord,AW$5-$A69+1)*$B69,0)</f>
        <v>0.0</v>
      </c>
      <c r="AX69" s="14">
        <f>IF(AND(AX$5-$A69&gt;=0,AX$5-$A69&lt;=19),INDEX(HU_ord,AX$5-$A69+1)*$B69,0)</f>
        <v>0.0</v>
      </c>
      <c r="AY69" s="14">
        <f>IF(AND(AY$5-$A69&gt;=0,AY$5-$A69&lt;=19),INDEX(HU_ord,AY$5-$A69+1)*$B69,0)</f>
        <v>0.0</v>
      </c>
      <c r="AZ69" s="14">
        <f>IF(AND(AZ$5-$A69&gt;=0,AZ$5-$A69&lt;=19),INDEX(HU_ord,AZ$5-$A69+1)*$B69,0)</f>
        <v>0.0</v>
      </c>
      <c r="BA69" s="14">
        <f>IF(AND(BA$5-$A69&gt;=0,BA$5-$A69&lt;=19),INDEX(HU_ord,BA$5-$A69+1)*$B69,0)</f>
        <v>0.0</v>
      </c>
      <c r="BB69" s="14">
        <f>IF(AND(BB$5-$A69&gt;=0,BB$5-$A69&lt;=19),INDEX(HU_ord,BB$5-$A69+1)*$B69,0)</f>
        <v>0.0</v>
      </c>
      <c r="BC69" s="14">
        <f>IF(AND(BC$5-$A69&gt;=0,BC$5-$A69&lt;=19),INDEX(HU_ord,BC$5-$A69+1)*$B69,0)</f>
        <v>0.0</v>
      </c>
      <c r="BD69" s="14">
        <f>IF(AND(BD$5-$A69&gt;=0,BD$5-$A69&lt;=19),INDEX(HU_ord,BD$5-$A69+1)*$B69,0)</f>
        <v>0.0</v>
      </c>
      <c r="BE69" s="14">
        <f>IF(AND(BE$5-$A69&gt;=0,BE$5-$A69&lt;=19),INDEX(HU_ord,BE$5-$A69+1)*$B69,0)</f>
        <v>0.0</v>
      </c>
      <c r="BF69" s="14">
        <f>IF(AND(BF$5-$A69&gt;=0,BF$5-$A69&lt;=19),INDEX(HU_ord,BF$5-$A69+1)*$B69,0)</f>
        <v>0.0</v>
      </c>
      <c r="BG69" s="14">
        <f>IF(AND(BG$5-$A69&gt;=0,BG$5-$A69&lt;=19),INDEX(HU_ord,BG$5-$A69+1)*$B69,0)</f>
        <v>0.0</v>
      </c>
      <c r="BH69" s="14">
        <f>IF(AND(BH$5-$A69&gt;=0,BH$5-$A69&lt;=19),INDEX(HU_ord,BH$5-$A69+1)*$B69,0)</f>
        <v>0.0</v>
      </c>
      <c r="BI69" s="14">
        <f>IF(AND(BI$5-$A69&gt;=0,BI$5-$A69&lt;=19),INDEX(HU_ord,BI$5-$A69+1)*$B69,0)</f>
        <v>0.0</v>
      </c>
      <c r="BJ69" s="14">
        <f>IF(AND(BJ$5-$A69&gt;=0,BJ$5-$A69&lt;=19),INDEX(HU_ord,BJ$5-$A69+1)*$B69,0)</f>
        <v>0.0</v>
      </c>
      <c r="BK69" s="14">
        <f>IF(AND(BK$5-$A69&gt;=0,BK$5-$A69&lt;=19),INDEX(HU_ord,BK$5-$A69+1)*$B69,0)</f>
        <v>0.0</v>
      </c>
      <c r="BL69" s="14">
        <f>IF(AND(BL$5-$A69&gt;=0,BL$5-$A69&lt;=19),INDEX(HU_ord,BL$5-$A69+1)*$B69,0)</f>
        <v>0.0</v>
      </c>
      <c r="BM69" s="14">
        <f>IF(AND(BM$5-$A69&gt;=0,BM$5-$A69&lt;=19),INDEX(HU_ord,BM$5-$A69+1)*$B69,0)</f>
        <v>0.0</v>
      </c>
      <c r="BN69" s="14">
        <f>IF(AND(BN$5-$A69&gt;=0,BN$5-$A69&lt;=19),INDEX(HU_ord,BN$5-$A69+1)*$B69,0)</f>
        <v>0.0</v>
      </c>
      <c r="BO69" s="14">
        <f>IF(AND(BO$5-$A69&gt;=0,BO$5-$A69&lt;=19),INDEX(HU_ord,BO$5-$A69+1)*$B69,0)</f>
        <v>0.015679704813617534</v>
      </c>
      <c r="BP69" s="14">
        <f>IF(AND(BP$5-$A69&gt;=0,BP$5-$A69&lt;=19),INDEX(HU_ord,BP$5-$A69+1)*$B69,0)</f>
        <v>0.03135940962723507</v>
      </c>
      <c r="BQ69" s="14">
        <f>IF(AND(BQ$5-$A69&gt;=0,BQ$5-$A69&lt;=19),INDEX(HU_ord,BQ$5-$A69+1)*$B69,0)</f>
        <v>0.047039114440852604</v>
      </c>
      <c r="BR69" s="14">
        <f>IF(AND(BR$5-$A69&gt;=0,BR$5-$A69&lt;=19),INDEX(HU_ord,BR$5-$A69+1)*$B69,0)</f>
        <v>0.06271881925447013</v>
      </c>
      <c r="BS69" s="14">
        <f>IF(AND(BS$5-$A69&gt;=0,BS$5-$A69&lt;=19),INDEX(HU_ord,BS$5-$A69+1)*$B69,0)</f>
        <v>0.07839852406808767</v>
      </c>
      <c r="BT69" s="14">
        <f>IF(AND(BT$5-$A69&gt;=0,BT$5-$A69&lt;=19),INDEX(HU_ord,BT$5-$A69+1)*$B69,0)</f>
        <v>0.09407822888170521</v>
      </c>
      <c r="BU69" s="14">
        <f>IF(AND(BU$5-$A69&gt;=0,BU$5-$A69&lt;=19),INDEX(HU_ord,BU$5-$A69+1)*$B69,0)</f>
        <v>0.10703045373751634</v>
      </c>
      <c r="BV69" s="14">
        <f>IF(AND(BV$5-$A69&gt;=0,BV$5-$A69&lt;=19),INDEX(HU_ord,BV$5-$A69+1)*$B69,0)</f>
        <v>0.09764140893894298</v>
      </c>
      <c r="BW69" s="14">
        <f>IF(AND(BW$5-$A69&gt;=0,BW$5-$A69&lt;=19),INDEX(HU_ord,BW$5-$A69+1)*$B69,0)</f>
        <v>0.0882523641403696</v>
      </c>
      <c r="BX69" s="14">
        <f>IF(AND(BX$5-$A69&gt;=0,BX$5-$A69&lt;=19),INDEX(HU_ord,BX$5-$A69+1)*$B69,0)</f>
        <v>0.07886331934179622</v>
      </c>
      <c r="BY69" s="14">
        <f>IF(AND(BY$5-$A69&gt;=0,BY$5-$A69&lt;=19),INDEX(HU_ord,BY$5-$A69+1)*$B69,0)</f>
        <v>0.06947427454322284</v>
      </c>
      <c r="BZ69" s="14">
        <f>IF(AND(BZ$5-$A69&gt;=0,BZ$5-$A69&lt;=19),INDEX(HU_ord,BZ$5-$A69+1)*$B69,0)</f>
        <v>0.06008522974464947</v>
      </c>
      <c r="CA69" s="14">
        <f>IF(AND(CA$5-$A69&gt;=0,CA$5-$A69&lt;=19),INDEX(HU_ord,CA$5-$A69+1)*$B69,0)</f>
        <v>0.050696184946076105</v>
      </c>
      <c r="CB69" s="14">
        <f>IF(AND(CB$5-$A69&gt;=0,CB$5-$A69&lt;=19),INDEX(HU_ord,CB$5-$A69+1)*$B69,0)</f>
        <v>0.04130714014750273</v>
      </c>
      <c r="CC69" s="14">
        <f>IF(AND(CC$5-$A69&gt;=0,CC$5-$A69&lt;=19),INDEX(HU_ord,CC$5-$A69+1)*$B69,0)</f>
        <v>0.03191809534892935</v>
      </c>
      <c r="CD69" s="14">
        <f>IF(AND(CD$5-$A69&gt;=0,CD$5-$A69&lt;=19),INDEX(HU_ord,CD$5-$A69+1)*$B69,0)</f>
        <v>0.022529050550355974</v>
      </c>
      <c r="CE69" s="14">
        <f>IF(AND(CE$5-$A69&gt;=0,CE$5-$A69&lt;=19),INDEX(HU_ord,CE$5-$A69+1)*$B69,0)</f>
        <v>0.013140005751782601</v>
      </c>
      <c r="CF69" s="14">
        <f>IF(AND(CF$5-$A69&gt;=0,CF$5-$A69&lt;=19),INDEX(HU_ord,CF$5-$A69+1)*$B69,0)</f>
        <v>0.003750960953209227</v>
      </c>
      <c r="CG69" s="14">
        <f>IF(AND(CG$5-$A69&gt;=0,CG$5-$A69&lt;=19),INDEX(HU_ord,CG$5-$A69+1)*$B69,0)</f>
        <v>0.0</v>
      </c>
      <c r="CH69" s="14">
        <f>IF(AND(CH$5-$A69&gt;=0,CH$5-$A69&lt;=19),INDEX(HU_ord,CH$5-$A69+1)*$B69,0)</f>
        <v>0.0</v>
      </c>
      <c r="CI69" s="14">
        <f>IF(AND(CI$5-$A69&gt;=0,CI$5-$A69&lt;=19),INDEX(HU_ord,CI$5-$A69+1)*$B69,0)</f>
        <v>0.0</v>
      </c>
      <c r="CJ69" s="14">
        <f>IF(AND(CJ$5-$A69&gt;=0,CJ$5-$A69&lt;=19),INDEX(HU_ord,CJ$5-$A69+1)*$B69,0)</f>
        <v>0.0</v>
      </c>
      <c r="CK69" s="14">
        <f>IF(AND(CK$5-$A69&gt;=0,CK$5-$A69&lt;=19),INDEX(HU_ord,CK$5-$A69+1)*$B69,0)</f>
        <v>0.0</v>
      </c>
      <c r="CL69" s="14">
        <f>IF(AND(CL$5-$A69&gt;=0,CL$5-$A69&lt;=19),INDEX(HU_ord,CL$5-$A69+1)*$B69,0)</f>
        <v>0.0</v>
      </c>
      <c r="CM69" s="14">
        <f>IF(AND(CM$5-$A69&gt;=0,CM$5-$A69&lt;=19),INDEX(HU_ord,CM$5-$A69+1)*$B69,0)</f>
        <v>0.0</v>
      </c>
      <c r="CN69" s="14">
        <f>IF(AND(CN$5-$A69&gt;=0,CN$5-$A69&lt;=19),INDEX(HU_ord,CN$5-$A69+1)*$B69,0)</f>
        <v>0.0</v>
      </c>
      <c r="CO69" s="14">
        <f>IF(AND(CO$5-$A69&gt;=0,CO$5-$A69&lt;=19),INDEX(HU_ord,CO$5-$A69+1)*$B69,0)</f>
        <v>0.0</v>
      </c>
      <c r="CP69" s="14">
        <f>IF(AND(CP$5-$A69&gt;=0,CP$5-$A69&lt;=19),INDEX(HU_ord,CP$5-$A69+1)*$B69,0)</f>
        <v>0.0</v>
      </c>
      <c r="CQ69" s="14">
        <f>IF(AND(CQ$5-$A69&gt;=0,CQ$5-$A69&lt;=19),INDEX(HU_ord,CQ$5-$A69+1)*$B69,0)</f>
        <v>0.0</v>
      </c>
      <c r="CR69" s="14">
        <f>IF(AND(CR$5-$A69&gt;=0,CR$5-$A69&lt;=19),INDEX(HU_ord,CR$5-$A69+1)*$B69,0)</f>
        <v>0.0</v>
      </c>
      <c r="CS69" s="14">
        <f>IF(AND(CS$5-$A69&gt;=0,CS$5-$A69&lt;=19),INDEX(HU_ord,CS$5-$A69+1)*$B69,0)</f>
        <v>0.0</v>
      </c>
      <c r="CT69" s="14">
        <f>IF(AND(CT$5-$A69&gt;=0,CT$5-$A69&lt;=19),INDEX(HU_ord,CT$5-$A69+1)*$B69,0)</f>
        <v>0.0</v>
      </c>
      <c r="CU69" s="14">
        <f>IF(AND(CU$5-$A69&gt;=0,CU$5-$A69&lt;=19),INDEX(HU_ord,CU$5-$A69+1)*$B69,0)</f>
        <v>0.0</v>
      </c>
      <c r="CV69" s="14">
        <f>IF(AND(CV$5-$A69&gt;=0,CV$5-$A69&lt;=19),INDEX(HU_ord,CV$5-$A69+1)*$B69,0)</f>
        <v>0.0</v>
      </c>
      <c r="CW69" s="14">
        <f>IF(AND(CW$5-$A69&gt;=0,CW$5-$A69&lt;=19),INDEX(HU_ord,CW$5-$A69+1)*$B69,0)</f>
        <v>0.0</v>
      </c>
      <c r="CX69" s="14">
        <f>IF(AND(CX$5-$A69&gt;=0,CX$5-$A69&lt;=19),INDEX(HU_ord,CX$5-$A69+1)*$B69,0)</f>
        <v>0.0</v>
      </c>
      <c r="CY69" s="14">
        <f>IF(AND(CY$5-$A69&gt;=0,CY$5-$A69&lt;=19),INDEX(HU_ord,CY$5-$A69+1)*$B69,0)</f>
        <v>0.0</v>
      </c>
      <c r="CZ69" s="14">
        <f>IF(AND(CZ$5-$A69&gt;=0,CZ$5-$A69&lt;=19),INDEX(HU_ord,CZ$5-$A69+1)*$B69,0)</f>
        <v>0.0</v>
      </c>
      <c r="DA69" s="14">
        <f>IF(AND(DA$5-$A69&gt;=0,DA$5-$A69&lt;=19),INDEX(HU_ord,DA$5-$A69+1)*$B69,0)</f>
        <v>0.0</v>
      </c>
      <c r="DB69" s="14">
        <f>IF(AND(DB$5-$A69&gt;=0,DB$5-$A69&lt;=19),INDEX(HU_ord,DB$5-$A69+1)*$B69,0)</f>
        <v>0.0</v>
      </c>
      <c r="DC69" s="14">
        <f>IF(AND(DC$5-$A69&gt;=0,DC$5-$A69&lt;=19),INDEX(HU_ord,DC$5-$A69+1)*$B69,0)</f>
        <v>0.0</v>
      </c>
      <c r="DD69" s="14">
        <f>IF(AND(DD$5-$A69&gt;=0,DD$5-$A69&lt;=19),INDEX(HU_ord,DD$5-$A69+1)*$B69,0)</f>
        <v>0.0</v>
      </c>
      <c r="DE69" s="14">
        <f>IF(AND(DE$5-$A69&gt;=0,DE$5-$A69&lt;=19),INDEX(HU_ord,DE$5-$A69+1)*$B69,0)</f>
        <v>0.0</v>
      </c>
      <c r="DF69" s="14">
        <f>IF(AND(DF$5-$A69&gt;=0,DF$5-$A69&lt;=19),INDEX(HU_ord,DF$5-$A69+1)*$B69,0)</f>
        <v>0.0</v>
      </c>
      <c r="DG69" s="14">
        <f>IF(AND(DG$5-$A69&gt;=0,DG$5-$A69&lt;=19),INDEX(HU_ord,DG$5-$A69+1)*$B69,0)</f>
        <v>0.0</v>
      </c>
      <c r="DH69" s="14">
        <f>IF(AND(DH$5-$A69&gt;=0,DH$5-$A69&lt;=19),INDEX(HU_ord,DH$5-$A69+1)*$B69,0)</f>
        <v>0.0</v>
      </c>
      <c r="DI69" s="14">
        <f>IF(AND(DI$5-$A69&gt;=0,DI$5-$A69&lt;=19),INDEX(HU_ord,DI$5-$A69+1)*$B69,0)</f>
        <v>0.0</v>
      </c>
    </row>
    <row r="70" spans="1:113">
      <c r="A70">
        <v>64</v>
      </c>
      <c r="B70" s="10">
        <f>Serie_horaria!N66</f>
        <v>0.0</v>
      </c>
      <c r="C70" s="14">
        <f>IF(AND(C$5-$A70&gt;=0,C$5-$A70&lt;=19),INDEX(HU_ord,C$5-$A70+1)*$B70,0)</f>
        <v>0.0</v>
      </c>
      <c r="D70" s="14">
        <f>IF(AND(D$5-$A70&gt;=0,D$5-$A70&lt;=19),INDEX(HU_ord,D$5-$A70+1)*$B70,0)</f>
        <v>0.0</v>
      </c>
      <c r="E70" s="14">
        <f>IF(AND(E$5-$A70&gt;=0,E$5-$A70&lt;=19),INDEX(HU_ord,E$5-$A70+1)*$B70,0)</f>
        <v>0.0</v>
      </c>
      <c r="F70" s="14">
        <f>IF(AND(F$5-$A70&gt;=0,F$5-$A70&lt;=19),INDEX(HU_ord,F$5-$A70+1)*$B70,0)</f>
        <v>0.0</v>
      </c>
      <c r="G70" s="14">
        <f>IF(AND(G$5-$A70&gt;=0,G$5-$A70&lt;=19),INDEX(HU_ord,G$5-$A70+1)*$B70,0)</f>
        <v>0.0</v>
      </c>
      <c r="H70" s="14">
        <f>IF(AND(H$5-$A70&gt;=0,H$5-$A70&lt;=19),INDEX(HU_ord,H$5-$A70+1)*$B70,0)</f>
        <v>0.0</v>
      </c>
      <c r="I70" s="14">
        <f>IF(AND(I$5-$A70&gt;=0,I$5-$A70&lt;=19),INDEX(HU_ord,I$5-$A70+1)*$B70,0)</f>
        <v>0.0</v>
      </c>
      <c r="J70" s="14">
        <f>IF(AND(J$5-$A70&gt;=0,J$5-$A70&lt;=19),INDEX(HU_ord,J$5-$A70+1)*$B70,0)</f>
        <v>0.0</v>
      </c>
      <c r="K70" s="14">
        <f>IF(AND(K$5-$A70&gt;=0,K$5-$A70&lt;=19),INDEX(HU_ord,K$5-$A70+1)*$B70,0)</f>
        <v>0.0</v>
      </c>
      <c r="L70" s="14">
        <f>IF(AND(L$5-$A70&gt;=0,L$5-$A70&lt;=19),INDEX(HU_ord,L$5-$A70+1)*$B70,0)</f>
        <v>0.0</v>
      </c>
      <c r="M70" s="14">
        <f>IF(AND(M$5-$A70&gt;=0,M$5-$A70&lt;=19),INDEX(HU_ord,M$5-$A70+1)*$B70,0)</f>
        <v>0.0</v>
      </c>
      <c r="N70" s="14">
        <f>IF(AND(N$5-$A70&gt;=0,N$5-$A70&lt;=19),INDEX(HU_ord,N$5-$A70+1)*$B70,0)</f>
        <v>0.0</v>
      </c>
      <c r="O70" s="14">
        <f>IF(AND(O$5-$A70&gt;=0,O$5-$A70&lt;=19),INDEX(HU_ord,O$5-$A70+1)*$B70,0)</f>
        <v>0.0</v>
      </c>
      <c r="P70" s="14">
        <f>IF(AND(P$5-$A70&gt;=0,P$5-$A70&lt;=19),INDEX(HU_ord,P$5-$A70+1)*$B70,0)</f>
        <v>0.0</v>
      </c>
      <c r="Q70" s="14">
        <f>IF(AND(Q$5-$A70&gt;=0,Q$5-$A70&lt;=19),INDEX(HU_ord,Q$5-$A70+1)*$B70,0)</f>
        <v>0.0</v>
      </c>
      <c r="R70" s="14">
        <f>IF(AND(R$5-$A70&gt;=0,R$5-$A70&lt;=19),INDEX(HU_ord,R$5-$A70+1)*$B70,0)</f>
        <v>0.0</v>
      </c>
      <c r="S70" s="14">
        <f>IF(AND(S$5-$A70&gt;=0,S$5-$A70&lt;=19),INDEX(HU_ord,S$5-$A70+1)*$B70,0)</f>
        <v>0.0</v>
      </c>
      <c r="T70" s="14">
        <f>IF(AND(T$5-$A70&gt;=0,T$5-$A70&lt;=19),INDEX(HU_ord,T$5-$A70+1)*$B70,0)</f>
        <v>0.0</v>
      </c>
      <c r="U70" s="14">
        <f>IF(AND(U$5-$A70&gt;=0,U$5-$A70&lt;=19),INDEX(HU_ord,U$5-$A70+1)*$B70,0)</f>
        <v>0.0</v>
      </c>
      <c r="V70" s="14">
        <f>IF(AND(V$5-$A70&gt;=0,V$5-$A70&lt;=19),INDEX(HU_ord,V$5-$A70+1)*$B70,0)</f>
        <v>0.0</v>
      </c>
      <c r="W70" s="14">
        <f>IF(AND(W$5-$A70&gt;=0,W$5-$A70&lt;=19),INDEX(HU_ord,W$5-$A70+1)*$B70,0)</f>
        <v>0.0</v>
      </c>
      <c r="X70" s="14">
        <f>IF(AND(X$5-$A70&gt;=0,X$5-$A70&lt;=19),INDEX(HU_ord,X$5-$A70+1)*$B70,0)</f>
        <v>0.0</v>
      </c>
      <c r="Y70" s="14">
        <f>IF(AND(Y$5-$A70&gt;=0,Y$5-$A70&lt;=19),INDEX(HU_ord,Y$5-$A70+1)*$B70,0)</f>
        <v>0.0</v>
      </c>
      <c r="Z70" s="14">
        <f>IF(AND(Z$5-$A70&gt;=0,Z$5-$A70&lt;=19),INDEX(HU_ord,Z$5-$A70+1)*$B70,0)</f>
        <v>0.0</v>
      </c>
      <c r="AA70" s="14">
        <f>IF(AND(AA$5-$A70&gt;=0,AA$5-$A70&lt;=19),INDEX(HU_ord,AA$5-$A70+1)*$B70,0)</f>
        <v>0.0</v>
      </c>
      <c r="AB70" s="14">
        <f>IF(AND(AB$5-$A70&gt;=0,AB$5-$A70&lt;=19),INDEX(HU_ord,AB$5-$A70+1)*$B70,0)</f>
        <v>0.0</v>
      </c>
      <c r="AC70" s="14">
        <f>IF(AND(AC$5-$A70&gt;=0,AC$5-$A70&lt;=19),INDEX(HU_ord,AC$5-$A70+1)*$B70,0)</f>
        <v>0.0</v>
      </c>
      <c r="AD70" s="14">
        <f>IF(AND(AD$5-$A70&gt;=0,AD$5-$A70&lt;=19),INDEX(HU_ord,AD$5-$A70+1)*$B70,0)</f>
        <v>0.0</v>
      </c>
      <c r="AE70" s="14">
        <f>IF(AND(AE$5-$A70&gt;=0,AE$5-$A70&lt;=19),INDEX(HU_ord,AE$5-$A70+1)*$B70,0)</f>
        <v>0.0</v>
      </c>
      <c r="AF70" s="14">
        <f>IF(AND(AF$5-$A70&gt;=0,AF$5-$A70&lt;=19),INDEX(HU_ord,AF$5-$A70+1)*$B70,0)</f>
        <v>0.0</v>
      </c>
      <c r="AG70" s="14">
        <f>IF(AND(AG$5-$A70&gt;=0,AG$5-$A70&lt;=19),INDEX(HU_ord,AG$5-$A70+1)*$B70,0)</f>
        <v>0.0</v>
      </c>
      <c r="AH70" s="14">
        <f>IF(AND(AH$5-$A70&gt;=0,AH$5-$A70&lt;=19),INDEX(HU_ord,AH$5-$A70+1)*$B70,0)</f>
        <v>0.0</v>
      </c>
      <c r="AI70" s="14">
        <f>IF(AND(AI$5-$A70&gt;=0,AI$5-$A70&lt;=19),INDEX(HU_ord,AI$5-$A70+1)*$B70,0)</f>
        <v>0.0</v>
      </c>
      <c r="AJ70" s="14">
        <f>IF(AND(AJ$5-$A70&gt;=0,AJ$5-$A70&lt;=19),INDEX(HU_ord,AJ$5-$A70+1)*$B70,0)</f>
        <v>0.0</v>
      </c>
      <c r="AK70" s="14">
        <f>IF(AND(AK$5-$A70&gt;=0,AK$5-$A70&lt;=19),INDEX(HU_ord,AK$5-$A70+1)*$B70,0)</f>
        <v>0.0</v>
      </c>
      <c r="AL70" s="14">
        <f>IF(AND(AL$5-$A70&gt;=0,AL$5-$A70&lt;=19),INDEX(HU_ord,AL$5-$A70+1)*$B70,0)</f>
        <v>0.0</v>
      </c>
      <c r="AM70" s="14">
        <f>IF(AND(AM$5-$A70&gt;=0,AM$5-$A70&lt;=19),INDEX(HU_ord,AM$5-$A70+1)*$B70,0)</f>
        <v>0.0</v>
      </c>
      <c r="AN70" s="14">
        <f>IF(AND(AN$5-$A70&gt;=0,AN$5-$A70&lt;=19),INDEX(HU_ord,AN$5-$A70+1)*$B70,0)</f>
        <v>0.0</v>
      </c>
      <c r="AO70" s="14">
        <f>IF(AND(AO$5-$A70&gt;=0,AO$5-$A70&lt;=19),INDEX(HU_ord,AO$5-$A70+1)*$B70,0)</f>
        <v>0.0</v>
      </c>
      <c r="AP70" s="14">
        <f>IF(AND(AP$5-$A70&gt;=0,AP$5-$A70&lt;=19),INDEX(HU_ord,AP$5-$A70+1)*$B70,0)</f>
        <v>0.0</v>
      </c>
      <c r="AQ70" s="14">
        <f>IF(AND(AQ$5-$A70&gt;=0,AQ$5-$A70&lt;=19),INDEX(HU_ord,AQ$5-$A70+1)*$B70,0)</f>
        <v>0.0</v>
      </c>
      <c r="AR70" s="14">
        <f>IF(AND(AR$5-$A70&gt;=0,AR$5-$A70&lt;=19),INDEX(HU_ord,AR$5-$A70+1)*$B70,0)</f>
        <v>0.0</v>
      </c>
      <c r="AS70" s="14">
        <f>IF(AND(AS$5-$A70&gt;=0,AS$5-$A70&lt;=19),INDEX(HU_ord,AS$5-$A70+1)*$B70,0)</f>
        <v>0.0</v>
      </c>
      <c r="AT70" s="14">
        <f>IF(AND(AT$5-$A70&gt;=0,AT$5-$A70&lt;=19),INDEX(HU_ord,AT$5-$A70+1)*$B70,0)</f>
        <v>0.0</v>
      </c>
      <c r="AU70" s="14">
        <f>IF(AND(AU$5-$A70&gt;=0,AU$5-$A70&lt;=19),INDEX(HU_ord,AU$5-$A70+1)*$B70,0)</f>
        <v>0.0</v>
      </c>
      <c r="AV70" s="14">
        <f>IF(AND(AV$5-$A70&gt;=0,AV$5-$A70&lt;=19),INDEX(HU_ord,AV$5-$A70+1)*$B70,0)</f>
        <v>0.0</v>
      </c>
      <c r="AW70" s="14">
        <f>IF(AND(AW$5-$A70&gt;=0,AW$5-$A70&lt;=19),INDEX(HU_ord,AW$5-$A70+1)*$B70,0)</f>
        <v>0.0</v>
      </c>
      <c r="AX70" s="14">
        <f>IF(AND(AX$5-$A70&gt;=0,AX$5-$A70&lt;=19),INDEX(HU_ord,AX$5-$A70+1)*$B70,0)</f>
        <v>0.0</v>
      </c>
      <c r="AY70" s="14">
        <f>IF(AND(AY$5-$A70&gt;=0,AY$5-$A70&lt;=19),INDEX(HU_ord,AY$5-$A70+1)*$B70,0)</f>
        <v>0.0</v>
      </c>
      <c r="AZ70" s="14">
        <f>IF(AND(AZ$5-$A70&gt;=0,AZ$5-$A70&lt;=19),INDEX(HU_ord,AZ$5-$A70+1)*$B70,0)</f>
        <v>0.0</v>
      </c>
      <c r="BA70" s="14">
        <f>IF(AND(BA$5-$A70&gt;=0,BA$5-$A70&lt;=19),INDEX(HU_ord,BA$5-$A70+1)*$B70,0)</f>
        <v>0.0</v>
      </c>
      <c r="BB70" s="14">
        <f>IF(AND(BB$5-$A70&gt;=0,BB$5-$A70&lt;=19),INDEX(HU_ord,BB$5-$A70+1)*$B70,0)</f>
        <v>0.0</v>
      </c>
      <c r="BC70" s="14">
        <f>IF(AND(BC$5-$A70&gt;=0,BC$5-$A70&lt;=19),INDEX(HU_ord,BC$5-$A70+1)*$B70,0)</f>
        <v>0.0</v>
      </c>
      <c r="BD70" s="14">
        <f>IF(AND(BD$5-$A70&gt;=0,BD$5-$A70&lt;=19),INDEX(HU_ord,BD$5-$A70+1)*$B70,0)</f>
        <v>0.0</v>
      </c>
      <c r="BE70" s="14">
        <f>IF(AND(BE$5-$A70&gt;=0,BE$5-$A70&lt;=19),INDEX(HU_ord,BE$5-$A70+1)*$B70,0)</f>
        <v>0.0</v>
      </c>
      <c r="BF70" s="14">
        <f>IF(AND(BF$5-$A70&gt;=0,BF$5-$A70&lt;=19),INDEX(HU_ord,BF$5-$A70+1)*$B70,0)</f>
        <v>0.0</v>
      </c>
      <c r="BG70" s="14">
        <f>IF(AND(BG$5-$A70&gt;=0,BG$5-$A70&lt;=19),INDEX(HU_ord,BG$5-$A70+1)*$B70,0)</f>
        <v>0.0</v>
      </c>
      <c r="BH70" s="14">
        <f>IF(AND(BH$5-$A70&gt;=0,BH$5-$A70&lt;=19),INDEX(HU_ord,BH$5-$A70+1)*$B70,0)</f>
        <v>0.0</v>
      </c>
      <c r="BI70" s="14">
        <f>IF(AND(BI$5-$A70&gt;=0,BI$5-$A70&lt;=19),INDEX(HU_ord,BI$5-$A70+1)*$B70,0)</f>
        <v>0.0</v>
      </c>
      <c r="BJ70" s="14">
        <f>IF(AND(BJ$5-$A70&gt;=0,BJ$5-$A70&lt;=19),INDEX(HU_ord,BJ$5-$A70+1)*$B70,0)</f>
        <v>0.0</v>
      </c>
      <c r="BK70" s="14">
        <f>IF(AND(BK$5-$A70&gt;=0,BK$5-$A70&lt;=19),INDEX(HU_ord,BK$5-$A70+1)*$B70,0)</f>
        <v>0.0</v>
      </c>
      <c r="BL70" s="14">
        <f>IF(AND(BL$5-$A70&gt;=0,BL$5-$A70&lt;=19),INDEX(HU_ord,BL$5-$A70+1)*$B70,0)</f>
        <v>0.0</v>
      </c>
      <c r="BM70" s="14">
        <f>IF(AND(BM$5-$A70&gt;=0,BM$5-$A70&lt;=19),INDEX(HU_ord,BM$5-$A70+1)*$B70,0)</f>
        <v>0.0</v>
      </c>
      <c r="BN70" s="14">
        <f>IF(AND(BN$5-$A70&gt;=0,BN$5-$A70&lt;=19),INDEX(HU_ord,BN$5-$A70+1)*$B70,0)</f>
        <v>0.0</v>
      </c>
      <c r="BO70" s="14">
        <f>IF(AND(BO$5-$A70&gt;=0,BO$5-$A70&lt;=19),INDEX(HU_ord,BO$5-$A70+1)*$B70,0)</f>
        <v>0.0</v>
      </c>
      <c r="BP70" s="14">
        <f>IF(AND(BP$5-$A70&gt;=0,BP$5-$A70&lt;=19),INDEX(HU_ord,BP$5-$A70+1)*$B70,0)</f>
        <v>0.0</v>
      </c>
      <c r="BQ70" s="14">
        <f>IF(AND(BQ$5-$A70&gt;=0,BQ$5-$A70&lt;=19),INDEX(HU_ord,BQ$5-$A70+1)*$B70,0)</f>
        <v>0.0</v>
      </c>
      <c r="BR70" s="14">
        <f>IF(AND(BR$5-$A70&gt;=0,BR$5-$A70&lt;=19),INDEX(HU_ord,BR$5-$A70+1)*$B70,0)</f>
        <v>0.0</v>
      </c>
      <c r="BS70" s="14">
        <f>IF(AND(BS$5-$A70&gt;=0,BS$5-$A70&lt;=19),INDEX(HU_ord,BS$5-$A70+1)*$B70,0)</f>
        <v>0.0</v>
      </c>
      <c r="BT70" s="14">
        <f>IF(AND(BT$5-$A70&gt;=0,BT$5-$A70&lt;=19),INDEX(HU_ord,BT$5-$A70+1)*$B70,0)</f>
        <v>0.0</v>
      </c>
      <c r="BU70" s="14">
        <f>IF(AND(BU$5-$A70&gt;=0,BU$5-$A70&lt;=19),INDEX(HU_ord,BU$5-$A70+1)*$B70,0)</f>
        <v>0.0</v>
      </c>
      <c r="BV70" s="14">
        <f>IF(AND(BV$5-$A70&gt;=0,BV$5-$A70&lt;=19),INDEX(HU_ord,BV$5-$A70+1)*$B70,0)</f>
        <v>0.0</v>
      </c>
      <c r="BW70" s="14">
        <f>IF(AND(BW$5-$A70&gt;=0,BW$5-$A70&lt;=19),INDEX(HU_ord,BW$5-$A70+1)*$B70,0)</f>
        <v>0.0</v>
      </c>
      <c r="BX70" s="14">
        <f>IF(AND(BX$5-$A70&gt;=0,BX$5-$A70&lt;=19),INDEX(HU_ord,BX$5-$A70+1)*$B70,0)</f>
        <v>0.0</v>
      </c>
      <c r="BY70" s="14">
        <f>IF(AND(BY$5-$A70&gt;=0,BY$5-$A70&lt;=19),INDEX(HU_ord,BY$5-$A70+1)*$B70,0)</f>
        <v>0.0</v>
      </c>
      <c r="BZ70" s="14">
        <f>IF(AND(BZ$5-$A70&gt;=0,BZ$5-$A70&lt;=19),INDEX(HU_ord,BZ$5-$A70+1)*$B70,0)</f>
        <v>0.0</v>
      </c>
      <c r="CA70" s="14">
        <f>IF(AND(CA$5-$A70&gt;=0,CA$5-$A70&lt;=19),INDEX(HU_ord,CA$5-$A70+1)*$B70,0)</f>
        <v>0.0</v>
      </c>
      <c r="CB70" s="14">
        <f>IF(AND(CB$5-$A70&gt;=0,CB$5-$A70&lt;=19),INDEX(HU_ord,CB$5-$A70+1)*$B70,0)</f>
        <v>0.0</v>
      </c>
      <c r="CC70" s="14">
        <f>IF(AND(CC$5-$A70&gt;=0,CC$5-$A70&lt;=19),INDEX(HU_ord,CC$5-$A70+1)*$B70,0)</f>
        <v>0.0</v>
      </c>
      <c r="CD70" s="14">
        <f>IF(AND(CD$5-$A70&gt;=0,CD$5-$A70&lt;=19),INDEX(HU_ord,CD$5-$A70+1)*$B70,0)</f>
        <v>0.0</v>
      </c>
      <c r="CE70" s="14">
        <f>IF(AND(CE$5-$A70&gt;=0,CE$5-$A70&lt;=19),INDEX(HU_ord,CE$5-$A70+1)*$B70,0)</f>
        <v>0.0</v>
      </c>
      <c r="CF70" s="14">
        <f>IF(AND(CF$5-$A70&gt;=0,CF$5-$A70&lt;=19),INDEX(HU_ord,CF$5-$A70+1)*$B70,0)</f>
        <v>0.0</v>
      </c>
      <c r="CG70" s="14">
        <f>IF(AND(CG$5-$A70&gt;=0,CG$5-$A70&lt;=19),INDEX(HU_ord,CG$5-$A70+1)*$B70,0)</f>
        <v>0.0</v>
      </c>
      <c r="CH70" s="14">
        <f>IF(AND(CH$5-$A70&gt;=0,CH$5-$A70&lt;=19),INDEX(HU_ord,CH$5-$A70+1)*$B70,0)</f>
        <v>0.0</v>
      </c>
      <c r="CI70" s="14">
        <f>IF(AND(CI$5-$A70&gt;=0,CI$5-$A70&lt;=19),INDEX(HU_ord,CI$5-$A70+1)*$B70,0)</f>
        <v>0.0</v>
      </c>
      <c r="CJ70" s="14">
        <f>IF(AND(CJ$5-$A70&gt;=0,CJ$5-$A70&lt;=19),INDEX(HU_ord,CJ$5-$A70+1)*$B70,0)</f>
        <v>0.0</v>
      </c>
      <c r="CK70" s="14">
        <f>IF(AND(CK$5-$A70&gt;=0,CK$5-$A70&lt;=19),INDEX(HU_ord,CK$5-$A70+1)*$B70,0)</f>
        <v>0.0</v>
      </c>
      <c r="CL70" s="14">
        <f>IF(AND(CL$5-$A70&gt;=0,CL$5-$A70&lt;=19),INDEX(HU_ord,CL$5-$A70+1)*$B70,0)</f>
        <v>0.0</v>
      </c>
      <c r="CM70" s="14">
        <f>IF(AND(CM$5-$A70&gt;=0,CM$5-$A70&lt;=19),INDEX(HU_ord,CM$5-$A70+1)*$B70,0)</f>
        <v>0.0</v>
      </c>
      <c r="CN70" s="14">
        <f>IF(AND(CN$5-$A70&gt;=0,CN$5-$A70&lt;=19),INDEX(HU_ord,CN$5-$A70+1)*$B70,0)</f>
        <v>0.0</v>
      </c>
      <c r="CO70" s="14">
        <f>IF(AND(CO$5-$A70&gt;=0,CO$5-$A70&lt;=19),INDEX(HU_ord,CO$5-$A70+1)*$B70,0)</f>
        <v>0.0</v>
      </c>
      <c r="CP70" s="14">
        <f>IF(AND(CP$5-$A70&gt;=0,CP$5-$A70&lt;=19),INDEX(HU_ord,CP$5-$A70+1)*$B70,0)</f>
        <v>0.0</v>
      </c>
      <c r="CQ70" s="14">
        <f>IF(AND(CQ$5-$A70&gt;=0,CQ$5-$A70&lt;=19),INDEX(HU_ord,CQ$5-$A70+1)*$B70,0)</f>
        <v>0.0</v>
      </c>
      <c r="CR70" s="14">
        <f>IF(AND(CR$5-$A70&gt;=0,CR$5-$A70&lt;=19),INDEX(HU_ord,CR$5-$A70+1)*$B70,0)</f>
        <v>0.0</v>
      </c>
      <c r="CS70" s="14">
        <f>IF(AND(CS$5-$A70&gt;=0,CS$5-$A70&lt;=19),INDEX(HU_ord,CS$5-$A70+1)*$B70,0)</f>
        <v>0.0</v>
      </c>
      <c r="CT70" s="14">
        <f>IF(AND(CT$5-$A70&gt;=0,CT$5-$A70&lt;=19),INDEX(HU_ord,CT$5-$A70+1)*$B70,0)</f>
        <v>0.0</v>
      </c>
      <c r="CU70" s="14">
        <f>IF(AND(CU$5-$A70&gt;=0,CU$5-$A70&lt;=19),INDEX(HU_ord,CU$5-$A70+1)*$B70,0)</f>
        <v>0.0</v>
      </c>
      <c r="CV70" s="14">
        <f>IF(AND(CV$5-$A70&gt;=0,CV$5-$A70&lt;=19),INDEX(HU_ord,CV$5-$A70+1)*$B70,0)</f>
        <v>0.0</v>
      </c>
      <c r="CW70" s="14">
        <f>IF(AND(CW$5-$A70&gt;=0,CW$5-$A70&lt;=19),INDEX(HU_ord,CW$5-$A70+1)*$B70,0)</f>
        <v>0.0</v>
      </c>
      <c r="CX70" s="14">
        <f>IF(AND(CX$5-$A70&gt;=0,CX$5-$A70&lt;=19),INDEX(HU_ord,CX$5-$A70+1)*$B70,0)</f>
        <v>0.0</v>
      </c>
      <c r="CY70" s="14">
        <f>IF(AND(CY$5-$A70&gt;=0,CY$5-$A70&lt;=19),INDEX(HU_ord,CY$5-$A70+1)*$B70,0)</f>
        <v>0.0</v>
      </c>
      <c r="CZ70" s="14">
        <f>IF(AND(CZ$5-$A70&gt;=0,CZ$5-$A70&lt;=19),INDEX(HU_ord,CZ$5-$A70+1)*$B70,0)</f>
        <v>0.0</v>
      </c>
      <c r="DA70" s="14">
        <f>IF(AND(DA$5-$A70&gt;=0,DA$5-$A70&lt;=19),INDEX(HU_ord,DA$5-$A70+1)*$B70,0)</f>
        <v>0.0</v>
      </c>
      <c r="DB70" s="14">
        <f>IF(AND(DB$5-$A70&gt;=0,DB$5-$A70&lt;=19),INDEX(HU_ord,DB$5-$A70+1)*$B70,0)</f>
        <v>0.0</v>
      </c>
      <c r="DC70" s="14">
        <f>IF(AND(DC$5-$A70&gt;=0,DC$5-$A70&lt;=19),INDEX(HU_ord,DC$5-$A70+1)*$B70,0)</f>
        <v>0.0</v>
      </c>
      <c r="DD70" s="14">
        <f>IF(AND(DD$5-$A70&gt;=0,DD$5-$A70&lt;=19),INDEX(HU_ord,DD$5-$A70+1)*$B70,0)</f>
        <v>0.0</v>
      </c>
      <c r="DE70" s="14">
        <f>IF(AND(DE$5-$A70&gt;=0,DE$5-$A70&lt;=19),INDEX(HU_ord,DE$5-$A70+1)*$B70,0)</f>
        <v>0.0</v>
      </c>
      <c r="DF70" s="14">
        <f>IF(AND(DF$5-$A70&gt;=0,DF$5-$A70&lt;=19),INDEX(HU_ord,DF$5-$A70+1)*$B70,0)</f>
        <v>0.0</v>
      </c>
      <c r="DG70" s="14">
        <f>IF(AND(DG$5-$A70&gt;=0,DG$5-$A70&lt;=19),INDEX(HU_ord,DG$5-$A70+1)*$B70,0)</f>
        <v>0.0</v>
      </c>
      <c r="DH70" s="14">
        <f>IF(AND(DH$5-$A70&gt;=0,DH$5-$A70&lt;=19),INDEX(HU_ord,DH$5-$A70+1)*$B70,0)</f>
        <v>0.0</v>
      </c>
      <c r="DI70" s="14">
        <f>IF(AND(DI$5-$A70&gt;=0,DI$5-$A70&lt;=19),INDEX(HU_ord,DI$5-$A70+1)*$B70,0)</f>
        <v>0.0</v>
      </c>
    </row>
    <row r="71" spans="1:113">
      <c r="A71">
        <v>65</v>
      </c>
      <c r="B71" s="10">
        <f>Serie_horaria!N67</f>
        <v>0.0</v>
      </c>
      <c r="C71" s="14">
        <f>IF(AND(C$5-$A71&gt;=0,C$5-$A71&lt;=19),INDEX(HU_ord,C$5-$A71+1)*$B71,0)</f>
        <v>0.0</v>
      </c>
      <c r="D71" s="14">
        <f>IF(AND(D$5-$A71&gt;=0,D$5-$A71&lt;=19),INDEX(HU_ord,D$5-$A71+1)*$B71,0)</f>
        <v>0.0</v>
      </c>
      <c r="E71" s="14">
        <f>IF(AND(E$5-$A71&gt;=0,E$5-$A71&lt;=19),INDEX(HU_ord,E$5-$A71+1)*$B71,0)</f>
        <v>0.0</v>
      </c>
      <c r="F71" s="14">
        <f>IF(AND(F$5-$A71&gt;=0,F$5-$A71&lt;=19),INDEX(HU_ord,F$5-$A71+1)*$B71,0)</f>
        <v>0.0</v>
      </c>
      <c r="G71" s="14">
        <f>IF(AND(G$5-$A71&gt;=0,G$5-$A71&lt;=19),INDEX(HU_ord,G$5-$A71+1)*$B71,0)</f>
        <v>0.0</v>
      </c>
      <c r="H71" s="14">
        <f>IF(AND(H$5-$A71&gt;=0,H$5-$A71&lt;=19),INDEX(HU_ord,H$5-$A71+1)*$B71,0)</f>
        <v>0.0</v>
      </c>
      <c r="I71" s="14">
        <f>IF(AND(I$5-$A71&gt;=0,I$5-$A71&lt;=19),INDEX(HU_ord,I$5-$A71+1)*$B71,0)</f>
        <v>0.0</v>
      </c>
      <c r="J71" s="14">
        <f>IF(AND(J$5-$A71&gt;=0,J$5-$A71&lt;=19),INDEX(HU_ord,J$5-$A71+1)*$B71,0)</f>
        <v>0.0</v>
      </c>
      <c r="K71" s="14">
        <f>IF(AND(K$5-$A71&gt;=0,K$5-$A71&lt;=19),INDEX(HU_ord,K$5-$A71+1)*$B71,0)</f>
        <v>0.0</v>
      </c>
      <c r="L71" s="14">
        <f>IF(AND(L$5-$A71&gt;=0,L$5-$A71&lt;=19),INDEX(HU_ord,L$5-$A71+1)*$B71,0)</f>
        <v>0.0</v>
      </c>
      <c r="M71" s="14">
        <f>IF(AND(M$5-$A71&gt;=0,M$5-$A71&lt;=19),INDEX(HU_ord,M$5-$A71+1)*$B71,0)</f>
        <v>0.0</v>
      </c>
      <c r="N71" s="14">
        <f>IF(AND(N$5-$A71&gt;=0,N$5-$A71&lt;=19),INDEX(HU_ord,N$5-$A71+1)*$B71,0)</f>
        <v>0.0</v>
      </c>
      <c r="O71" s="14">
        <f>IF(AND(O$5-$A71&gt;=0,O$5-$A71&lt;=19),INDEX(HU_ord,O$5-$A71+1)*$B71,0)</f>
        <v>0.0</v>
      </c>
      <c r="P71" s="14">
        <f>IF(AND(P$5-$A71&gt;=0,P$5-$A71&lt;=19),INDEX(HU_ord,P$5-$A71+1)*$B71,0)</f>
        <v>0.0</v>
      </c>
      <c r="Q71" s="14">
        <f>IF(AND(Q$5-$A71&gt;=0,Q$5-$A71&lt;=19),INDEX(HU_ord,Q$5-$A71+1)*$B71,0)</f>
        <v>0.0</v>
      </c>
      <c r="R71" s="14">
        <f>IF(AND(R$5-$A71&gt;=0,R$5-$A71&lt;=19),INDEX(HU_ord,R$5-$A71+1)*$B71,0)</f>
        <v>0.0</v>
      </c>
      <c r="S71" s="14">
        <f>IF(AND(S$5-$A71&gt;=0,S$5-$A71&lt;=19),INDEX(HU_ord,S$5-$A71+1)*$B71,0)</f>
        <v>0.0</v>
      </c>
      <c r="T71" s="14">
        <f>IF(AND(T$5-$A71&gt;=0,T$5-$A71&lt;=19),INDEX(HU_ord,T$5-$A71+1)*$B71,0)</f>
        <v>0.0</v>
      </c>
      <c r="U71" s="14">
        <f>IF(AND(U$5-$A71&gt;=0,U$5-$A71&lt;=19),INDEX(HU_ord,U$5-$A71+1)*$B71,0)</f>
        <v>0.0</v>
      </c>
      <c r="V71" s="14">
        <f>IF(AND(V$5-$A71&gt;=0,V$5-$A71&lt;=19),INDEX(HU_ord,V$5-$A71+1)*$B71,0)</f>
        <v>0.0</v>
      </c>
      <c r="W71" s="14">
        <f>IF(AND(W$5-$A71&gt;=0,W$5-$A71&lt;=19),INDEX(HU_ord,W$5-$A71+1)*$B71,0)</f>
        <v>0.0</v>
      </c>
      <c r="X71" s="14">
        <f>IF(AND(X$5-$A71&gt;=0,X$5-$A71&lt;=19),INDEX(HU_ord,X$5-$A71+1)*$B71,0)</f>
        <v>0.0</v>
      </c>
      <c r="Y71" s="14">
        <f>IF(AND(Y$5-$A71&gt;=0,Y$5-$A71&lt;=19),INDEX(HU_ord,Y$5-$A71+1)*$B71,0)</f>
        <v>0.0</v>
      </c>
      <c r="Z71" s="14">
        <f>IF(AND(Z$5-$A71&gt;=0,Z$5-$A71&lt;=19),INDEX(HU_ord,Z$5-$A71+1)*$B71,0)</f>
        <v>0.0</v>
      </c>
      <c r="AA71" s="14">
        <f>IF(AND(AA$5-$A71&gt;=0,AA$5-$A71&lt;=19),INDEX(HU_ord,AA$5-$A71+1)*$B71,0)</f>
        <v>0.0</v>
      </c>
      <c r="AB71" s="14">
        <f>IF(AND(AB$5-$A71&gt;=0,AB$5-$A71&lt;=19),INDEX(HU_ord,AB$5-$A71+1)*$B71,0)</f>
        <v>0.0</v>
      </c>
      <c r="AC71" s="14">
        <f>IF(AND(AC$5-$A71&gt;=0,AC$5-$A71&lt;=19),INDEX(HU_ord,AC$5-$A71+1)*$B71,0)</f>
        <v>0.0</v>
      </c>
      <c r="AD71" s="14">
        <f>IF(AND(AD$5-$A71&gt;=0,AD$5-$A71&lt;=19),INDEX(HU_ord,AD$5-$A71+1)*$B71,0)</f>
        <v>0.0</v>
      </c>
      <c r="AE71" s="14">
        <f>IF(AND(AE$5-$A71&gt;=0,AE$5-$A71&lt;=19),INDEX(HU_ord,AE$5-$A71+1)*$B71,0)</f>
        <v>0.0</v>
      </c>
      <c r="AF71" s="14">
        <f>IF(AND(AF$5-$A71&gt;=0,AF$5-$A71&lt;=19),INDEX(HU_ord,AF$5-$A71+1)*$B71,0)</f>
        <v>0.0</v>
      </c>
      <c r="AG71" s="14">
        <f>IF(AND(AG$5-$A71&gt;=0,AG$5-$A71&lt;=19),INDEX(HU_ord,AG$5-$A71+1)*$B71,0)</f>
        <v>0.0</v>
      </c>
      <c r="AH71" s="14">
        <f>IF(AND(AH$5-$A71&gt;=0,AH$5-$A71&lt;=19),INDEX(HU_ord,AH$5-$A71+1)*$B71,0)</f>
        <v>0.0</v>
      </c>
      <c r="AI71" s="14">
        <f>IF(AND(AI$5-$A71&gt;=0,AI$5-$A71&lt;=19),INDEX(HU_ord,AI$5-$A71+1)*$B71,0)</f>
        <v>0.0</v>
      </c>
      <c r="AJ71" s="14">
        <f>IF(AND(AJ$5-$A71&gt;=0,AJ$5-$A71&lt;=19),INDEX(HU_ord,AJ$5-$A71+1)*$B71,0)</f>
        <v>0.0</v>
      </c>
      <c r="AK71" s="14">
        <f>IF(AND(AK$5-$A71&gt;=0,AK$5-$A71&lt;=19),INDEX(HU_ord,AK$5-$A71+1)*$B71,0)</f>
        <v>0.0</v>
      </c>
      <c r="AL71" s="14">
        <f>IF(AND(AL$5-$A71&gt;=0,AL$5-$A71&lt;=19),INDEX(HU_ord,AL$5-$A71+1)*$B71,0)</f>
        <v>0.0</v>
      </c>
      <c r="AM71" s="14">
        <f>IF(AND(AM$5-$A71&gt;=0,AM$5-$A71&lt;=19),INDEX(HU_ord,AM$5-$A71+1)*$B71,0)</f>
        <v>0.0</v>
      </c>
      <c r="AN71" s="14">
        <f>IF(AND(AN$5-$A71&gt;=0,AN$5-$A71&lt;=19),INDEX(HU_ord,AN$5-$A71+1)*$B71,0)</f>
        <v>0.0</v>
      </c>
      <c r="AO71" s="14">
        <f>IF(AND(AO$5-$A71&gt;=0,AO$5-$A71&lt;=19),INDEX(HU_ord,AO$5-$A71+1)*$B71,0)</f>
        <v>0.0</v>
      </c>
      <c r="AP71" s="14">
        <f>IF(AND(AP$5-$A71&gt;=0,AP$5-$A71&lt;=19),INDEX(HU_ord,AP$5-$A71+1)*$B71,0)</f>
        <v>0.0</v>
      </c>
      <c r="AQ71" s="14">
        <f>IF(AND(AQ$5-$A71&gt;=0,AQ$5-$A71&lt;=19),INDEX(HU_ord,AQ$5-$A71+1)*$B71,0)</f>
        <v>0.0</v>
      </c>
      <c r="AR71" s="14">
        <f>IF(AND(AR$5-$A71&gt;=0,AR$5-$A71&lt;=19),INDEX(HU_ord,AR$5-$A71+1)*$B71,0)</f>
        <v>0.0</v>
      </c>
      <c r="AS71" s="14">
        <f>IF(AND(AS$5-$A71&gt;=0,AS$5-$A71&lt;=19),INDEX(HU_ord,AS$5-$A71+1)*$B71,0)</f>
        <v>0.0</v>
      </c>
      <c r="AT71" s="14">
        <f>IF(AND(AT$5-$A71&gt;=0,AT$5-$A71&lt;=19),INDEX(HU_ord,AT$5-$A71+1)*$B71,0)</f>
        <v>0.0</v>
      </c>
      <c r="AU71" s="14">
        <f>IF(AND(AU$5-$A71&gt;=0,AU$5-$A71&lt;=19),INDEX(HU_ord,AU$5-$A71+1)*$B71,0)</f>
        <v>0.0</v>
      </c>
      <c r="AV71" s="14">
        <f>IF(AND(AV$5-$A71&gt;=0,AV$5-$A71&lt;=19),INDEX(HU_ord,AV$5-$A71+1)*$B71,0)</f>
        <v>0.0</v>
      </c>
      <c r="AW71" s="14">
        <f>IF(AND(AW$5-$A71&gt;=0,AW$5-$A71&lt;=19),INDEX(HU_ord,AW$5-$A71+1)*$B71,0)</f>
        <v>0.0</v>
      </c>
      <c r="AX71" s="14">
        <f>IF(AND(AX$5-$A71&gt;=0,AX$5-$A71&lt;=19),INDEX(HU_ord,AX$5-$A71+1)*$B71,0)</f>
        <v>0.0</v>
      </c>
      <c r="AY71" s="14">
        <f>IF(AND(AY$5-$A71&gt;=0,AY$5-$A71&lt;=19),INDEX(HU_ord,AY$5-$A71+1)*$B71,0)</f>
        <v>0.0</v>
      </c>
      <c r="AZ71" s="14">
        <f>IF(AND(AZ$5-$A71&gt;=0,AZ$5-$A71&lt;=19),INDEX(HU_ord,AZ$5-$A71+1)*$B71,0)</f>
        <v>0.0</v>
      </c>
      <c r="BA71" s="14">
        <f>IF(AND(BA$5-$A71&gt;=0,BA$5-$A71&lt;=19),INDEX(HU_ord,BA$5-$A71+1)*$B71,0)</f>
        <v>0.0</v>
      </c>
      <c r="BB71" s="14">
        <f>IF(AND(BB$5-$A71&gt;=0,BB$5-$A71&lt;=19),INDEX(HU_ord,BB$5-$A71+1)*$B71,0)</f>
        <v>0.0</v>
      </c>
      <c r="BC71" s="14">
        <f>IF(AND(BC$5-$A71&gt;=0,BC$5-$A71&lt;=19),INDEX(HU_ord,BC$5-$A71+1)*$B71,0)</f>
        <v>0.0</v>
      </c>
      <c r="BD71" s="14">
        <f>IF(AND(BD$5-$A71&gt;=0,BD$5-$A71&lt;=19),INDEX(HU_ord,BD$5-$A71+1)*$B71,0)</f>
        <v>0.0</v>
      </c>
      <c r="BE71" s="14">
        <f>IF(AND(BE$5-$A71&gt;=0,BE$5-$A71&lt;=19),INDEX(HU_ord,BE$5-$A71+1)*$B71,0)</f>
        <v>0.0</v>
      </c>
      <c r="BF71" s="14">
        <f>IF(AND(BF$5-$A71&gt;=0,BF$5-$A71&lt;=19),INDEX(HU_ord,BF$5-$A71+1)*$B71,0)</f>
        <v>0.0</v>
      </c>
      <c r="BG71" s="14">
        <f>IF(AND(BG$5-$A71&gt;=0,BG$5-$A71&lt;=19),INDEX(HU_ord,BG$5-$A71+1)*$B71,0)</f>
        <v>0.0</v>
      </c>
      <c r="BH71" s="14">
        <f>IF(AND(BH$5-$A71&gt;=0,BH$5-$A71&lt;=19),INDEX(HU_ord,BH$5-$A71+1)*$B71,0)</f>
        <v>0.0</v>
      </c>
      <c r="BI71" s="14">
        <f>IF(AND(BI$5-$A71&gt;=0,BI$5-$A71&lt;=19),INDEX(HU_ord,BI$5-$A71+1)*$B71,0)</f>
        <v>0.0</v>
      </c>
      <c r="BJ71" s="14">
        <f>IF(AND(BJ$5-$A71&gt;=0,BJ$5-$A71&lt;=19),INDEX(HU_ord,BJ$5-$A71+1)*$B71,0)</f>
        <v>0.0</v>
      </c>
      <c r="BK71" s="14">
        <f>IF(AND(BK$5-$A71&gt;=0,BK$5-$A71&lt;=19),INDEX(HU_ord,BK$5-$A71+1)*$B71,0)</f>
        <v>0.0</v>
      </c>
      <c r="BL71" s="14">
        <f>IF(AND(BL$5-$A71&gt;=0,BL$5-$A71&lt;=19),INDEX(HU_ord,BL$5-$A71+1)*$B71,0)</f>
        <v>0.0</v>
      </c>
      <c r="BM71" s="14">
        <f>IF(AND(BM$5-$A71&gt;=0,BM$5-$A71&lt;=19),INDEX(HU_ord,BM$5-$A71+1)*$B71,0)</f>
        <v>0.0</v>
      </c>
      <c r="BN71" s="14">
        <f>IF(AND(BN$5-$A71&gt;=0,BN$5-$A71&lt;=19),INDEX(HU_ord,BN$5-$A71+1)*$B71,0)</f>
        <v>0.0</v>
      </c>
      <c r="BO71" s="14">
        <f>IF(AND(BO$5-$A71&gt;=0,BO$5-$A71&lt;=19),INDEX(HU_ord,BO$5-$A71+1)*$B71,0)</f>
        <v>0.0</v>
      </c>
      <c r="BP71" s="14">
        <f>IF(AND(BP$5-$A71&gt;=0,BP$5-$A71&lt;=19),INDEX(HU_ord,BP$5-$A71+1)*$B71,0)</f>
        <v>0.0</v>
      </c>
      <c r="BQ71" s="14">
        <f>IF(AND(BQ$5-$A71&gt;=0,BQ$5-$A71&lt;=19),INDEX(HU_ord,BQ$5-$A71+1)*$B71,0)</f>
        <v>0.0</v>
      </c>
      <c r="BR71" s="14">
        <f>IF(AND(BR$5-$A71&gt;=0,BR$5-$A71&lt;=19),INDEX(HU_ord,BR$5-$A71+1)*$B71,0)</f>
        <v>0.0</v>
      </c>
      <c r="BS71" s="14">
        <f>IF(AND(BS$5-$A71&gt;=0,BS$5-$A71&lt;=19),INDEX(HU_ord,BS$5-$A71+1)*$B71,0)</f>
        <v>0.0</v>
      </c>
      <c r="BT71" s="14">
        <f>IF(AND(BT$5-$A71&gt;=0,BT$5-$A71&lt;=19),INDEX(HU_ord,BT$5-$A71+1)*$B71,0)</f>
        <v>0.0</v>
      </c>
      <c r="BU71" s="14">
        <f>IF(AND(BU$5-$A71&gt;=0,BU$5-$A71&lt;=19),INDEX(HU_ord,BU$5-$A71+1)*$B71,0)</f>
        <v>0.0</v>
      </c>
      <c r="BV71" s="14">
        <f>IF(AND(BV$5-$A71&gt;=0,BV$5-$A71&lt;=19),INDEX(HU_ord,BV$5-$A71+1)*$B71,0)</f>
        <v>0.0</v>
      </c>
      <c r="BW71" s="14">
        <f>IF(AND(BW$5-$A71&gt;=0,BW$5-$A71&lt;=19),INDEX(HU_ord,BW$5-$A71+1)*$B71,0)</f>
        <v>0.0</v>
      </c>
      <c r="BX71" s="14">
        <f>IF(AND(BX$5-$A71&gt;=0,BX$5-$A71&lt;=19),INDEX(HU_ord,BX$5-$A71+1)*$B71,0)</f>
        <v>0.0</v>
      </c>
      <c r="BY71" s="14">
        <f>IF(AND(BY$5-$A71&gt;=0,BY$5-$A71&lt;=19),INDEX(HU_ord,BY$5-$A71+1)*$B71,0)</f>
        <v>0.0</v>
      </c>
      <c r="BZ71" s="14">
        <f>IF(AND(BZ$5-$A71&gt;=0,BZ$5-$A71&lt;=19),INDEX(HU_ord,BZ$5-$A71+1)*$B71,0)</f>
        <v>0.0</v>
      </c>
      <c r="CA71" s="14">
        <f>IF(AND(CA$5-$A71&gt;=0,CA$5-$A71&lt;=19),INDEX(HU_ord,CA$5-$A71+1)*$B71,0)</f>
        <v>0.0</v>
      </c>
      <c r="CB71" s="14">
        <f>IF(AND(CB$5-$A71&gt;=0,CB$5-$A71&lt;=19),INDEX(HU_ord,CB$5-$A71+1)*$B71,0)</f>
        <v>0.0</v>
      </c>
      <c r="CC71" s="14">
        <f>IF(AND(CC$5-$A71&gt;=0,CC$5-$A71&lt;=19),INDEX(HU_ord,CC$5-$A71+1)*$B71,0)</f>
        <v>0.0</v>
      </c>
      <c r="CD71" s="14">
        <f>IF(AND(CD$5-$A71&gt;=0,CD$5-$A71&lt;=19),INDEX(HU_ord,CD$5-$A71+1)*$B71,0)</f>
        <v>0.0</v>
      </c>
      <c r="CE71" s="14">
        <f>IF(AND(CE$5-$A71&gt;=0,CE$5-$A71&lt;=19),INDEX(HU_ord,CE$5-$A71+1)*$B71,0)</f>
        <v>0.0</v>
      </c>
      <c r="CF71" s="14">
        <f>IF(AND(CF$5-$A71&gt;=0,CF$5-$A71&lt;=19),INDEX(HU_ord,CF$5-$A71+1)*$B71,0)</f>
        <v>0.0</v>
      </c>
      <c r="CG71" s="14">
        <f>IF(AND(CG$5-$A71&gt;=0,CG$5-$A71&lt;=19),INDEX(HU_ord,CG$5-$A71+1)*$B71,0)</f>
        <v>0.0</v>
      </c>
      <c r="CH71" s="14">
        <f>IF(AND(CH$5-$A71&gt;=0,CH$5-$A71&lt;=19),INDEX(HU_ord,CH$5-$A71+1)*$B71,0)</f>
        <v>0.0</v>
      </c>
      <c r="CI71" s="14">
        <f>IF(AND(CI$5-$A71&gt;=0,CI$5-$A71&lt;=19),INDEX(HU_ord,CI$5-$A71+1)*$B71,0)</f>
        <v>0.0</v>
      </c>
      <c r="CJ71" s="14">
        <f>IF(AND(CJ$5-$A71&gt;=0,CJ$5-$A71&lt;=19),INDEX(HU_ord,CJ$5-$A71+1)*$B71,0)</f>
        <v>0.0</v>
      </c>
      <c r="CK71" s="14">
        <f>IF(AND(CK$5-$A71&gt;=0,CK$5-$A71&lt;=19),INDEX(HU_ord,CK$5-$A71+1)*$B71,0)</f>
        <v>0.0</v>
      </c>
      <c r="CL71" s="14">
        <f>IF(AND(CL$5-$A71&gt;=0,CL$5-$A71&lt;=19),INDEX(HU_ord,CL$5-$A71+1)*$B71,0)</f>
        <v>0.0</v>
      </c>
      <c r="CM71" s="14">
        <f>IF(AND(CM$5-$A71&gt;=0,CM$5-$A71&lt;=19),INDEX(HU_ord,CM$5-$A71+1)*$B71,0)</f>
        <v>0.0</v>
      </c>
      <c r="CN71" s="14">
        <f>IF(AND(CN$5-$A71&gt;=0,CN$5-$A71&lt;=19),INDEX(HU_ord,CN$5-$A71+1)*$B71,0)</f>
        <v>0.0</v>
      </c>
      <c r="CO71" s="14">
        <f>IF(AND(CO$5-$A71&gt;=0,CO$5-$A71&lt;=19),INDEX(HU_ord,CO$5-$A71+1)*$B71,0)</f>
        <v>0.0</v>
      </c>
      <c r="CP71" s="14">
        <f>IF(AND(CP$5-$A71&gt;=0,CP$5-$A71&lt;=19),INDEX(HU_ord,CP$5-$A71+1)*$B71,0)</f>
        <v>0.0</v>
      </c>
      <c r="CQ71" s="14">
        <f>IF(AND(CQ$5-$A71&gt;=0,CQ$5-$A71&lt;=19),INDEX(HU_ord,CQ$5-$A71+1)*$B71,0)</f>
        <v>0.0</v>
      </c>
      <c r="CR71" s="14">
        <f>IF(AND(CR$5-$A71&gt;=0,CR$5-$A71&lt;=19),INDEX(HU_ord,CR$5-$A71+1)*$B71,0)</f>
        <v>0.0</v>
      </c>
      <c r="CS71" s="14">
        <f>IF(AND(CS$5-$A71&gt;=0,CS$5-$A71&lt;=19),INDEX(HU_ord,CS$5-$A71+1)*$B71,0)</f>
        <v>0.0</v>
      </c>
      <c r="CT71" s="14">
        <f>IF(AND(CT$5-$A71&gt;=0,CT$5-$A71&lt;=19),INDEX(HU_ord,CT$5-$A71+1)*$B71,0)</f>
        <v>0.0</v>
      </c>
      <c r="CU71" s="14">
        <f>IF(AND(CU$5-$A71&gt;=0,CU$5-$A71&lt;=19),INDEX(HU_ord,CU$5-$A71+1)*$B71,0)</f>
        <v>0.0</v>
      </c>
      <c r="CV71" s="14">
        <f>IF(AND(CV$5-$A71&gt;=0,CV$5-$A71&lt;=19),INDEX(HU_ord,CV$5-$A71+1)*$B71,0)</f>
        <v>0.0</v>
      </c>
      <c r="CW71" s="14">
        <f>IF(AND(CW$5-$A71&gt;=0,CW$5-$A71&lt;=19),INDEX(HU_ord,CW$5-$A71+1)*$B71,0)</f>
        <v>0.0</v>
      </c>
      <c r="CX71" s="14">
        <f>IF(AND(CX$5-$A71&gt;=0,CX$5-$A71&lt;=19),INDEX(HU_ord,CX$5-$A71+1)*$B71,0)</f>
        <v>0.0</v>
      </c>
      <c r="CY71" s="14">
        <f>IF(AND(CY$5-$A71&gt;=0,CY$5-$A71&lt;=19),INDEX(HU_ord,CY$5-$A71+1)*$B71,0)</f>
        <v>0.0</v>
      </c>
      <c r="CZ71" s="14">
        <f>IF(AND(CZ$5-$A71&gt;=0,CZ$5-$A71&lt;=19),INDEX(HU_ord,CZ$5-$A71+1)*$B71,0)</f>
        <v>0.0</v>
      </c>
      <c r="DA71" s="14">
        <f>IF(AND(DA$5-$A71&gt;=0,DA$5-$A71&lt;=19),INDEX(HU_ord,DA$5-$A71+1)*$B71,0)</f>
        <v>0.0</v>
      </c>
      <c r="DB71" s="14">
        <f>IF(AND(DB$5-$A71&gt;=0,DB$5-$A71&lt;=19),INDEX(HU_ord,DB$5-$A71+1)*$B71,0)</f>
        <v>0.0</v>
      </c>
      <c r="DC71" s="14">
        <f>IF(AND(DC$5-$A71&gt;=0,DC$5-$A71&lt;=19),INDEX(HU_ord,DC$5-$A71+1)*$B71,0)</f>
        <v>0.0</v>
      </c>
      <c r="DD71" s="14">
        <f>IF(AND(DD$5-$A71&gt;=0,DD$5-$A71&lt;=19),INDEX(HU_ord,DD$5-$A71+1)*$B71,0)</f>
        <v>0.0</v>
      </c>
      <c r="DE71" s="14">
        <f>IF(AND(DE$5-$A71&gt;=0,DE$5-$A71&lt;=19),INDEX(HU_ord,DE$5-$A71+1)*$B71,0)</f>
        <v>0.0</v>
      </c>
      <c r="DF71" s="14">
        <f>IF(AND(DF$5-$A71&gt;=0,DF$5-$A71&lt;=19),INDEX(HU_ord,DF$5-$A71+1)*$B71,0)</f>
        <v>0.0</v>
      </c>
      <c r="DG71" s="14">
        <f>IF(AND(DG$5-$A71&gt;=0,DG$5-$A71&lt;=19),INDEX(HU_ord,DG$5-$A71+1)*$B71,0)</f>
        <v>0.0</v>
      </c>
      <c r="DH71" s="14">
        <f>IF(AND(DH$5-$A71&gt;=0,DH$5-$A71&lt;=19),INDEX(HU_ord,DH$5-$A71+1)*$B71,0)</f>
        <v>0.0</v>
      </c>
      <c r="DI71" s="14">
        <f>IF(AND(DI$5-$A71&gt;=0,DI$5-$A71&lt;=19),INDEX(HU_ord,DI$5-$A71+1)*$B71,0)</f>
        <v>0.0</v>
      </c>
    </row>
    <row r="72" spans="1:113">
      <c r="A72">
        <v>66</v>
      </c>
      <c r="B72" s="10">
        <f>Serie_horaria!N68</f>
        <v>0.0</v>
      </c>
      <c r="C72" s="14">
        <f>IF(AND(C$5-$A72&gt;=0,C$5-$A72&lt;=19),INDEX(HU_ord,C$5-$A72+1)*$B72,0)</f>
        <v>0.0</v>
      </c>
      <c r="D72" s="14">
        <f>IF(AND(D$5-$A72&gt;=0,D$5-$A72&lt;=19),INDEX(HU_ord,D$5-$A72+1)*$B72,0)</f>
        <v>0.0</v>
      </c>
      <c r="E72" s="14">
        <f>IF(AND(E$5-$A72&gt;=0,E$5-$A72&lt;=19),INDEX(HU_ord,E$5-$A72+1)*$B72,0)</f>
        <v>0.0</v>
      </c>
      <c r="F72" s="14">
        <f>IF(AND(F$5-$A72&gt;=0,F$5-$A72&lt;=19),INDEX(HU_ord,F$5-$A72+1)*$B72,0)</f>
        <v>0.0</v>
      </c>
      <c r="G72" s="14">
        <f>IF(AND(G$5-$A72&gt;=0,G$5-$A72&lt;=19),INDEX(HU_ord,G$5-$A72+1)*$B72,0)</f>
        <v>0.0</v>
      </c>
      <c r="H72" s="14">
        <f>IF(AND(H$5-$A72&gt;=0,H$5-$A72&lt;=19),INDEX(HU_ord,H$5-$A72+1)*$B72,0)</f>
        <v>0.0</v>
      </c>
      <c r="I72" s="14">
        <f>IF(AND(I$5-$A72&gt;=0,I$5-$A72&lt;=19),INDEX(HU_ord,I$5-$A72+1)*$B72,0)</f>
        <v>0.0</v>
      </c>
      <c r="J72" s="14">
        <f>IF(AND(J$5-$A72&gt;=0,J$5-$A72&lt;=19),INDEX(HU_ord,J$5-$A72+1)*$B72,0)</f>
        <v>0.0</v>
      </c>
      <c r="K72" s="14">
        <f>IF(AND(K$5-$A72&gt;=0,K$5-$A72&lt;=19),INDEX(HU_ord,K$5-$A72+1)*$B72,0)</f>
        <v>0.0</v>
      </c>
      <c r="L72" s="14">
        <f>IF(AND(L$5-$A72&gt;=0,L$5-$A72&lt;=19),INDEX(HU_ord,L$5-$A72+1)*$B72,0)</f>
        <v>0.0</v>
      </c>
      <c r="M72" s="14">
        <f>IF(AND(M$5-$A72&gt;=0,M$5-$A72&lt;=19),INDEX(HU_ord,M$5-$A72+1)*$B72,0)</f>
        <v>0.0</v>
      </c>
      <c r="N72" s="14">
        <f>IF(AND(N$5-$A72&gt;=0,N$5-$A72&lt;=19),INDEX(HU_ord,N$5-$A72+1)*$B72,0)</f>
        <v>0.0</v>
      </c>
      <c r="O72" s="14">
        <f>IF(AND(O$5-$A72&gt;=0,O$5-$A72&lt;=19),INDEX(HU_ord,O$5-$A72+1)*$B72,0)</f>
        <v>0.0</v>
      </c>
      <c r="P72" s="14">
        <f>IF(AND(P$5-$A72&gt;=0,P$5-$A72&lt;=19),INDEX(HU_ord,P$5-$A72+1)*$B72,0)</f>
        <v>0.0</v>
      </c>
      <c r="Q72" s="14">
        <f>IF(AND(Q$5-$A72&gt;=0,Q$5-$A72&lt;=19),INDEX(HU_ord,Q$5-$A72+1)*$B72,0)</f>
        <v>0.0</v>
      </c>
      <c r="R72" s="14">
        <f>IF(AND(R$5-$A72&gt;=0,R$5-$A72&lt;=19),INDEX(HU_ord,R$5-$A72+1)*$B72,0)</f>
        <v>0.0</v>
      </c>
      <c r="S72" s="14">
        <f>IF(AND(S$5-$A72&gt;=0,S$5-$A72&lt;=19),INDEX(HU_ord,S$5-$A72+1)*$B72,0)</f>
        <v>0.0</v>
      </c>
      <c r="T72" s="14">
        <f>IF(AND(T$5-$A72&gt;=0,T$5-$A72&lt;=19),INDEX(HU_ord,T$5-$A72+1)*$B72,0)</f>
        <v>0.0</v>
      </c>
      <c r="U72" s="14">
        <f>IF(AND(U$5-$A72&gt;=0,U$5-$A72&lt;=19),INDEX(HU_ord,U$5-$A72+1)*$B72,0)</f>
        <v>0.0</v>
      </c>
      <c r="V72" s="14">
        <f>IF(AND(V$5-$A72&gt;=0,V$5-$A72&lt;=19),INDEX(HU_ord,V$5-$A72+1)*$B72,0)</f>
        <v>0.0</v>
      </c>
      <c r="W72" s="14">
        <f>IF(AND(W$5-$A72&gt;=0,W$5-$A72&lt;=19),INDEX(HU_ord,W$5-$A72+1)*$B72,0)</f>
        <v>0.0</v>
      </c>
      <c r="X72" s="14">
        <f>IF(AND(X$5-$A72&gt;=0,X$5-$A72&lt;=19),INDEX(HU_ord,X$5-$A72+1)*$B72,0)</f>
        <v>0.0</v>
      </c>
      <c r="Y72" s="14">
        <f>IF(AND(Y$5-$A72&gt;=0,Y$5-$A72&lt;=19),INDEX(HU_ord,Y$5-$A72+1)*$B72,0)</f>
        <v>0.0</v>
      </c>
      <c r="Z72" s="14">
        <f>IF(AND(Z$5-$A72&gt;=0,Z$5-$A72&lt;=19),INDEX(HU_ord,Z$5-$A72+1)*$B72,0)</f>
        <v>0.0</v>
      </c>
      <c r="AA72" s="14">
        <f>IF(AND(AA$5-$A72&gt;=0,AA$5-$A72&lt;=19),INDEX(HU_ord,AA$5-$A72+1)*$B72,0)</f>
        <v>0.0</v>
      </c>
      <c r="AB72" s="14">
        <f>IF(AND(AB$5-$A72&gt;=0,AB$5-$A72&lt;=19),INDEX(HU_ord,AB$5-$A72+1)*$B72,0)</f>
        <v>0.0</v>
      </c>
      <c r="AC72" s="14">
        <f>IF(AND(AC$5-$A72&gt;=0,AC$5-$A72&lt;=19),INDEX(HU_ord,AC$5-$A72+1)*$B72,0)</f>
        <v>0.0</v>
      </c>
      <c r="AD72" s="14">
        <f>IF(AND(AD$5-$A72&gt;=0,AD$5-$A72&lt;=19),INDEX(HU_ord,AD$5-$A72+1)*$B72,0)</f>
        <v>0.0</v>
      </c>
      <c r="AE72" s="14">
        <f>IF(AND(AE$5-$A72&gt;=0,AE$5-$A72&lt;=19),INDEX(HU_ord,AE$5-$A72+1)*$B72,0)</f>
        <v>0.0</v>
      </c>
      <c r="AF72" s="14">
        <f>IF(AND(AF$5-$A72&gt;=0,AF$5-$A72&lt;=19),INDEX(HU_ord,AF$5-$A72+1)*$B72,0)</f>
        <v>0.0</v>
      </c>
      <c r="AG72" s="14">
        <f>IF(AND(AG$5-$A72&gt;=0,AG$5-$A72&lt;=19),INDEX(HU_ord,AG$5-$A72+1)*$B72,0)</f>
        <v>0.0</v>
      </c>
      <c r="AH72" s="14">
        <f>IF(AND(AH$5-$A72&gt;=0,AH$5-$A72&lt;=19),INDEX(HU_ord,AH$5-$A72+1)*$B72,0)</f>
        <v>0.0</v>
      </c>
      <c r="AI72" s="14">
        <f>IF(AND(AI$5-$A72&gt;=0,AI$5-$A72&lt;=19),INDEX(HU_ord,AI$5-$A72+1)*$B72,0)</f>
        <v>0.0</v>
      </c>
      <c r="AJ72" s="14">
        <f>IF(AND(AJ$5-$A72&gt;=0,AJ$5-$A72&lt;=19),INDEX(HU_ord,AJ$5-$A72+1)*$B72,0)</f>
        <v>0.0</v>
      </c>
      <c r="AK72" s="14">
        <f>IF(AND(AK$5-$A72&gt;=0,AK$5-$A72&lt;=19),INDEX(HU_ord,AK$5-$A72+1)*$B72,0)</f>
        <v>0.0</v>
      </c>
      <c r="AL72" s="14">
        <f>IF(AND(AL$5-$A72&gt;=0,AL$5-$A72&lt;=19),INDEX(HU_ord,AL$5-$A72+1)*$B72,0)</f>
        <v>0.0</v>
      </c>
      <c r="AM72" s="14">
        <f>IF(AND(AM$5-$A72&gt;=0,AM$5-$A72&lt;=19),INDEX(HU_ord,AM$5-$A72+1)*$B72,0)</f>
        <v>0.0</v>
      </c>
      <c r="AN72" s="14">
        <f>IF(AND(AN$5-$A72&gt;=0,AN$5-$A72&lt;=19),INDEX(HU_ord,AN$5-$A72+1)*$B72,0)</f>
        <v>0.0</v>
      </c>
      <c r="AO72" s="14">
        <f>IF(AND(AO$5-$A72&gt;=0,AO$5-$A72&lt;=19),INDEX(HU_ord,AO$5-$A72+1)*$B72,0)</f>
        <v>0.0</v>
      </c>
      <c r="AP72" s="14">
        <f>IF(AND(AP$5-$A72&gt;=0,AP$5-$A72&lt;=19),INDEX(HU_ord,AP$5-$A72+1)*$B72,0)</f>
        <v>0.0</v>
      </c>
      <c r="AQ72" s="14">
        <f>IF(AND(AQ$5-$A72&gt;=0,AQ$5-$A72&lt;=19),INDEX(HU_ord,AQ$5-$A72+1)*$B72,0)</f>
        <v>0.0</v>
      </c>
      <c r="AR72" s="14">
        <f>IF(AND(AR$5-$A72&gt;=0,AR$5-$A72&lt;=19),INDEX(HU_ord,AR$5-$A72+1)*$B72,0)</f>
        <v>0.0</v>
      </c>
      <c r="AS72" s="14">
        <f>IF(AND(AS$5-$A72&gt;=0,AS$5-$A72&lt;=19),INDEX(HU_ord,AS$5-$A72+1)*$B72,0)</f>
        <v>0.0</v>
      </c>
      <c r="AT72" s="14">
        <f>IF(AND(AT$5-$A72&gt;=0,AT$5-$A72&lt;=19),INDEX(HU_ord,AT$5-$A72+1)*$B72,0)</f>
        <v>0.0</v>
      </c>
      <c r="AU72" s="14">
        <f>IF(AND(AU$5-$A72&gt;=0,AU$5-$A72&lt;=19),INDEX(HU_ord,AU$5-$A72+1)*$B72,0)</f>
        <v>0.0</v>
      </c>
      <c r="AV72" s="14">
        <f>IF(AND(AV$5-$A72&gt;=0,AV$5-$A72&lt;=19),INDEX(HU_ord,AV$5-$A72+1)*$B72,0)</f>
        <v>0.0</v>
      </c>
      <c r="AW72" s="14">
        <f>IF(AND(AW$5-$A72&gt;=0,AW$5-$A72&lt;=19),INDEX(HU_ord,AW$5-$A72+1)*$B72,0)</f>
        <v>0.0</v>
      </c>
      <c r="AX72" s="14">
        <f>IF(AND(AX$5-$A72&gt;=0,AX$5-$A72&lt;=19),INDEX(HU_ord,AX$5-$A72+1)*$B72,0)</f>
        <v>0.0</v>
      </c>
      <c r="AY72" s="14">
        <f>IF(AND(AY$5-$A72&gt;=0,AY$5-$A72&lt;=19),INDEX(HU_ord,AY$5-$A72+1)*$B72,0)</f>
        <v>0.0</v>
      </c>
      <c r="AZ72" s="14">
        <f>IF(AND(AZ$5-$A72&gt;=0,AZ$5-$A72&lt;=19),INDEX(HU_ord,AZ$5-$A72+1)*$B72,0)</f>
        <v>0.0</v>
      </c>
      <c r="BA72" s="14">
        <f>IF(AND(BA$5-$A72&gt;=0,BA$5-$A72&lt;=19),INDEX(HU_ord,BA$5-$A72+1)*$B72,0)</f>
        <v>0.0</v>
      </c>
      <c r="BB72" s="14">
        <f>IF(AND(BB$5-$A72&gt;=0,BB$5-$A72&lt;=19),INDEX(HU_ord,BB$5-$A72+1)*$B72,0)</f>
        <v>0.0</v>
      </c>
      <c r="BC72" s="14">
        <f>IF(AND(BC$5-$A72&gt;=0,BC$5-$A72&lt;=19),INDEX(HU_ord,BC$5-$A72+1)*$B72,0)</f>
        <v>0.0</v>
      </c>
      <c r="BD72" s="14">
        <f>IF(AND(BD$5-$A72&gt;=0,BD$5-$A72&lt;=19),INDEX(HU_ord,BD$5-$A72+1)*$B72,0)</f>
        <v>0.0</v>
      </c>
      <c r="BE72" s="14">
        <f>IF(AND(BE$5-$A72&gt;=0,BE$5-$A72&lt;=19),INDEX(HU_ord,BE$5-$A72+1)*$B72,0)</f>
        <v>0.0</v>
      </c>
      <c r="BF72" s="14">
        <f>IF(AND(BF$5-$A72&gt;=0,BF$5-$A72&lt;=19),INDEX(HU_ord,BF$5-$A72+1)*$B72,0)</f>
        <v>0.0</v>
      </c>
      <c r="BG72" s="14">
        <f>IF(AND(BG$5-$A72&gt;=0,BG$5-$A72&lt;=19),INDEX(HU_ord,BG$5-$A72+1)*$B72,0)</f>
        <v>0.0</v>
      </c>
      <c r="BH72" s="14">
        <f>IF(AND(BH$5-$A72&gt;=0,BH$5-$A72&lt;=19),INDEX(HU_ord,BH$5-$A72+1)*$B72,0)</f>
        <v>0.0</v>
      </c>
      <c r="BI72" s="14">
        <f>IF(AND(BI$5-$A72&gt;=0,BI$5-$A72&lt;=19),INDEX(HU_ord,BI$5-$A72+1)*$B72,0)</f>
        <v>0.0</v>
      </c>
      <c r="BJ72" s="14">
        <f>IF(AND(BJ$5-$A72&gt;=0,BJ$5-$A72&lt;=19),INDEX(HU_ord,BJ$5-$A72+1)*$B72,0)</f>
        <v>0.0</v>
      </c>
      <c r="BK72" s="14">
        <f>IF(AND(BK$5-$A72&gt;=0,BK$5-$A72&lt;=19),INDEX(HU_ord,BK$5-$A72+1)*$B72,0)</f>
        <v>0.0</v>
      </c>
      <c r="BL72" s="14">
        <f>IF(AND(BL$5-$A72&gt;=0,BL$5-$A72&lt;=19),INDEX(HU_ord,BL$5-$A72+1)*$B72,0)</f>
        <v>0.0</v>
      </c>
      <c r="BM72" s="14">
        <f>IF(AND(BM$5-$A72&gt;=0,BM$5-$A72&lt;=19),INDEX(HU_ord,BM$5-$A72+1)*$B72,0)</f>
        <v>0.0</v>
      </c>
      <c r="BN72" s="14">
        <f>IF(AND(BN$5-$A72&gt;=0,BN$5-$A72&lt;=19),INDEX(HU_ord,BN$5-$A72+1)*$B72,0)</f>
        <v>0.0</v>
      </c>
      <c r="BO72" s="14">
        <f>IF(AND(BO$5-$A72&gt;=0,BO$5-$A72&lt;=19),INDEX(HU_ord,BO$5-$A72+1)*$B72,0)</f>
        <v>0.0</v>
      </c>
      <c r="BP72" s="14">
        <f>IF(AND(BP$5-$A72&gt;=0,BP$5-$A72&lt;=19),INDEX(HU_ord,BP$5-$A72+1)*$B72,0)</f>
        <v>0.0</v>
      </c>
      <c r="BQ72" s="14">
        <f>IF(AND(BQ$5-$A72&gt;=0,BQ$5-$A72&lt;=19),INDEX(HU_ord,BQ$5-$A72+1)*$B72,0)</f>
        <v>0.0</v>
      </c>
      <c r="BR72" s="14">
        <f>IF(AND(BR$5-$A72&gt;=0,BR$5-$A72&lt;=19),INDEX(HU_ord,BR$5-$A72+1)*$B72,0)</f>
        <v>0.0</v>
      </c>
      <c r="BS72" s="14">
        <f>IF(AND(BS$5-$A72&gt;=0,BS$5-$A72&lt;=19),INDEX(HU_ord,BS$5-$A72+1)*$B72,0)</f>
        <v>0.0</v>
      </c>
      <c r="BT72" s="14">
        <f>IF(AND(BT$5-$A72&gt;=0,BT$5-$A72&lt;=19),INDEX(HU_ord,BT$5-$A72+1)*$B72,0)</f>
        <v>0.0</v>
      </c>
      <c r="BU72" s="14">
        <f>IF(AND(BU$5-$A72&gt;=0,BU$5-$A72&lt;=19),INDEX(HU_ord,BU$5-$A72+1)*$B72,0)</f>
        <v>0.0</v>
      </c>
      <c r="BV72" s="14">
        <f>IF(AND(BV$5-$A72&gt;=0,BV$5-$A72&lt;=19),INDEX(HU_ord,BV$5-$A72+1)*$B72,0)</f>
        <v>0.0</v>
      </c>
      <c r="BW72" s="14">
        <f>IF(AND(BW$5-$A72&gt;=0,BW$5-$A72&lt;=19),INDEX(HU_ord,BW$5-$A72+1)*$B72,0)</f>
        <v>0.0</v>
      </c>
      <c r="BX72" s="14">
        <f>IF(AND(BX$5-$A72&gt;=0,BX$5-$A72&lt;=19),INDEX(HU_ord,BX$5-$A72+1)*$B72,0)</f>
        <v>0.0</v>
      </c>
      <c r="BY72" s="14">
        <f>IF(AND(BY$5-$A72&gt;=0,BY$5-$A72&lt;=19),INDEX(HU_ord,BY$5-$A72+1)*$B72,0)</f>
        <v>0.0</v>
      </c>
      <c r="BZ72" s="14">
        <f>IF(AND(BZ$5-$A72&gt;=0,BZ$5-$A72&lt;=19),INDEX(HU_ord,BZ$5-$A72+1)*$B72,0)</f>
        <v>0.0</v>
      </c>
      <c r="CA72" s="14">
        <f>IF(AND(CA$5-$A72&gt;=0,CA$5-$A72&lt;=19),INDEX(HU_ord,CA$5-$A72+1)*$B72,0)</f>
        <v>0.0</v>
      </c>
      <c r="CB72" s="14">
        <f>IF(AND(CB$5-$A72&gt;=0,CB$5-$A72&lt;=19),INDEX(HU_ord,CB$5-$A72+1)*$B72,0)</f>
        <v>0.0</v>
      </c>
      <c r="CC72" s="14">
        <f>IF(AND(CC$5-$A72&gt;=0,CC$5-$A72&lt;=19),INDEX(HU_ord,CC$5-$A72+1)*$B72,0)</f>
        <v>0.0</v>
      </c>
      <c r="CD72" s="14">
        <f>IF(AND(CD$5-$A72&gt;=0,CD$5-$A72&lt;=19),INDEX(HU_ord,CD$5-$A72+1)*$B72,0)</f>
        <v>0.0</v>
      </c>
      <c r="CE72" s="14">
        <f>IF(AND(CE$5-$A72&gt;=0,CE$5-$A72&lt;=19),INDEX(HU_ord,CE$5-$A72+1)*$B72,0)</f>
        <v>0.0</v>
      </c>
      <c r="CF72" s="14">
        <f>IF(AND(CF$5-$A72&gt;=0,CF$5-$A72&lt;=19),INDEX(HU_ord,CF$5-$A72+1)*$B72,0)</f>
        <v>0.0</v>
      </c>
      <c r="CG72" s="14">
        <f>IF(AND(CG$5-$A72&gt;=0,CG$5-$A72&lt;=19),INDEX(HU_ord,CG$5-$A72+1)*$B72,0)</f>
        <v>0.0</v>
      </c>
      <c r="CH72" s="14">
        <f>IF(AND(CH$5-$A72&gt;=0,CH$5-$A72&lt;=19),INDEX(HU_ord,CH$5-$A72+1)*$B72,0)</f>
        <v>0.0</v>
      </c>
      <c r="CI72" s="14">
        <f>IF(AND(CI$5-$A72&gt;=0,CI$5-$A72&lt;=19),INDEX(HU_ord,CI$5-$A72+1)*$B72,0)</f>
        <v>0.0</v>
      </c>
      <c r="CJ72" s="14">
        <f>IF(AND(CJ$5-$A72&gt;=0,CJ$5-$A72&lt;=19),INDEX(HU_ord,CJ$5-$A72+1)*$B72,0)</f>
        <v>0.0</v>
      </c>
      <c r="CK72" s="14">
        <f>IF(AND(CK$5-$A72&gt;=0,CK$5-$A72&lt;=19),INDEX(HU_ord,CK$5-$A72+1)*$B72,0)</f>
        <v>0.0</v>
      </c>
      <c r="CL72" s="14">
        <f>IF(AND(CL$5-$A72&gt;=0,CL$5-$A72&lt;=19),INDEX(HU_ord,CL$5-$A72+1)*$B72,0)</f>
        <v>0.0</v>
      </c>
      <c r="CM72" s="14">
        <f>IF(AND(CM$5-$A72&gt;=0,CM$5-$A72&lt;=19),INDEX(HU_ord,CM$5-$A72+1)*$B72,0)</f>
        <v>0.0</v>
      </c>
      <c r="CN72" s="14">
        <f>IF(AND(CN$5-$A72&gt;=0,CN$5-$A72&lt;=19),INDEX(HU_ord,CN$5-$A72+1)*$B72,0)</f>
        <v>0.0</v>
      </c>
      <c r="CO72" s="14">
        <f>IF(AND(CO$5-$A72&gt;=0,CO$5-$A72&lt;=19),INDEX(HU_ord,CO$5-$A72+1)*$B72,0)</f>
        <v>0.0</v>
      </c>
      <c r="CP72" s="14">
        <f>IF(AND(CP$5-$A72&gt;=0,CP$5-$A72&lt;=19),INDEX(HU_ord,CP$5-$A72+1)*$B72,0)</f>
        <v>0.0</v>
      </c>
      <c r="CQ72" s="14">
        <f>IF(AND(CQ$5-$A72&gt;=0,CQ$5-$A72&lt;=19),INDEX(HU_ord,CQ$5-$A72+1)*$B72,0)</f>
        <v>0.0</v>
      </c>
      <c r="CR72" s="14">
        <f>IF(AND(CR$5-$A72&gt;=0,CR$5-$A72&lt;=19),INDEX(HU_ord,CR$5-$A72+1)*$B72,0)</f>
        <v>0.0</v>
      </c>
      <c r="CS72" s="14">
        <f>IF(AND(CS$5-$A72&gt;=0,CS$5-$A72&lt;=19),INDEX(HU_ord,CS$5-$A72+1)*$B72,0)</f>
        <v>0.0</v>
      </c>
      <c r="CT72" s="14">
        <f>IF(AND(CT$5-$A72&gt;=0,CT$5-$A72&lt;=19),INDEX(HU_ord,CT$5-$A72+1)*$B72,0)</f>
        <v>0.0</v>
      </c>
      <c r="CU72" s="14">
        <f>IF(AND(CU$5-$A72&gt;=0,CU$5-$A72&lt;=19),INDEX(HU_ord,CU$5-$A72+1)*$B72,0)</f>
        <v>0.0</v>
      </c>
      <c r="CV72" s="14">
        <f>IF(AND(CV$5-$A72&gt;=0,CV$5-$A72&lt;=19),INDEX(HU_ord,CV$5-$A72+1)*$B72,0)</f>
        <v>0.0</v>
      </c>
      <c r="CW72" s="14">
        <f>IF(AND(CW$5-$A72&gt;=0,CW$5-$A72&lt;=19),INDEX(HU_ord,CW$5-$A72+1)*$B72,0)</f>
        <v>0.0</v>
      </c>
      <c r="CX72" s="14">
        <f>IF(AND(CX$5-$A72&gt;=0,CX$5-$A72&lt;=19),INDEX(HU_ord,CX$5-$A72+1)*$B72,0)</f>
        <v>0.0</v>
      </c>
      <c r="CY72" s="14">
        <f>IF(AND(CY$5-$A72&gt;=0,CY$5-$A72&lt;=19),INDEX(HU_ord,CY$5-$A72+1)*$B72,0)</f>
        <v>0.0</v>
      </c>
      <c r="CZ72" s="14">
        <f>IF(AND(CZ$5-$A72&gt;=0,CZ$5-$A72&lt;=19),INDEX(HU_ord,CZ$5-$A72+1)*$B72,0)</f>
        <v>0.0</v>
      </c>
      <c r="DA72" s="14">
        <f>IF(AND(DA$5-$A72&gt;=0,DA$5-$A72&lt;=19),INDEX(HU_ord,DA$5-$A72+1)*$B72,0)</f>
        <v>0.0</v>
      </c>
      <c r="DB72" s="14">
        <f>IF(AND(DB$5-$A72&gt;=0,DB$5-$A72&lt;=19),INDEX(HU_ord,DB$5-$A72+1)*$B72,0)</f>
        <v>0.0</v>
      </c>
      <c r="DC72" s="14">
        <f>IF(AND(DC$5-$A72&gt;=0,DC$5-$A72&lt;=19),INDEX(HU_ord,DC$5-$A72+1)*$B72,0)</f>
        <v>0.0</v>
      </c>
      <c r="DD72" s="14">
        <f>IF(AND(DD$5-$A72&gt;=0,DD$5-$A72&lt;=19),INDEX(HU_ord,DD$5-$A72+1)*$B72,0)</f>
        <v>0.0</v>
      </c>
      <c r="DE72" s="14">
        <f>IF(AND(DE$5-$A72&gt;=0,DE$5-$A72&lt;=19),INDEX(HU_ord,DE$5-$A72+1)*$B72,0)</f>
        <v>0.0</v>
      </c>
      <c r="DF72" s="14">
        <f>IF(AND(DF$5-$A72&gt;=0,DF$5-$A72&lt;=19),INDEX(HU_ord,DF$5-$A72+1)*$B72,0)</f>
        <v>0.0</v>
      </c>
      <c r="DG72" s="14">
        <f>IF(AND(DG$5-$A72&gt;=0,DG$5-$A72&lt;=19),INDEX(HU_ord,DG$5-$A72+1)*$B72,0)</f>
        <v>0.0</v>
      </c>
      <c r="DH72" s="14">
        <f>IF(AND(DH$5-$A72&gt;=0,DH$5-$A72&lt;=19),INDEX(HU_ord,DH$5-$A72+1)*$B72,0)</f>
        <v>0.0</v>
      </c>
      <c r="DI72" s="14">
        <f>IF(AND(DI$5-$A72&gt;=0,DI$5-$A72&lt;=19),INDEX(HU_ord,DI$5-$A72+1)*$B72,0)</f>
        <v>0.0</v>
      </c>
    </row>
    <row r="73" spans="1:113">
      <c r="A73">
        <v>67</v>
      </c>
      <c r="B73" s="10">
        <f>Serie_horaria!N69</f>
        <v>0.0</v>
      </c>
      <c r="C73" s="14">
        <f>IF(AND(C$5-$A73&gt;=0,C$5-$A73&lt;=19),INDEX(HU_ord,C$5-$A73+1)*$B73,0)</f>
        <v>0.0</v>
      </c>
      <c r="D73" s="14">
        <f>IF(AND(D$5-$A73&gt;=0,D$5-$A73&lt;=19),INDEX(HU_ord,D$5-$A73+1)*$B73,0)</f>
        <v>0.0</v>
      </c>
      <c r="E73" s="14">
        <f>IF(AND(E$5-$A73&gt;=0,E$5-$A73&lt;=19),INDEX(HU_ord,E$5-$A73+1)*$B73,0)</f>
        <v>0.0</v>
      </c>
      <c r="F73" s="14">
        <f>IF(AND(F$5-$A73&gt;=0,F$5-$A73&lt;=19),INDEX(HU_ord,F$5-$A73+1)*$B73,0)</f>
        <v>0.0</v>
      </c>
      <c r="G73" s="14">
        <f>IF(AND(G$5-$A73&gt;=0,G$5-$A73&lt;=19),INDEX(HU_ord,G$5-$A73+1)*$B73,0)</f>
        <v>0.0</v>
      </c>
      <c r="H73" s="14">
        <f>IF(AND(H$5-$A73&gt;=0,H$5-$A73&lt;=19),INDEX(HU_ord,H$5-$A73+1)*$B73,0)</f>
        <v>0.0</v>
      </c>
      <c r="I73" s="14">
        <f>IF(AND(I$5-$A73&gt;=0,I$5-$A73&lt;=19),INDEX(HU_ord,I$5-$A73+1)*$B73,0)</f>
        <v>0.0</v>
      </c>
      <c r="J73" s="14">
        <f>IF(AND(J$5-$A73&gt;=0,J$5-$A73&lt;=19),INDEX(HU_ord,J$5-$A73+1)*$B73,0)</f>
        <v>0.0</v>
      </c>
      <c r="K73" s="14">
        <f>IF(AND(K$5-$A73&gt;=0,K$5-$A73&lt;=19),INDEX(HU_ord,K$5-$A73+1)*$B73,0)</f>
        <v>0.0</v>
      </c>
      <c r="L73" s="14">
        <f>IF(AND(L$5-$A73&gt;=0,L$5-$A73&lt;=19),INDEX(HU_ord,L$5-$A73+1)*$B73,0)</f>
        <v>0.0</v>
      </c>
      <c r="M73" s="14">
        <f>IF(AND(M$5-$A73&gt;=0,M$5-$A73&lt;=19),INDEX(HU_ord,M$5-$A73+1)*$B73,0)</f>
        <v>0.0</v>
      </c>
      <c r="N73" s="14">
        <f>IF(AND(N$5-$A73&gt;=0,N$5-$A73&lt;=19),INDEX(HU_ord,N$5-$A73+1)*$B73,0)</f>
        <v>0.0</v>
      </c>
      <c r="O73" s="14">
        <f>IF(AND(O$5-$A73&gt;=0,O$5-$A73&lt;=19),INDEX(HU_ord,O$5-$A73+1)*$B73,0)</f>
        <v>0.0</v>
      </c>
      <c r="P73" s="14">
        <f>IF(AND(P$5-$A73&gt;=0,P$5-$A73&lt;=19),INDEX(HU_ord,P$5-$A73+1)*$B73,0)</f>
        <v>0.0</v>
      </c>
      <c r="Q73" s="14">
        <f>IF(AND(Q$5-$A73&gt;=0,Q$5-$A73&lt;=19),INDEX(HU_ord,Q$5-$A73+1)*$B73,0)</f>
        <v>0.0</v>
      </c>
      <c r="R73" s="14">
        <f>IF(AND(R$5-$A73&gt;=0,R$5-$A73&lt;=19),INDEX(HU_ord,R$5-$A73+1)*$B73,0)</f>
        <v>0.0</v>
      </c>
      <c r="S73" s="14">
        <f>IF(AND(S$5-$A73&gt;=0,S$5-$A73&lt;=19),INDEX(HU_ord,S$5-$A73+1)*$B73,0)</f>
        <v>0.0</v>
      </c>
      <c r="T73" s="14">
        <f>IF(AND(T$5-$A73&gt;=0,T$5-$A73&lt;=19),INDEX(HU_ord,T$5-$A73+1)*$B73,0)</f>
        <v>0.0</v>
      </c>
      <c r="U73" s="14">
        <f>IF(AND(U$5-$A73&gt;=0,U$5-$A73&lt;=19),INDEX(HU_ord,U$5-$A73+1)*$B73,0)</f>
        <v>0.0</v>
      </c>
      <c r="V73" s="14">
        <f>IF(AND(V$5-$A73&gt;=0,V$5-$A73&lt;=19),INDEX(HU_ord,V$5-$A73+1)*$B73,0)</f>
        <v>0.0</v>
      </c>
      <c r="W73" s="14">
        <f>IF(AND(W$5-$A73&gt;=0,W$5-$A73&lt;=19),INDEX(HU_ord,W$5-$A73+1)*$B73,0)</f>
        <v>0.0</v>
      </c>
      <c r="X73" s="14">
        <f>IF(AND(X$5-$A73&gt;=0,X$5-$A73&lt;=19),INDEX(HU_ord,X$5-$A73+1)*$B73,0)</f>
        <v>0.0</v>
      </c>
      <c r="Y73" s="14">
        <f>IF(AND(Y$5-$A73&gt;=0,Y$5-$A73&lt;=19),INDEX(HU_ord,Y$5-$A73+1)*$B73,0)</f>
        <v>0.0</v>
      </c>
      <c r="Z73" s="14">
        <f>IF(AND(Z$5-$A73&gt;=0,Z$5-$A73&lt;=19),INDEX(HU_ord,Z$5-$A73+1)*$B73,0)</f>
        <v>0.0</v>
      </c>
      <c r="AA73" s="14">
        <f>IF(AND(AA$5-$A73&gt;=0,AA$5-$A73&lt;=19),INDEX(HU_ord,AA$5-$A73+1)*$B73,0)</f>
        <v>0.0</v>
      </c>
      <c r="AB73" s="14">
        <f>IF(AND(AB$5-$A73&gt;=0,AB$5-$A73&lt;=19),INDEX(HU_ord,AB$5-$A73+1)*$B73,0)</f>
        <v>0.0</v>
      </c>
      <c r="AC73" s="14">
        <f>IF(AND(AC$5-$A73&gt;=0,AC$5-$A73&lt;=19),INDEX(HU_ord,AC$5-$A73+1)*$B73,0)</f>
        <v>0.0</v>
      </c>
      <c r="AD73" s="14">
        <f>IF(AND(AD$5-$A73&gt;=0,AD$5-$A73&lt;=19),INDEX(HU_ord,AD$5-$A73+1)*$B73,0)</f>
        <v>0.0</v>
      </c>
      <c r="AE73" s="14">
        <f>IF(AND(AE$5-$A73&gt;=0,AE$5-$A73&lt;=19),INDEX(HU_ord,AE$5-$A73+1)*$B73,0)</f>
        <v>0.0</v>
      </c>
      <c r="AF73" s="14">
        <f>IF(AND(AF$5-$A73&gt;=0,AF$5-$A73&lt;=19),INDEX(HU_ord,AF$5-$A73+1)*$B73,0)</f>
        <v>0.0</v>
      </c>
      <c r="AG73" s="14">
        <f>IF(AND(AG$5-$A73&gt;=0,AG$5-$A73&lt;=19),INDEX(HU_ord,AG$5-$A73+1)*$B73,0)</f>
        <v>0.0</v>
      </c>
      <c r="AH73" s="14">
        <f>IF(AND(AH$5-$A73&gt;=0,AH$5-$A73&lt;=19),INDEX(HU_ord,AH$5-$A73+1)*$B73,0)</f>
        <v>0.0</v>
      </c>
      <c r="AI73" s="14">
        <f>IF(AND(AI$5-$A73&gt;=0,AI$5-$A73&lt;=19),INDEX(HU_ord,AI$5-$A73+1)*$B73,0)</f>
        <v>0.0</v>
      </c>
      <c r="AJ73" s="14">
        <f>IF(AND(AJ$5-$A73&gt;=0,AJ$5-$A73&lt;=19),INDEX(HU_ord,AJ$5-$A73+1)*$B73,0)</f>
        <v>0.0</v>
      </c>
      <c r="AK73" s="14">
        <f>IF(AND(AK$5-$A73&gt;=0,AK$5-$A73&lt;=19),INDEX(HU_ord,AK$5-$A73+1)*$B73,0)</f>
        <v>0.0</v>
      </c>
      <c r="AL73" s="14">
        <f>IF(AND(AL$5-$A73&gt;=0,AL$5-$A73&lt;=19),INDEX(HU_ord,AL$5-$A73+1)*$B73,0)</f>
        <v>0.0</v>
      </c>
      <c r="AM73" s="14">
        <f>IF(AND(AM$5-$A73&gt;=0,AM$5-$A73&lt;=19),INDEX(HU_ord,AM$5-$A73+1)*$B73,0)</f>
        <v>0.0</v>
      </c>
      <c r="AN73" s="14">
        <f>IF(AND(AN$5-$A73&gt;=0,AN$5-$A73&lt;=19),INDEX(HU_ord,AN$5-$A73+1)*$B73,0)</f>
        <v>0.0</v>
      </c>
      <c r="AO73" s="14">
        <f>IF(AND(AO$5-$A73&gt;=0,AO$5-$A73&lt;=19),INDEX(HU_ord,AO$5-$A73+1)*$B73,0)</f>
        <v>0.0</v>
      </c>
      <c r="AP73" s="14">
        <f>IF(AND(AP$5-$A73&gt;=0,AP$5-$A73&lt;=19),INDEX(HU_ord,AP$5-$A73+1)*$B73,0)</f>
        <v>0.0</v>
      </c>
      <c r="AQ73" s="14">
        <f>IF(AND(AQ$5-$A73&gt;=0,AQ$5-$A73&lt;=19),INDEX(HU_ord,AQ$5-$A73+1)*$B73,0)</f>
        <v>0.0</v>
      </c>
      <c r="AR73" s="14">
        <f>IF(AND(AR$5-$A73&gt;=0,AR$5-$A73&lt;=19),INDEX(HU_ord,AR$5-$A73+1)*$B73,0)</f>
        <v>0.0</v>
      </c>
      <c r="AS73" s="14">
        <f>IF(AND(AS$5-$A73&gt;=0,AS$5-$A73&lt;=19),INDEX(HU_ord,AS$5-$A73+1)*$B73,0)</f>
        <v>0.0</v>
      </c>
      <c r="AT73" s="14">
        <f>IF(AND(AT$5-$A73&gt;=0,AT$5-$A73&lt;=19),INDEX(HU_ord,AT$5-$A73+1)*$B73,0)</f>
        <v>0.0</v>
      </c>
      <c r="AU73" s="14">
        <f>IF(AND(AU$5-$A73&gt;=0,AU$5-$A73&lt;=19),INDEX(HU_ord,AU$5-$A73+1)*$B73,0)</f>
        <v>0.0</v>
      </c>
      <c r="AV73" s="14">
        <f>IF(AND(AV$5-$A73&gt;=0,AV$5-$A73&lt;=19),INDEX(HU_ord,AV$5-$A73+1)*$B73,0)</f>
        <v>0.0</v>
      </c>
      <c r="AW73" s="14">
        <f>IF(AND(AW$5-$A73&gt;=0,AW$5-$A73&lt;=19),INDEX(HU_ord,AW$5-$A73+1)*$B73,0)</f>
        <v>0.0</v>
      </c>
      <c r="AX73" s="14">
        <f>IF(AND(AX$5-$A73&gt;=0,AX$5-$A73&lt;=19),INDEX(HU_ord,AX$5-$A73+1)*$B73,0)</f>
        <v>0.0</v>
      </c>
      <c r="AY73" s="14">
        <f>IF(AND(AY$5-$A73&gt;=0,AY$5-$A73&lt;=19),INDEX(HU_ord,AY$5-$A73+1)*$B73,0)</f>
        <v>0.0</v>
      </c>
      <c r="AZ73" s="14">
        <f>IF(AND(AZ$5-$A73&gt;=0,AZ$5-$A73&lt;=19),INDEX(HU_ord,AZ$5-$A73+1)*$B73,0)</f>
        <v>0.0</v>
      </c>
      <c r="BA73" s="14">
        <f>IF(AND(BA$5-$A73&gt;=0,BA$5-$A73&lt;=19),INDEX(HU_ord,BA$5-$A73+1)*$B73,0)</f>
        <v>0.0</v>
      </c>
      <c r="BB73" s="14">
        <f>IF(AND(BB$5-$A73&gt;=0,BB$5-$A73&lt;=19),INDEX(HU_ord,BB$5-$A73+1)*$B73,0)</f>
        <v>0.0</v>
      </c>
      <c r="BC73" s="14">
        <f>IF(AND(BC$5-$A73&gt;=0,BC$5-$A73&lt;=19),INDEX(HU_ord,BC$5-$A73+1)*$B73,0)</f>
        <v>0.0</v>
      </c>
      <c r="BD73" s="14">
        <f>IF(AND(BD$5-$A73&gt;=0,BD$5-$A73&lt;=19),INDEX(HU_ord,BD$5-$A73+1)*$B73,0)</f>
        <v>0.0</v>
      </c>
      <c r="BE73" s="14">
        <f>IF(AND(BE$5-$A73&gt;=0,BE$5-$A73&lt;=19),INDEX(HU_ord,BE$5-$A73+1)*$B73,0)</f>
        <v>0.0</v>
      </c>
      <c r="BF73" s="14">
        <f>IF(AND(BF$5-$A73&gt;=0,BF$5-$A73&lt;=19),INDEX(HU_ord,BF$5-$A73+1)*$B73,0)</f>
        <v>0.0</v>
      </c>
      <c r="BG73" s="14">
        <f>IF(AND(BG$5-$A73&gt;=0,BG$5-$A73&lt;=19),INDEX(HU_ord,BG$5-$A73+1)*$B73,0)</f>
        <v>0.0</v>
      </c>
      <c r="BH73" s="14">
        <f>IF(AND(BH$5-$A73&gt;=0,BH$5-$A73&lt;=19),INDEX(HU_ord,BH$5-$A73+1)*$B73,0)</f>
        <v>0.0</v>
      </c>
      <c r="BI73" s="14">
        <f>IF(AND(BI$5-$A73&gt;=0,BI$5-$A73&lt;=19),INDEX(HU_ord,BI$5-$A73+1)*$B73,0)</f>
        <v>0.0</v>
      </c>
      <c r="BJ73" s="14">
        <f>IF(AND(BJ$5-$A73&gt;=0,BJ$5-$A73&lt;=19),INDEX(HU_ord,BJ$5-$A73+1)*$B73,0)</f>
        <v>0.0</v>
      </c>
      <c r="BK73" s="14">
        <f>IF(AND(BK$5-$A73&gt;=0,BK$5-$A73&lt;=19),INDEX(HU_ord,BK$5-$A73+1)*$B73,0)</f>
        <v>0.0</v>
      </c>
      <c r="BL73" s="14">
        <f>IF(AND(BL$5-$A73&gt;=0,BL$5-$A73&lt;=19),INDEX(HU_ord,BL$5-$A73+1)*$B73,0)</f>
        <v>0.0</v>
      </c>
      <c r="BM73" s="14">
        <f>IF(AND(BM$5-$A73&gt;=0,BM$5-$A73&lt;=19),INDEX(HU_ord,BM$5-$A73+1)*$B73,0)</f>
        <v>0.0</v>
      </c>
      <c r="BN73" s="14">
        <f>IF(AND(BN$5-$A73&gt;=0,BN$5-$A73&lt;=19),INDEX(HU_ord,BN$5-$A73+1)*$B73,0)</f>
        <v>0.0</v>
      </c>
      <c r="BO73" s="14">
        <f>IF(AND(BO$5-$A73&gt;=0,BO$5-$A73&lt;=19),INDEX(HU_ord,BO$5-$A73+1)*$B73,0)</f>
        <v>0.0</v>
      </c>
      <c r="BP73" s="14">
        <f>IF(AND(BP$5-$A73&gt;=0,BP$5-$A73&lt;=19),INDEX(HU_ord,BP$5-$A73+1)*$B73,0)</f>
        <v>0.0</v>
      </c>
      <c r="BQ73" s="14">
        <f>IF(AND(BQ$5-$A73&gt;=0,BQ$5-$A73&lt;=19),INDEX(HU_ord,BQ$5-$A73+1)*$B73,0)</f>
        <v>0.0</v>
      </c>
      <c r="BR73" s="14">
        <f>IF(AND(BR$5-$A73&gt;=0,BR$5-$A73&lt;=19),INDEX(HU_ord,BR$5-$A73+1)*$B73,0)</f>
        <v>0.0</v>
      </c>
      <c r="BS73" s="14">
        <f>IF(AND(BS$5-$A73&gt;=0,BS$5-$A73&lt;=19),INDEX(HU_ord,BS$5-$A73+1)*$B73,0)</f>
        <v>0.0</v>
      </c>
      <c r="BT73" s="14">
        <f>IF(AND(BT$5-$A73&gt;=0,BT$5-$A73&lt;=19),INDEX(HU_ord,BT$5-$A73+1)*$B73,0)</f>
        <v>0.0</v>
      </c>
      <c r="BU73" s="14">
        <f>IF(AND(BU$5-$A73&gt;=0,BU$5-$A73&lt;=19),INDEX(HU_ord,BU$5-$A73+1)*$B73,0)</f>
        <v>0.0</v>
      </c>
      <c r="BV73" s="14">
        <f>IF(AND(BV$5-$A73&gt;=0,BV$5-$A73&lt;=19),INDEX(HU_ord,BV$5-$A73+1)*$B73,0)</f>
        <v>0.0</v>
      </c>
      <c r="BW73" s="14">
        <f>IF(AND(BW$5-$A73&gt;=0,BW$5-$A73&lt;=19),INDEX(HU_ord,BW$5-$A73+1)*$B73,0)</f>
        <v>0.0</v>
      </c>
      <c r="BX73" s="14">
        <f>IF(AND(BX$5-$A73&gt;=0,BX$5-$A73&lt;=19),INDEX(HU_ord,BX$5-$A73+1)*$B73,0)</f>
        <v>0.0</v>
      </c>
      <c r="BY73" s="14">
        <f>IF(AND(BY$5-$A73&gt;=0,BY$5-$A73&lt;=19),INDEX(HU_ord,BY$5-$A73+1)*$B73,0)</f>
        <v>0.0</v>
      </c>
      <c r="BZ73" s="14">
        <f>IF(AND(BZ$5-$A73&gt;=0,BZ$5-$A73&lt;=19),INDEX(HU_ord,BZ$5-$A73+1)*$B73,0)</f>
        <v>0.0</v>
      </c>
      <c r="CA73" s="14">
        <f>IF(AND(CA$5-$A73&gt;=0,CA$5-$A73&lt;=19),INDEX(HU_ord,CA$5-$A73+1)*$B73,0)</f>
        <v>0.0</v>
      </c>
      <c r="CB73" s="14">
        <f>IF(AND(CB$5-$A73&gt;=0,CB$5-$A73&lt;=19),INDEX(HU_ord,CB$5-$A73+1)*$B73,0)</f>
        <v>0.0</v>
      </c>
      <c r="CC73" s="14">
        <f>IF(AND(CC$5-$A73&gt;=0,CC$5-$A73&lt;=19),INDEX(HU_ord,CC$5-$A73+1)*$B73,0)</f>
        <v>0.0</v>
      </c>
      <c r="CD73" s="14">
        <f>IF(AND(CD$5-$A73&gt;=0,CD$5-$A73&lt;=19),INDEX(HU_ord,CD$5-$A73+1)*$B73,0)</f>
        <v>0.0</v>
      </c>
      <c r="CE73" s="14">
        <f>IF(AND(CE$5-$A73&gt;=0,CE$5-$A73&lt;=19),INDEX(HU_ord,CE$5-$A73+1)*$B73,0)</f>
        <v>0.0</v>
      </c>
      <c r="CF73" s="14">
        <f>IF(AND(CF$5-$A73&gt;=0,CF$5-$A73&lt;=19),INDEX(HU_ord,CF$5-$A73+1)*$B73,0)</f>
        <v>0.0</v>
      </c>
      <c r="CG73" s="14">
        <f>IF(AND(CG$5-$A73&gt;=0,CG$5-$A73&lt;=19),INDEX(HU_ord,CG$5-$A73+1)*$B73,0)</f>
        <v>0.0</v>
      </c>
      <c r="CH73" s="14">
        <f>IF(AND(CH$5-$A73&gt;=0,CH$5-$A73&lt;=19),INDEX(HU_ord,CH$5-$A73+1)*$B73,0)</f>
        <v>0.0</v>
      </c>
      <c r="CI73" s="14">
        <f>IF(AND(CI$5-$A73&gt;=0,CI$5-$A73&lt;=19),INDEX(HU_ord,CI$5-$A73+1)*$B73,0)</f>
        <v>0.0</v>
      </c>
      <c r="CJ73" s="14">
        <f>IF(AND(CJ$5-$A73&gt;=0,CJ$5-$A73&lt;=19),INDEX(HU_ord,CJ$5-$A73+1)*$B73,0)</f>
        <v>0.0</v>
      </c>
      <c r="CK73" s="14">
        <f>IF(AND(CK$5-$A73&gt;=0,CK$5-$A73&lt;=19),INDEX(HU_ord,CK$5-$A73+1)*$B73,0)</f>
        <v>0.0</v>
      </c>
      <c r="CL73" s="14">
        <f>IF(AND(CL$5-$A73&gt;=0,CL$5-$A73&lt;=19),INDEX(HU_ord,CL$5-$A73+1)*$B73,0)</f>
        <v>0.0</v>
      </c>
      <c r="CM73" s="14">
        <f>IF(AND(CM$5-$A73&gt;=0,CM$5-$A73&lt;=19),INDEX(HU_ord,CM$5-$A73+1)*$B73,0)</f>
        <v>0.0</v>
      </c>
      <c r="CN73" s="14">
        <f>IF(AND(CN$5-$A73&gt;=0,CN$5-$A73&lt;=19),INDEX(HU_ord,CN$5-$A73+1)*$B73,0)</f>
        <v>0.0</v>
      </c>
      <c r="CO73" s="14">
        <f>IF(AND(CO$5-$A73&gt;=0,CO$5-$A73&lt;=19),INDEX(HU_ord,CO$5-$A73+1)*$B73,0)</f>
        <v>0.0</v>
      </c>
      <c r="CP73" s="14">
        <f>IF(AND(CP$5-$A73&gt;=0,CP$5-$A73&lt;=19),INDEX(HU_ord,CP$5-$A73+1)*$B73,0)</f>
        <v>0.0</v>
      </c>
      <c r="CQ73" s="14">
        <f>IF(AND(CQ$5-$A73&gt;=0,CQ$5-$A73&lt;=19),INDEX(HU_ord,CQ$5-$A73+1)*$B73,0)</f>
        <v>0.0</v>
      </c>
      <c r="CR73" s="14">
        <f>IF(AND(CR$5-$A73&gt;=0,CR$5-$A73&lt;=19),INDEX(HU_ord,CR$5-$A73+1)*$B73,0)</f>
        <v>0.0</v>
      </c>
      <c r="CS73" s="14">
        <f>IF(AND(CS$5-$A73&gt;=0,CS$5-$A73&lt;=19),INDEX(HU_ord,CS$5-$A73+1)*$B73,0)</f>
        <v>0.0</v>
      </c>
      <c r="CT73" s="14">
        <f>IF(AND(CT$5-$A73&gt;=0,CT$5-$A73&lt;=19),INDEX(HU_ord,CT$5-$A73+1)*$B73,0)</f>
        <v>0.0</v>
      </c>
      <c r="CU73" s="14">
        <f>IF(AND(CU$5-$A73&gt;=0,CU$5-$A73&lt;=19),INDEX(HU_ord,CU$5-$A73+1)*$B73,0)</f>
        <v>0.0</v>
      </c>
      <c r="CV73" s="14">
        <f>IF(AND(CV$5-$A73&gt;=0,CV$5-$A73&lt;=19),INDEX(HU_ord,CV$5-$A73+1)*$B73,0)</f>
        <v>0.0</v>
      </c>
      <c r="CW73" s="14">
        <f>IF(AND(CW$5-$A73&gt;=0,CW$5-$A73&lt;=19),INDEX(HU_ord,CW$5-$A73+1)*$B73,0)</f>
        <v>0.0</v>
      </c>
      <c r="CX73" s="14">
        <f>IF(AND(CX$5-$A73&gt;=0,CX$5-$A73&lt;=19),INDEX(HU_ord,CX$5-$A73+1)*$B73,0)</f>
        <v>0.0</v>
      </c>
      <c r="CY73" s="14">
        <f>IF(AND(CY$5-$A73&gt;=0,CY$5-$A73&lt;=19),INDEX(HU_ord,CY$5-$A73+1)*$B73,0)</f>
        <v>0.0</v>
      </c>
      <c r="CZ73" s="14">
        <f>IF(AND(CZ$5-$A73&gt;=0,CZ$5-$A73&lt;=19),INDEX(HU_ord,CZ$5-$A73+1)*$B73,0)</f>
        <v>0.0</v>
      </c>
      <c r="DA73" s="14">
        <f>IF(AND(DA$5-$A73&gt;=0,DA$5-$A73&lt;=19),INDEX(HU_ord,DA$5-$A73+1)*$B73,0)</f>
        <v>0.0</v>
      </c>
      <c r="DB73" s="14">
        <f>IF(AND(DB$5-$A73&gt;=0,DB$5-$A73&lt;=19),INDEX(HU_ord,DB$5-$A73+1)*$B73,0)</f>
        <v>0.0</v>
      </c>
      <c r="DC73" s="14">
        <f>IF(AND(DC$5-$A73&gt;=0,DC$5-$A73&lt;=19),INDEX(HU_ord,DC$5-$A73+1)*$B73,0)</f>
        <v>0.0</v>
      </c>
      <c r="DD73" s="14">
        <f>IF(AND(DD$5-$A73&gt;=0,DD$5-$A73&lt;=19),INDEX(HU_ord,DD$5-$A73+1)*$B73,0)</f>
        <v>0.0</v>
      </c>
      <c r="DE73" s="14">
        <f>IF(AND(DE$5-$A73&gt;=0,DE$5-$A73&lt;=19),INDEX(HU_ord,DE$5-$A73+1)*$B73,0)</f>
        <v>0.0</v>
      </c>
      <c r="DF73" s="14">
        <f>IF(AND(DF$5-$A73&gt;=0,DF$5-$A73&lt;=19),INDEX(HU_ord,DF$5-$A73+1)*$B73,0)</f>
        <v>0.0</v>
      </c>
      <c r="DG73" s="14">
        <f>IF(AND(DG$5-$A73&gt;=0,DG$5-$A73&lt;=19),INDEX(HU_ord,DG$5-$A73+1)*$B73,0)</f>
        <v>0.0</v>
      </c>
      <c r="DH73" s="14">
        <f>IF(AND(DH$5-$A73&gt;=0,DH$5-$A73&lt;=19),INDEX(HU_ord,DH$5-$A73+1)*$B73,0)</f>
        <v>0.0</v>
      </c>
      <c r="DI73" s="14">
        <f>IF(AND(DI$5-$A73&gt;=0,DI$5-$A73&lt;=19),INDEX(HU_ord,DI$5-$A73+1)*$B73,0)</f>
        <v>0.0</v>
      </c>
    </row>
    <row r="74" spans="1:113">
      <c r="A74">
        <v>68</v>
      </c>
      <c r="B74" s="10">
        <f>Serie_horaria!N70</f>
        <v>0.0</v>
      </c>
      <c r="C74" s="14">
        <f>IF(AND(C$5-$A74&gt;=0,C$5-$A74&lt;=19),INDEX(HU_ord,C$5-$A74+1)*$B74,0)</f>
        <v>0.0</v>
      </c>
      <c r="D74" s="14">
        <f>IF(AND(D$5-$A74&gt;=0,D$5-$A74&lt;=19),INDEX(HU_ord,D$5-$A74+1)*$B74,0)</f>
        <v>0.0</v>
      </c>
      <c r="E74" s="14">
        <f>IF(AND(E$5-$A74&gt;=0,E$5-$A74&lt;=19),INDEX(HU_ord,E$5-$A74+1)*$B74,0)</f>
        <v>0.0</v>
      </c>
      <c r="F74" s="14">
        <f>IF(AND(F$5-$A74&gt;=0,F$5-$A74&lt;=19),INDEX(HU_ord,F$5-$A74+1)*$B74,0)</f>
        <v>0.0</v>
      </c>
      <c r="G74" s="14">
        <f>IF(AND(G$5-$A74&gt;=0,G$5-$A74&lt;=19),INDEX(HU_ord,G$5-$A74+1)*$B74,0)</f>
        <v>0.0</v>
      </c>
      <c r="H74" s="14">
        <f>IF(AND(H$5-$A74&gt;=0,H$5-$A74&lt;=19),INDEX(HU_ord,H$5-$A74+1)*$B74,0)</f>
        <v>0.0</v>
      </c>
      <c r="I74" s="14">
        <f>IF(AND(I$5-$A74&gt;=0,I$5-$A74&lt;=19),INDEX(HU_ord,I$5-$A74+1)*$B74,0)</f>
        <v>0.0</v>
      </c>
      <c r="J74" s="14">
        <f>IF(AND(J$5-$A74&gt;=0,J$5-$A74&lt;=19),INDEX(HU_ord,J$5-$A74+1)*$B74,0)</f>
        <v>0.0</v>
      </c>
      <c r="K74" s="14">
        <f>IF(AND(K$5-$A74&gt;=0,K$5-$A74&lt;=19),INDEX(HU_ord,K$5-$A74+1)*$B74,0)</f>
        <v>0.0</v>
      </c>
      <c r="L74" s="14">
        <f>IF(AND(L$5-$A74&gt;=0,L$5-$A74&lt;=19),INDEX(HU_ord,L$5-$A74+1)*$B74,0)</f>
        <v>0.0</v>
      </c>
      <c r="M74" s="14">
        <f>IF(AND(M$5-$A74&gt;=0,M$5-$A74&lt;=19),INDEX(HU_ord,M$5-$A74+1)*$B74,0)</f>
        <v>0.0</v>
      </c>
      <c r="N74" s="14">
        <f>IF(AND(N$5-$A74&gt;=0,N$5-$A74&lt;=19),INDEX(HU_ord,N$5-$A74+1)*$B74,0)</f>
        <v>0.0</v>
      </c>
      <c r="O74" s="14">
        <f>IF(AND(O$5-$A74&gt;=0,O$5-$A74&lt;=19),INDEX(HU_ord,O$5-$A74+1)*$B74,0)</f>
        <v>0.0</v>
      </c>
      <c r="P74" s="14">
        <f>IF(AND(P$5-$A74&gt;=0,P$5-$A74&lt;=19),INDEX(HU_ord,P$5-$A74+1)*$B74,0)</f>
        <v>0.0</v>
      </c>
      <c r="Q74" s="14">
        <f>IF(AND(Q$5-$A74&gt;=0,Q$5-$A74&lt;=19),INDEX(HU_ord,Q$5-$A74+1)*$B74,0)</f>
        <v>0.0</v>
      </c>
      <c r="R74" s="14">
        <f>IF(AND(R$5-$A74&gt;=0,R$5-$A74&lt;=19),INDEX(HU_ord,R$5-$A74+1)*$B74,0)</f>
        <v>0.0</v>
      </c>
      <c r="S74" s="14">
        <f>IF(AND(S$5-$A74&gt;=0,S$5-$A74&lt;=19),INDEX(HU_ord,S$5-$A74+1)*$B74,0)</f>
        <v>0.0</v>
      </c>
      <c r="T74" s="14">
        <f>IF(AND(T$5-$A74&gt;=0,T$5-$A74&lt;=19),INDEX(HU_ord,T$5-$A74+1)*$B74,0)</f>
        <v>0.0</v>
      </c>
      <c r="U74" s="14">
        <f>IF(AND(U$5-$A74&gt;=0,U$5-$A74&lt;=19),INDEX(HU_ord,U$5-$A74+1)*$B74,0)</f>
        <v>0.0</v>
      </c>
      <c r="V74" s="14">
        <f>IF(AND(V$5-$A74&gt;=0,V$5-$A74&lt;=19),INDEX(HU_ord,V$5-$A74+1)*$B74,0)</f>
        <v>0.0</v>
      </c>
      <c r="W74" s="14">
        <f>IF(AND(W$5-$A74&gt;=0,W$5-$A74&lt;=19),INDEX(HU_ord,W$5-$A74+1)*$B74,0)</f>
        <v>0.0</v>
      </c>
      <c r="X74" s="14">
        <f>IF(AND(X$5-$A74&gt;=0,X$5-$A74&lt;=19),INDEX(HU_ord,X$5-$A74+1)*$B74,0)</f>
        <v>0.0</v>
      </c>
      <c r="Y74" s="14">
        <f>IF(AND(Y$5-$A74&gt;=0,Y$5-$A74&lt;=19),INDEX(HU_ord,Y$5-$A74+1)*$B74,0)</f>
        <v>0.0</v>
      </c>
      <c r="Z74" s="14">
        <f>IF(AND(Z$5-$A74&gt;=0,Z$5-$A74&lt;=19),INDEX(HU_ord,Z$5-$A74+1)*$B74,0)</f>
        <v>0.0</v>
      </c>
      <c r="AA74" s="14">
        <f>IF(AND(AA$5-$A74&gt;=0,AA$5-$A74&lt;=19),INDEX(HU_ord,AA$5-$A74+1)*$B74,0)</f>
        <v>0.0</v>
      </c>
      <c r="AB74" s="14">
        <f>IF(AND(AB$5-$A74&gt;=0,AB$5-$A74&lt;=19),INDEX(HU_ord,AB$5-$A74+1)*$B74,0)</f>
        <v>0.0</v>
      </c>
      <c r="AC74" s="14">
        <f>IF(AND(AC$5-$A74&gt;=0,AC$5-$A74&lt;=19),INDEX(HU_ord,AC$5-$A74+1)*$B74,0)</f>
        <v>0.0</v>
      </c>
      <c r="AD74" s="14">
        <f>IF(AND(AD$5-$A74&gt;=0,AD$5-$A74&lt;=19),INDEX(HU_ord,AD$5-$A74+1)*$B74,0)</f>
        <v>0.0</v>
      </c>
      <c r="AE74" s="14">
        <f>IF(AND(AE$5-$A74&gt;=0,AE$5-$A74&lt;=19),INDEX(HU_ord,AE$5-$A74+1)*$B74,0)</f>
        <v>0.0</v>
      </c>
      <c r="AF74" s="14">
        <f>IF(AND(AF$5-$A74&gt;=0,AF$5-$A74&lt;=19),INDEX(HU_ord,AF$5-$A74+1)*$B74,0)</f>
        <v>0.0</v>
      </c>
      <c r="AG74" s="14">
        <f>IF(AND(AG$5-$A74&gt;=0,AG$5-$A74&lt;=19),INDEX(HU_ord,AG$5-$A74+1)*$B74,0)</f>
        <v>0.0</v>
      </c>
      <c r="AH74" s="14">
        <f>IF(AND(AH$5-$A74&gt;=0,AH$5-$A74&lt;=19),INDEX(HU_ord,AH$5-$A74+1)*$B74,0)</f>
        <v>0.0</v>
      </c>
      <c r="AI74" s="14">
        <f>IF(AND(AI$5-$A74&gt;=0,AI$5-$A74&lt;=19),INDEX(HU_ord,AI$5-$A74+1)*$B74,0)</f>
        <v>0.0</v>
      </c>
      <c r="AJ74" s="14">
        <f>IF(AND(AJ$5-$A74&gt;=0,AJ$5-$A74&lt;=19),INDEX(HU_ord,AJ$5-$A74+1)*$B74,0)</f>
        <v>0.0</v>
      </c>
      <c r="AK74" s="14">
        <f>IF(AND(AK$5-$A74&gt;=0,AK$5-$A74&lt;=19),INDEX(HU_ord,AK$5-$A74+1)*$B74,0)</f>
        <v>0.0</v>
      </c>
      <c r="AL74" s="14">
        <f>IF(AND(AL$5-$A74&gt;=0,AL$5-$A74&lt;=19),INDEX(HU_ord,AL$5-$A74+1)*$B74,0)</f>
        <v>0.0</v>
      </c>
      <c r="AM74" s="14">
        <f>IF(AND(AM$5-$A74&gt;=0,AM$5-$A74&lt;=19),INDEX(HU_ord,AM$5-$A74+1)*$B74,0)</f>
        <v>0.0</v>
      </c>
      <c r="AN74" s="14">
        <f>IF(AND(AN$5-$A74&gt;=0,AN$5-$A74&lt;=19),INDEX(HU_ord,AN$5-$A74+1)*$B74,0)</f>
        <v>0.0</v>
      </c>
      <c r="AO74" s="14">
        <f>IF(AND(AO$5-$A74&gt;=0,AO$5-$A74&lt;=19),INDEX(HU_ord,AO$5-$A74+1)*$B74,0)</f>
        <v>0.0</v>
      </c>
      <c r="AP74" s="14">
        <f>IF(AND(AP$5-$A74&gt;=0,AP$5-$A74&lt;=19),INDEX(HU_ord,AP$5-$A74+1)*$B74,0)</f>
        <v>0.0</v>
      </c>
      <c r="AQ74" s="14">
        <f>IF(AND(AQ$5-$A74&gt;=0,AQ$5-$A74&lt;=19),INDEX(HU_ord,AQ$5-$A74+1)*$B74,0)</f>
        <v>0.0</v>
      </c>
      <c r="AR74" s="14">
        <f>IF(AND(AR$5-$A74&gt;=0,AR$5-$A74&lt;=19),INDEX(HU_ord,AR$5-$A74+1)*$B74,0)</f>
        <v>0.0</v>
      </c>
      <c r="AS74" s="14">
        <f>IF(AND(AS$5-$A74&gt;=0,AS$5-$A74&lt;=19),INDEX(HU_ord,AS$5-$A74+1)*$B74,0)</f>
        <v>0.0</v>
      </c>
      <c r="AT74" s="14">
        <f>IF(AND(AT$5-$A74&gt;=0,AT$5-$A74&lt;=19),INDEX(HU_ord,AT$5-$A74+1)*$B74,0)</f>
        <v>0.0</v>
      </c>
      <c r="AU74" s="14">
        <f>IF(AND(AU$5-$A74&gt;=0,AU$5-$A74&lt;=19),INDEX(HU_ord,AU$5-$A74+1)*$B74,0)</f>
        <v>0.0</v>
      </c>
      <c r="AV74" s="14">
        <f>IF(AND(AV$5-$A74&gt;=0,AV$5-$A74&lt;=19),INDEX(HU_ord,AV$5-$A74+1)*$B74,0)</f>
        <v>0.0</v>
      </c>
      <c r="AW74" s="14">
        <f>IF(AND(AW$5-$A74&gt;=0,AW$5-$A74&lt;=19),INDEX(HU_ord,AW$5-$A74+1)*$B74,0)</f>
        <v>0.0</v>
      </c>
      <c r="AX74" s="14">
        <f>IF(AND(AX$5-$A74&gt;=0,AX$5-$A74&lt;=19),INDEX(HU_ord,AX$5-$A74+1)*$B74,0)</f>
        <v>0.0</v>
      </c>
      <c r="AY74" s="14">
        <f>IF(AND(AY$5-$A74&gt;=0,AY$5-$A74&lt;=19),INDEX(HU_ord,AY$5-$A74+1)*$B74,0)</f>
        <v>0.0</v>
      </c>
      <c r="AZ74" s="14">
        <f>IF(AND(AZ$5-$A74&gt;=0,AZ$5-$A74&lt;=19),INDEX(HU_ord,AZ$5-$A74+1)*$B74,0)</f>
        <v>0.0</v>
      </c>
      <c r="BA74" s="14">
        <f>IF(AND(BA$5-$A74&gt;=0,BA$5-$A74&lt;=19),INDEX(HU_ord,BA$5-$A74+1)*$B74,0)</f>
        <v>0.0</v>
      </c>
      <c r="BB74" s="14">
        <f>IF(AND(BB$5-$A74&gt;=0,BB$5-$A74&lt;=19),INDEX(HU_ord,BB$5-$A74+1)*$B74,0)</f>
        <v>0.0</v>
      </c>
      <c r="BC74" s="14">
        <f>IF(AND(BC$5-$A74&gt;=0,BC$5-$A74&lt;=19),INDEX(HU_ord,BC$5-$A74+1)*$B74,0)</f>
        <v>0.0</v>
      </c>
      <c r="BD74" s="14">
        <f>IF(AND(BD$5-$A74&gt;=0,BD$5-$A74&lt;=19),INDEX(HU_ord,BD$5-$A74+1)*$B74,0)</f>
        <v>0.0</v>
      </c>
      <c r="BE74" s="14">
        <f>IF(AND(BE$5-$A74&gt;=0,BE$5-$A74&lt;=19),INDEX(HU_ord,BE$5-$A74+1)*$B74,0)</f>
        <v>0.0</v>
      </c>
      <c r="BF74" s="14">
        <f>IF(AND(BF$5-$A74&gt;=0,BF$5-$A74&lt;=19),INDEX(HU_ord,BF$5-$A74+1)*$B74,0)</f>
        <v>0.0</v>
      </c>
      <c r="BG74" s="14">
        <f>IF(AND(BG$5-$A74&gt;=0,BG$5-$A74&lt;=19),INDEX(HU_ord,BG$5-$A74+1)*$B74,0)</f>
        <v>0.0</v>
      </c>
      <c r="BH74" s="14">
        <f>IF(AND(BH$5-$A74&gt;=0,BH$5-$A74&lt;=19),INDEX(HU_ord,BH$5-$A74+1)*$B74,0)</f>
        <v>0.0</v>
      </c>
      <c r="BI74" s="14">
        <f>IF(AND(BI$5-$A74&gt;=0,BI$5-$A74&lt;=19),INDEX(HU_ord,BI$5-$A74+1)*$B74,0)</f>
        <v>0.0</v>
      </c>
      <c r="BJ74" s="14">
        <f>IF(AND(BJ$5-$A74&gt;=0,BJ$5-$A74&lt;=19),INDEX(HU_ord,BJ$5-$A74+1)*$B74,0)</f>
        <v>0.0</v>
      </c>
      <c r="BK74" s="14">
        <f>IF(AND(BK$5-$A74&gt;=0,BK$5-$A74&lt;=19),INDEX(HU_ord,BK$5-$A74+1)*$B74,0)</f>
        <v>0.0</v>
      </c>
      <c r="BL74" s="14">
        <f>IF(AND(BL$5-$A74&gt;=0,BL$5-$A74&lt;=19),INDEX(HU_ord,BL$5-$A74+1)*$B74,0)</f>
        <v>0.0</v>
      </c>
      <c r="BM74" s="14">
        <f>IF(AND(BM$5-$A74&gt;=0,BM$5-$A74&lt;=19),INDEX(HU_ord,BM$5-$A74+1)*$B74,0)</f>
        <v>0.0</v>
      </c>
      <c r="BN74" s="14">
        <f>IF(AND(BN$5-$A74&gt;=0,BN$5-$A74&lt;=19),INDEX(HU_ord,BN$5-$A74+1)*$B74,0)</f>
        <v>0.0</v>
      </c>
      <c r="BO74" s="14">
        <f>IF(AND(BO$5-$A74&gt;=0,BO$5-$A74&lt;=19),INDEX(HU_ord,BO$5-$A74+1)*$B74,0)</f>
        <v>0.0</v>
      </c>
      <c r="BP74" s="14">
        <f>IF(AND(BP$5-$A74&gt;=0,BP$5-$A74&lt;=19),INDEX(HU_ord,BP$5-$A74+1)*$B74,0)</f>
        <v>0.0</v>
      </c>
      <c r="BQ74" s="14">
        <f>IF(AND(BQ$5-$A74&gt;=0,BQ$5-$A74&lt;=19),INDEX(HU_ord,BQ$5-$A74+1)*$B74,0)</f>
        <v>0.0</v>
      </c>
      <c r="BR74" s="14">
        <f>IF(AND(BR$5-$A74&gt;=0,BR$5-$A74&lt;=19),INDEX(HU_ord,BR$5-$A74+1)*$B74,0)</f>
        <v>0.0</v>
      </c>
      <c r="BS74" s="14">
        <f>IF(AND(BS$5-$A74&gt;=0,BS$5-$A74&lt;=19),INDEX(HU_ord,BS$5-$A74+1)*$B74,0)</f>
        <v>0.0</v>
      </c>
      <c r="BT74" s="14">
        <f>IF(AND(BT$5-$A74&gt;=0,BT$5-$A74&lt;=19),INDEX(HU_ord,BT$5-$A74+1)*$B74,0)</f>
        <v>0.0</v>
      </c>
      <c r="BU74" s="14">
        <f>IF(AND(BU$5-$A74&gt;=0,BU$5-$A74&lt;=19),INDEX(HU_ord,BU$5-$A74+1)*$B74,0)</f>
        <v>0.0</v>
      </c>
      <c r="BV74" s="14">
        <f>IF(AND(BV$5-$A74&gt;=0,BV$5-$A74&lt;=19),INDEX(HU_ord,BV$5-$A74+1)*$B74,0)</f>
        <v>0.0</v>
      </c>
      <c r="BW74" s="14">
        <f>IF(AND(BW$5-$A74&gt;=0,BW$5-$A74&lt;=19),INDEX(HU_ord,BW$5-$A74+1)*$B74,0)</f>
        <v>0.0</v>
      </c>
      <c r="BX74" s="14">
        <f>IF(AND(BX$5-$A74&gt;=0,BX$5-$A74&lt;=19),INDEX(HU_ord,BX$5-$A74+1)*$B74,0)</f>
        <v>0.0</v>
      </c>
      <c r="BY74" s="14">
        <f>IF(AND(BY$5-$A74&gt;=0,BY$5-$A74&lt;=19),INDEX(HU_ord,BY$5-$A74+1)*$B74,0)</f>
        <v>0.0</v>
      </c>
      <c r="BZ74" s="14">
        <f>IF(AND(BZ$5-$A74&gt;=0,BZ$5-$A74&lt;=19),INDEX(HU_ord,BZ$5-$A74+1)*$B74,0)</f>
        <v>0.0</v>
      </c>
      <c r="CA74" s="14">
        <f>IF(AND(CA$5-$A74&gt;=0,CA$5-$A74&lt;=19),INDEX(HU_ord,CA$5-$A74+1)*$B74,0)</f>
        <v>0.0</v>
      </c>
      <c r="CB74" s="14">
        <f>IF(AND(CB$5-$A74&gt;=0,CB$5-$A74&lt;=19),INDEX(HU_ord,CB$5-$A74+1)*$B74,0)</f>
        <v>0.0</v>
      </c>
      <c r="CC74" s="14">
        <f>IF(AND(CC$5-$A74&gt;=0,CC$5-$A74&lt;=19),INDEX(HU_ord,CC$5-$A74+1)*$B74,0)</f>
        <v>0.0</v>
      </c>
      <c r="CD74" s="14">
        <f>IF(AND(CD$5-$A74&gt;=0,CD$5-$A74&lt;=19),INDEX(HU_ord,CD$5-$A74+1)*$B74,0)</f>
        <v>0.0</v>
      </c>
      <c r="CE74" s="14">
        <f>IF(AND(CE$5-$A74&gt;=0,CE$5-$A74&lt;=19),INDEX(HU_ord,CE$5-$A74+1)*$B74,0)</f>
        <v>0.0</v>
      </c>
      <c r="CF74" s="14">
        <f>IF(AND(CF$5-$A74&gt;=0,CF$5-$A74&lt;=19),INDEX(HU_ord,CF$5-$A74+1)*$B74,0)</f>
        <v>0.0</v>
      </c>
      <c r="CG74" s="14">
        <f>IF(AND(CG$5-$A74&gt;=0,CG$5-$A74&lt;=19),INDEX(HU_ord,CG$5-$A74+1)*$B74,0)</f>
        <v>0.0</v>
      </c>
      <c r="CH74" s="14">
        <f>IF(AND(CH$5-$A74&gt;=0,CH$5-$A74&lt;=19),INDEX(HU_ord,CH$5-$A74+1)*$B74,0)</f>
        <v>0.0</v>
      </c>
      <c r="CI74" s="14">
        <f>IF(AND(CI$5-$A74&gt;=0,CI$5-$A74&lt;=19),INDEX(HU_ord,CI$5-$A74+1)*$B74,0)</f>
        <v>0.0</v>
      </c>
      <c r="CJ74" s="14">
        <f>IF(AND(CJ$5-$A74&gt;=0,CJ$5-$A74&lt;=19),INDEX(HU_ord,CJ$5-$A74+1)*$B74,0)</f>
        <v>0.0</v>
      </c>
      <c r="CK74" s="14">
        <f>IF(AND(CK$5-$A74&gt;=0,CK$5-$A74&lt;=19),INDEX(HU_ord,CK$5-$A74+1)*$B74,0)</f>
        <v>0.0</v>
      </c>
      <c r="CL74" s="14">
        <f>IF(AND(CL$5-$A74&gt;=0,CL$5-$A74&lt;=19),INDEX(HU_ord,CL$5-$A74+1)*$B74,0)</f>
        <v>0.0</v>
      </c>
      <c r="CM74" s="14">
        <f>IF(AND(CM$5-$A74&gt;=0,CM$5-$A74&lt;=19),INDEX(HU_ord,CM$5-$A74+1)*$B74,0)</f>
        <v>0.0</v>
      </c>
      <c r="CN74" s="14">
        <f>IF(AND(CN$5-$A74&gt;=0,CN$5-$A74&lt;=19),INDEX(HU_ord,CN$5-$A74+1)*$B74,0)</f>
        <v>0.0</v>
      </c>
      <c r="CO74" s="14">
        <f>IF(AND(CO$5-$A74&gt;=0,CO$5-$A74&lt;=19),INDEX(HU_ord,CO$5-$A74+1)*$B74,0)</f>
        <v>0.0</v>
      </c>
      <c r="CP74" s="14">
        <f>IF(AND(CP$5-$A74&gt;=0,CP$5-$A74&lt;=19),INDEX(HU_ord,CP$5-$A74+1)*$B74,0)</f>
        <v>0.0</v>
      </c>
      <c r="CQ74" s="14">
        <f>IF(AND(CQ$5-$A74&gt;=0,CQ$5-$A74&lt;=19),INDEX(HU_ord,CQ$5-$A74+1)*$B74,0)</f>
        <v>0.0</v>
      </c>
      <c r="CR74" s="14">
        <f>IF(AND(CR$5-$A74&gt;=0,CR$5-$A74&lt;=19),INDEX(HU_ord,CR$5-$A74+1)*$B74,0)</f>
        <v>0.0</v>
      </c>
      <c r="CS74" s="14">
        <f>IF(AND(CS$5-$A74&gt;=0,CS$5-$A74&lt;=19),INDEX(HU_ord,CS$5-$A74+1)*$B74,0)</f>
        <v>0.0</v>
      </c>
      <c r="CT74" s="14">
        <f>IF(AND(CT$5-$A74&gt;=0,CT$5-$A74&lt;=19),INDEX(HU_ord,CT$5-$A74+1)*$B74,0)</f>
        <v>0.0</v>
      </c>
      <c r="CU74" s="14">
        <f>IF(AND(CU$5-$A74&gt;=0,CU$5-$A74&lt;=19),INDEX(HU_ord,CU$5-$A74+1)*$B74,0)</f>
        <v>0.0</v>
      </c>
      <c r="CV74" s="14">
        <f>IF(AND(CV$5-$A74&gt;=0,CV$5-$A74&lt;=19),INDEX(HU_ord,CV$5-$A74+1)*$B74,0)</f>
        <v>0.0</v>
      </c>
      <c r="CW74" s="14">
        <f>IF(AND(CW$5-$A74&gt;=0,CW$5-$A74&lt;=19),INDEX(HU_ord,CW$5-$A74+1)*$B74,0)</f>
        <v>0.0</v>
      </c>
      <c r="CX74" s="14">
        <f>IF(AND(CX$5-$A74&gt;=0,CX$5-$A74&lt;=19),INDEX(HU_ord,CX$5-$A74+1)*$B74,0)</f>
        <v>0.0</v>
      </c>
      <c r="CY74" s="14">
        <f>IF(AND(CY$5-$A74&gt;=0,CY$5-$A74&lt;=19),INDEX(HU_ord,CY$5-$A74+1)*$B74,0)</f>
        <v>0.0</v>
      </c>
      <c r="CZ74" s="14">
        <f>IF(AND(CZ$5-$A74&gt;=0,CZ$5-$A74&lt;=19),INDEX(HU_ord,CZ$5-$A74+1)*$B74,0)</f>
        <v>0.0</v>
      </c>
      <c r="DA74" s="14">
        <f>IF(AND(DA$5-$A74&gt;=0,DA$5-$A74&lt;=19),INDEX(HU_ord,DA$5-$A74+1)*$B74,0)</f>
        <v>0.0</v>
      </c>
      <c r="DB74" s="14">
        <f>IF(AND(DB$5-$A74&gt;=0,DB$5-$A74&lt;=19),INDEX(HU_ord,DB$5-$A74+1)*$B74,0)</f>
        <v>0.0</v>
      </c>
      <c r="DC74" s="14">
        <f>IF(AND(DC$5-$A74&gt;=0,DC$5-$A74&lt;=19),INDEX(HU_ord,DC$5-$A74+1)*$B74,0)</f>
        <v>0.0</v>
      </c>
      <c r="DD74" s="14">
        <f>IF(AND(DD$5-$A74&gt;=0,DD$5-$A74&lt;=19),INDEX(HU_ord,DD$5-$A74+1)*$B74,0)</f>
        <v>0.0</v>
      </c>
      <c r="DE74" s="14">
        <f>IF(AND(DE$5-$A74&gt;=0,DE$5-$A74&lt;=19),INDEX(HU_ord,DE$5-$A74+1)*$B74,0)</f>
        <v>0.0</v>
      </c>
      <c r="DF74" s="14">
        <f>IF(AND(DF$5-$A74&gt;=0,DF$5-$A74&lt;=19),INDEX(HU_ord,DF$5-$A74+1)*$B74,0)</f>
        <v>0.0</v>
      </c>
      <c r="DG74" s="14">
        <f>IF(AND(DG$5-$A74&gt;=0,DG$5-$A74&lt;=19),INDEX(HU_ord,DG$5-$A74+1)*$B74,0)</f>
        <v>0.0</v>
      </c>
      <c r="DH74" s="14">
        <f>IF(AND(DH$5-$A74&gt;=0,DH$5-$A74&lt;=19),INDEX(HU_ord,DH$5-$A74+1)*$B74,0)</f>
        <v>0.0</v>
      </c>
      <c r="DI74" s="14">
        <f>IF(AND(DI$5-$A74&gt;=0,DI$5-$A74&lt;=19),INDEX(HU_ord,DI$5-$A74+1)*$B74,0)</f>
        <v>0.0</v>
      </c>
    </row>
    <row r="75" spans="1:113">
      <c r="A75">
        <v>69</v>
      </c>
      <c r="B75" s="10">
        <f>Serie_horaria!N71</f>
        <v>0.0</v>
      </c>
      <c r="C75" s="14">
        <f>IF(AND(C$5-$A75&gt;=0,C$5-$A75&lt;=19),INDEX(HU_ord,C$5-$A75+1)*$B75,0)</f>
        <v>0.0</v>
      </c>
      <c r="D75" s="14">
        <f>IF(AND(D$5-$A75&gt;=0,D$5-$A75&lt;=19),INDEX(HU_ord,D$5-$A75+1)*$B75,0)</f>
        <v>0.0</v>
      </c>
      <c r="E75" s="14">
        <f>IF(AND(E$5-$A75&gt;=0,E$5-$A75&lt;=19),INDEX(HU_ord,E$5-$A75+1)*$B75,0)</f>
        <v>0.0</v>
      </c>
      <c r="F75" s="14">
        <f>IF(AND(F$5-$A75&gt;=0,F$5-$A75&lt;=19),INDEX(HU_ord,F$5-$A75+1)*$B75,0)</f>
        <v>0.0</v>
      </c>
      <c r="G75" s="14">
        <f>IF(AND(G$5-$A75&gt;=0,G$5-$A75&lt;=19),INDEX(HU_ord,G$5-$A75+1)*$B75,0)</f>
        <v>0.0</v>
      </c>
      <c r="H75" s="14">
        <f>IF(AND(H$5-$A75&gt;=0,H$5-$A75&lt;=19),INDEX(HU_ord,H$5-$A75+1)*$B75,0)</f>
        <v>0.0</v>
      </c>
      <c r="I75" s="14">
        <f>IF(AND(I$5-$A75&gt;=0,I$5-$A75&lt;=19),INDEX(HU_ord,I$5-$A75+1)*$B75,0)</f>
        <v>0.0</v>
      </c>
      <c r="J75" s="14">
        <f>IF(AND(J$5-$A75&gt;=0,J$5-$A75&lt;=19),INDEX(HU_ord,J$5-$A75+1)*$B75,0)</f>
        <v>0.0</v>
      </c>
      <c r="K75" s="14">
        <f>IF(AND(K$5-$A75&gt;=0,K$5-$A75&lt;=19),INDEX(HU_ord,K$5-$A75+1)*$B75,0)</f>
        <v>0.0</v>
      </c>
      <c r="L75" s="14">
        <f>IF(AND(L$5-$A75&gt;=0,L$5-$A75&lt;=19),INDEX(HU_ord,L$5-$A75+1)*$B75,0)</f>
        <v>0.0</v>
      </c>
      <c r="M75" s="14">
        <f>IF(AND(M$5-$A75&gt;=0,M$5-$A75&lt;=19),INDEX(HU_ord,M$5-$A75+1)*$B75,0)</f>
        <v>0.0</v>
      </c>
      <c r="N75" s="14">
        <f>IF(AND(N$5-$A75&gt;=0,N$5-$A75&lt;=19),INDEX(HU_ord,N$5-$A75+1)*$B75,0)</f>
        <v>0.0</v>
      </c>
      <c r="O75" s="14">
        <f>IF(AND(O$5-$A75&gt;=0,O$5-$A75&lt;=19),INDEX(HU_ord,O$5-$A75+1)*$B75,0)</f>
        <v>0.0</v>
      </c>
      <c r="P75" s="14">
        <f>IF(AND(P$5-$A75&gt;=0,P$5-$A75&lt;=19),INDEX(HU_ord,P$5-$A75+1)*$B75,0)</f>
        <v>0.0</v>
      </c>
      <c r="Q75" s="14">
        <f>IF(AND(Q$5-$A75&gt;=0,Q$5-$A75&lt;=19),INDEX(HU_ord,Q$5-$A75+1)*$B75,0)</f>
        <v>0.0</v>
      </c>
      <c r="R75" s="14">
        <f>IF(AND(R$5-$A75&gt;=0,R$5-$A75&lt;=19),INDEX(HU_ord,R$5-$A75+1)*$B75,0)</f>
        <v>0.0</v>
      </c>
      <c r="S75" s="14">
        <f>IF(AND(S$5-$A75&gt;=0,S$5-$A75&lt;=19),INDEX(HU_ord,S$5-$A75+1)*$B75,0)</f>
        <v>0.0</v>
      </c>
      <c r="T75" s="14">
        <f>IF(AND(T$5-$A75&gt;=0,T$5-$A75&lt;=19),INDEX(HU_ord,T$5-$A75+1)*$B75,0)</f>
        <v>0.0</v>
      </c>
      <c r="U75" s="14">
        <f>IF(AND(U$5-$A75&gt;=0,U$5-$A75&lt;=19),INDEX(HU_ord,U$5-$A75+1)*$B75,0)</f>
        <v>0.0</v>
      </c>
      <c r="V75" s="14">
        <f>IF(AND(V$5-$A75&gt;=0,V$5-$A75&lt;=19),INDEX(HU_ord,V$5-$A75+1)*$B75,0)</f>
        <v>0.0</v>
      </c>
      <c r="W75" s="14">
        <f>IF(AND(W$5-$A75&gt;=0,W$5-$A75&lt;=19),INDEX(HU_ord,W$5-$A75+1)*$B75,0)</f>
        <v>0.0</v>
      </c>
      <c r="X75" s="14">
        <f>IF(AND(X$5-$A75&gt;=0,X$5-$A75&lt;=19),INDEX(HU_ord,X$5-$A75+1)*$B75,0)</f>
        <v>0.0</v>
      </c>
      <c r="Y75" s="14">
        <f>IF(AND(Y$5-$A75&gt;=0,Y$5-$A75&lt;=19),INDEX(HU_ord,Y$5-$A75+1)*$B75,0)</f>
        <v>0.0</v>
      </c>
      <c r="Z75" s="14">
        <f>IF(AND(Z$5-$A75&gt;=0,Z$5-$A75&lt;=19),INDEX(HU_ord,Z$5-$A75+1)*$B75,0)</f>
        <v>0.0</v>
      </c>
      <c r="AA75" s="14">
        <f>IF(AND(AA$5-$A75&gt;=0,AA$5-$A75&lt;=19),INDEX(HU_ord,AA$5-$A75+1)*$B75,0)</f>
        <v>0.0</v>
      </c>
      <c r="AB75" s="14">
        <f>IF(AND(AB$5-$A75&gt;=0,AB$5-$A75&lt;=19),INDEX(HU_ord,AB$5-$A75+1)*$B75,0)</f>
        <v>0.0</v>
      </c>
      <c r="AC75" s="14">
        <f>IF(AND(AC$5-$A75&gt;=0,AC$5-$A75&lt;=19),INDEX(HU_ord,AC$5-$A75+1)*$B75,0)</f>
        <v>0.0</v>
      </c>
      <c r="AD75" s="14">
        <f>IF(AND(AD$5-$A75&gt;=0,AD$5-$A75&lt;=19),INDEX(HU_ord,AD$5-$A75+1)*$B75,0)</f>
        <v>0.0</v>
      </c>
      <c r="AE75" s="14">
        <f>IF(AND(AE$5-$A75&gt;=0,AE$5-$A75&lt;=19),INDEX(HU_ord,AE$5-$A75+1)*$B75,0)</f>
        <v>0.0</v>
      </c>
      <c r="AF75" s="14">
        <f>IF(AND(AF$5-$A75&gt;=0,AF$5-$A75&lt;=19),INDEX(HU_ord,AF$5-$A75+1)*$B75,0)</f>
        <v>0.0</v>
      </c>
      <c r="AG75" s="14">
        <f>IF(AND(AG$5-$A75&gt;=0,AG$5-$A75&lt;=19),INDEX(HU_ord,AG$5-$A75+1)*$B75,0)</f>
        <v>0.0</v>
      </c>
      <c r="AH75" s="14">
        <f>IF(AND(AH$5-$A75&gt;=0,AH$5-$A75&lt;=19),INDEX(HU_ord,AH$5-$A75+1)*$B75,0)</f>
        <v>0.0</v>
      </c>
      <c r="AI75" s="14">
        <f>IF(AND(AI$5-$A75&gt;=0,AI$5-$A75&lt;=19),INDEX(HU_ord,AI$5-$A75+1)*$B75,0)</f>
        <v>0.0</v>
      </c>
      <c r="AJ75" s="14">
        <f>IF(AND(AJ$5-$A75&gt;=0,AJ$5-$A75&lt;=19),INDEX(HU_ord,AJ$5-$A75+1)*$B75,0)</f>
        <v>0.0</v>
      </c>
      <c r="AK75" s="14">
        <f>IF(AND(AK$5-$A75&gt;=0,AK$5-$A75&lt;=19),INDEX(HU_ord,AK$5-$A75+1)*$B75,0)</f>
        <v>0.0</v>
      </c>
      <c r="AL75" s="14">
        <f>IF(AND(AL$5-$A75&gt;=0,AL$5-$A75&lt;=19),INDEX(HU_ord,AL$5-$A75+1)*$B75,0)</f>
        <v>0.0</v>
      </c>
      <c r="AM75" s="14">
        <f>IF(AND(AM$5-$A75&gt;=0,AM$5-$A75&lt;=19),INDEX(HU_ord,AM$5-$A75+1)*$B75,0)</f>
        <v>0.0</v>
      </c>
      <c r="AN75" s="14">
        <f>IF(AND(AN$5-$A75&gt;=0,AN$5-$A75&lt;=19),INDEX(HU_ord,AN$5-$A75+1)*$B75,0)</f>
        <v>0.0</v>
      </c>
      <c r="AO75" s="14">
        <f>IF(AND(AO$5-$A75&gt;=0,AO$5-$A75&lt;=19),INDEX(HU_ord,AO$5-$A75+1)*$B75,0)</f>
        <v>0.0</v>
      </c>
      <c r="AP75" s="14">
        <f>IF(AND(AP$5-$A75&gt;=0,AP$5-$A75&lt;=19),INDEX(HU_ord,AP$5-$A75+1)*$B75,0)</f>
        <v>0.0</v>
      </c>
      <c r="AQ75" s="14">
        <f>IF(AND(AQ$5-$A75&gt;=0,AQ$5-$A75&lt;=19),INDEX(HU_ord,AQ$5-$A75+1)*$B75,0)</f>
        <v>0.0</v>
      </c>
      <c r="AR75" s="14">
        <f>IF(AND(AR$5-$A75&gt;=0,AR$5-$A75&lt;=19),INDEX(HU_ord,AR$5-$A75+1)*$B75,0)</f>
        <v>0.0</v>
      </c>
      <c r="AS75" s="14">
        <f>IF(AND(AS$5-$A75&gt;=0,AS$5-$A75&lt;=19),INDEX(HU_ord,AS$5-$A75+1)*$B75,0)</f>
        <v>0.0</v>
      </c>
      <c r="AT75" s="14">
        <f>IF(AND(AT$5-$A75&gt;=0,AT$5-$A75&lt;=19),INDEX(HU_ord,AT$5-$A75+1)*$B75,0)</f>
        <v>0.0</v>
      </c>
      <c r="AU75" s="14">
        <f>IF(AND(AU$5-$A75&gt;=0,AU$5-$A75&lt;=19),INDEX(HU_ord,AU$5-$A75+1)*$B75,0)</f>
        <v>0.0</v>
      </c>
      <c r="AV75" s="14">
        <f>IF(AND(AV$5-$A75&gt;=0,AV$5-$A75&lt;=19),INDEX(HU_ord,AV$5-$A75+1)*$B75,0)</f>
        <v>0.0</v>
      </c>
      <c r="AW75" s="14">
        <f>IF(AND(AW$5-$A75&gt;=0,AW$5-$A75&lt;=19),INDEX(HU_ord,AW$5-$A75+1)*$B75,0)</f>
        <v>0.0</v>
      </c>
      <c r="AX75" s="14">
        <f>IF(AND(AX$5-$A75&gt;=0,AX$5-$A75&lt;=19),INDEX(HU_ord,AX$5-$A75+1)*$B75,0)</f>
        <v>0.0</v>
      </c>
      <c r="AY75" s="14">
        <f>IF(AND(AY$5-$A75&gt;=0,AY$5-$A75&lt;=19),INDEX(HU_ord,AY$5-$A75+1)*$B75,0)</f>
        <v>0.0</v>
      </c>
      <c r="AZ75" s="14">
        <f>IF(AND(AZ$5-$A75&gt;=0,AZ$5-$A75&lt;=19),INDEX(HU_ord,AZ$5-$A75+1)*$B75,0)</f>
        <v>0.0</v>
      </c>
      <c r="BA75" s="14">
        <f>IF(AND(BA$5-$A75&gt;=0,BA$5-$A75&lt;=19),INDEX(HU_ord,BA$5-$A75+1)*$B75,0)</f>
        <v>0.0</v>
      </c>
      <c r="BB75" s="14">
        <f>IF(AND(BB$5-$A75&gt;=0,BB$5-$A75&lt;=19),INDEX(HU_ord,BB$5-$A75+1)*$B75,0)</f>
        <v>0.0</v>
      </c>
      <c r="BC75" s="14">
        <f>IF(AND(BC$5-$A75&gt;=0,BC$5-$A75&lt;=19),INDEX(HU_ord,BC$5-$A75+1)*$B75,0)</f>
        <v>0.0</v>
      </c>
      <c r="BD75" s="14">
        <f>IF(AND(BD$5-$A75&gt;=0,BD$5-$A75&lt;=19),INDEX(HU_ord,BD$5-$A75+1)*$B75,0)</f>
        <v>0.0</v>
      </c>
      <c r="BE75" s="14">
        <f>IF(AND(BE$5-$A75&gt;=0,BE$5-$A75&lt;=19),INDEX(HU_ord,BE$5-$A75+1)*$B75,0)</f>
        <v>0.0</v>
      </c>
      <c r="BF75" s="14">
        <f>IF(AND(BF$5-$A75&gt;=0,BF$5-$A75&lt;=19),INDEX(HU_ord,BF$5-$A75+1)*$B75,0)</f>
        <v>0.0</v>
      </c>
      <c r="BG75" s="14">
        <f>IF(AND(BG$5-$A75&gt;=0,BG$5-$A75&lt;=19),INDEX(HU_ord,BG$5-$A75+1)*$B75,0)</f>
        <v>0.0</v>
      </c>
      <c r="BH75" s="14">
        <f>IF(AND(BH$5-$A75&gt;=0,BH$5-$A75&lt;=19),INDEX(HU_ord,BH$5-$A75+1)*$B75,0)</f>
        <v>0.0</v>
      </c>
      <c r="BI75" s="14">
        <f>IF(AND(BI$5-$A75&gt;=0,BI$5-$A75&lt;=19),INDEX(HU_ord,BI$5-$A75+1)*$B75,0)</f>
        <v>0.0</v>
      </c>
      <c r="BJ75" s="14">
        <f>IF(AND(BJ$5-$A75&gt;=0,BJ$5-$A75&lt;=19),INDEX(HU_ord,BJ$5-$A75+1)*$B75,0)</f>
        <v>0.0</v>
      </c>
      <c r="BK75" s="14">
        <f>IF(AND(BK$5-$A75&gt;=0,BK$5-$A75&lt;=19),INDEX(HU_ord,BK$5-$A75+1)*$B75,0)</f>
        <v>0.0</v>
      </c>
      <c r="BL75" s="14">
        <f>IF(AND(BL$5-$A75&gt;=0,BL$5-$A75&lt;=19),INDEX(HU_ord,BL$5-$A75+1)*$B75,0)</f>
        <v>0.0</v>
      </c>
      <c r="BM75" s="14">
        <f>IF(AND(BM$5-$A75&gt;=0,BM$5-$A75&lt;=19),INDEX(HU_ord,BM$5-$A75+1)*$B75,0)</f>
        <v>0.0</v>
      </c>
      <c r="BN75" s="14">
        <f>IF(AND(BN$5-$A75&gt;=0,BN$5-$A75&lt;=19),INDEX(HU_ord,BN$5-$A75+1)*$B75,0)</f>
        <v>0.0</v>
      </c>
      <c r="BO75" s="14">
        <f>IF(AND(BO$5-$A75&gt;=0,BO$5-$A75&lt;=19),INDEX(HU_ord,BO$5-$A75+1)*$B75,0)</f>
        <v>0.0</v>
      </c>
      <c r="BP75" s="14">
        <f>IF(AND(BP$5-$A75&gt;=0,BP$5-$A75&lt;=19),INDEX(HU_ord,BP$5-$A75+1)*$B75,0)</f>
        <v>0.0</v>
      </c>
      <c r="BQ75" s="14">
        <f>IF(AND(BQ$5-$A75&gt;=0,BQ$5-$A75&lt;=19),INDEX(HU_ord,BQ$5-$A75+1)*$B75,0)</f>
        <v>0.0</v>
      </c>
      <c r="BR75" s="14">
        <f>IF(AND(BR$5-$A75&gt;=0,BR$5-$A75&lt;=19),INDEX(HU_ord,BR$5-$A75+1)*$B75,0)</f>
        <v>0.0</v>
      </c>
      <c r="BS75" s="14">
        <f>IF(AND(BS$5-$A75&gt;=0,BS$5-$A75&lt;=19),INDEX(HU_ord,BS$5-$A75+1)*$B75,0)</f>
        <v>0.0</v>
      </c>
      <c r="BT75" s="14">
        <f>IF(AND(BT$5-$A75&gt;=0,BT$5-$A75&lt;=19),INDEX(HU_ord,BT$5-$A75+1)*$B75,0)</f>
        <v>0.0</v>
      </c>
      <c r="BU75" s="14">
        <f>IF(AND(BU$5-$A75&gt;=0,BU$5-$A75&lt;=19),INDEX(HU_ord,BU$5-$A75+1)*$B75,0)</f>
        <v>0.0</v>
      </c>
      <c r="BV75" s="14">
        <f>IF(AND(BV$5-$A75&gt;=0,BV$5-$A75&lt;=19),INDEX(HU_ord,BV$5-$A75+1)*$B75,0)</f>
        <v>0.0</v>
      </c>
      <c r="BW75" s="14">
        <f>IF(AND(BW$5-$A75&gt;=0,BW$5-$A75&lt;=19),INDEX(HU_ord,BW$5-$A75+1)*$B75,0)</f>
        <v>0.0</v>
      </c>
      <c r="BX75" s="14">
        <f>IF(AND(BX$5-$A75&gt;=0,BX$5-$A75&lt;=19),INDEX(HU_ord,BX$5-$A75+1)*$B75,0)</f>
        <v>0.0</v>
      </c>
      <c r="BY75" s="14">
        <f>IF(AND(BY$5-$A75&gt;=0,BY$5-$A75&lt;=19),INDEX(HU_ord,BY$5-$A75+1)*$B75,0)</f>
        <v>0.0</v>
      </c>
      <c r="BZ75" s="14">
        <f>IF(AND(BZ$5-$A75&gt;=0,BZ$5-$A75&lt;=19),INDEX(HU_ord,BZ$5-$A75+1)*$B75,0)</f>
        <v>0.0</v>
      </c>
      <c r="CA75" s="14">
        <f>IF(AND(CA$5-$A75&gt;=0,CA$5-$A75&lt;=19),INDEX(HU_ord,CA$5-$A75+1)*$B75,0)</f>
        <v>0.0</v>
      </c>
      <c r="CB75" s="14">
        <f>IF(AND(CB$5-$A75&gt;=0,CB$5-$A75&lt;=19),INDEX(HU_ord,CB$5-$A75+1)*$B75,0)</f>
        <v>0.0</v>
      </c>
      <c r="CC75" s="14">
        <f>IF(AND(CC$5-$A75&gt;=0,CC$5-$A75&lt;=19),INDEX(HU_ord,CC$5-$A75+1)*$B75,0)</f>
        <v>0.0</v>
      </c>
      <c r="CD75" s="14">
        <f>IF(AND(CD$5-$A75&gt;=0,CD$5-$A75&lt;=19),INDEX(HU_ord,CD$5-$A75+1)*$B75,0)</f>
        <v>0.0</v>
      </c>
      <c r="CE75" s="14">
        <f>IF(AND(CE$5-$A75&gt;=0,CE$5-$A75&lt;=19),INDEX(HU_ord,CE$5-$A75+1)*$B75,0)</f>
        <v>0.0</v>
      </c>
      <c r="CF75" s="14">
        <f>IF(AND(CF$5-$A75&gt;=0,CF$5-$A75&lt;=19),INDEX(HU_ord,CF$5-$A75+1)*$B75,0)</f>
        <v>0.0</v>
      </c>
      <c r="CG75" s="14">
        <f>IF(AND(CG$5-$A75&gt;=0,CG$5-$A75&lt;=19),INDEX(HU_ord,CG$5-$A75+1)*$B75,0)</f>
        <v>0.0</v>
      </c>
      <c r="CH75" s="14">
        <f>IF(AND(CH$5-$A75&gt;=0,CH$5-$A75&lt;=19),INDEX(HU_ord,CH$5-$A75+1)*$B75,0)</f>
        <v>0.0</v>
      </c>
      <c r="CI75" s="14">
        <f>IF(AND(CI$5-$A75&gt;=0,CI$5-$A75&lt;=19),INDEX(HU_ord,CI$5-$A75+1)*$B75,0)</f>
        <v>0.0</v>
      </c>
      <c r="CJ75" s="14">
        <f>IF(AND(CJ$5-$A75&gt;=0,CJ$5-$A75&lt;=19),INDEX(HU_ord,CJ$5-$A75+1)*$B75,0)</f>
        <v>0.0</v>
      </c>
      <c r="CK75" s="14">
        <f>IF(AND(CK$5-$A75&gt;=0,CK$5-$A75&lt;=19),INDEX(HU_ord,CK$5-$A75+1)*$B75,0)</f>
        <v>0.0</v>
      </c>
      <c r="CL75" s="14">
        <f>IF(AND(CL$5-$A75&gt;=0,CL$5-$A75&lt;=19),INDEX(HU_ord,CL$5-$A75+1)*$B75,0)</f>
        <v>0.0</v>
      </c>
      <c r="CM75" s="14">
        <f>IF(AND(CM$5-$A75&gt;=0,CM$5-$A75&lt;=19),INDEX(HU_ord,CM$5-$A75+1)*$B75,0)</f>
        <v>0.0</v>
      </c>
      <c r="CN75" s="14">
        <f>IF(AND(CN$5-$A75&gt;=0,CN$5-$A75&lt;=19),INDEX(HU_ord,CN$5-$A75+1)*$B75,0)</f>
        <v>0.0</v>
      </c>
      <c r="CO75" s="14">
        <f>IF(AND(CO$5-$A75&gt;=0,CO$5-$A75&lt;=19),INDEX(HU_ord,CO$5-$A75+1)*$B75,0)</f>
        <v>0.0</v>
      </c>
      <c r="CP75" s="14">
        <f>IF(AND(CP$5-$A75&gt;=0,CP$5-$A75&lt;=19),INDEX(HU_ord,CP$5-$A75+1)*$B75,0)</f>
        <v>0.0</v>
      </c>
      <c r="CQ75" s="14">
        <f>IF(AND(CQ$5-$A75&gt;=0,CQ$5-$A75&lt;=19),INDEX(HU_ord,CQ$5-$A75+1)*$B75,0)</f>
        <v>0.0</v>
      </c>
      <c r="CR75" s="14">
        <f>IF(AND(CR$5-$A75&gt;=0,CR$5-$A75&lt;=19),INDEX(HU_ord,CR$5-$A75+1)*$B75,0)</f>
        <v>0.0</v>
      </c>
      <c r="CS75" s="14">
        <f>IF(AND(CS$5-$A75&gt;=0,CS$5-$A75&lt;=19),INDEX(HU_ord,CS$5-$A75+1)*$B75,0)</f>
        <v>0.0</v>
      </c>
      <c r="CT75" s="14">
        <f>IF(AND(CT$5-$A75&gt;=0,CT$5-$A75&lt;=19),INDEX(HU_ord,CT$5-$A75+1)*$B75,0)</f>
        <v>0.0</v>
      </c>
      <c r="CU75" s="14">
        <f>IF(AND(CU$5-$A75&gt;=0,CU$5-$A75&lt;=19),INDEX(HU_ord,CU$5-$A75+1)*$B75,0)</f>
        <v>0.0</v>
      </c>
      <c r="CV75" s="14">
        <f>IF(AND(CV$5-$A75&gt;=0,CV$5-$A75&lt;=19),INDEX(HU_ord,CV$5-$A75+1)*$B75,0)</f>
        <v>0.0</v>
      </c>
      <c r="CW75" s="14">
        <f>IF(AND(CW$5-$A75&gt;=0,CW$5-$A75&lt;=19),INDEX(HU_ord,CW$5-$A75+1)*$B75,0)</f>
        <v>0.0</v>
      </c>
      <c r="CX75" s="14">
        <f>IF(AND(CX$5-$A75&gt;=0,CX$5-$A75&lt;=19),INDEX(HU_ord,CX$5-$A75+1)*$B75,0)</f>
        <v>0.0</v>
      </c>
      <c r="CY75" s="14">
        <f>IF(AND(CY$5-$A75&gt;=0,CY$5-$A75&lt;=19),INDEX(HU_ord,CY$5-$A75+1)*$B75,0)</f>
        <v>0.0</v>
      </c>
      <c r="CZ75" s="14">
        <f>IF(AND(CZ$5-$A75&gt;=0,CZ$5-$A75&lt;=19),INDEX(HU_ord,CZ$5-$A75+1)*$B75,0)</f>
        <v>0.0</v>
      </c>
      <c r="DA75" s="14">
        <f>IF(AND(DA$5-$A75&gt;=0,DA$5-$A75&lt;=19),INDEX(HU_ord,DA$5-$A75+1)*$B75,0)</f>
        <v>0.0</v>
      </c>
      <c r="DB75" s="14">
        <f>IF(AND(DB$5-$A75&gt;=0,DB$5-$A75&lt;=19),INDEX(HU_ord,DB$5-$A75+1)*$B75,0)</f>
        <v>0.0</v>
      </c>
      <c r="DC75" s="14">
        <f>IF(AND(DC$5-$A75&gt;=0,DC$5-$A75&lt;=19),INDEX(HU_ord,DC$5-$A75+1)*$B75,0)</f>
        <v>0.0</v>
      </c>
      <c r="DD75" s="14">
        <f>IF(AND(DD$5-$A75&gt;=0,DD$5-$A75&lt;=19),INDEX(HU_ord,DD$5-$A75+1)*$B75,0)</f>
        <v>0.0</v>
      </c>
      <c r="DE75" s="14">
        <f>IF(AND(DE$5-$A75&gt;=0,DE$5-$A75&lt;=19),INDEX(HU_ord,DE$5-$A75+1)*$B75,0)</f>
        <v>0.0</v>
      </c>
      <c r="DF75" s="14">
        <f>IF(AND(DF$5-$A75&gt;=0,DF$5-$A75&lt;=19),INDEX(HU_ord,DF$5-$A75+1)*$B75,0)</f>
        <v>0.0</v>
      </c>
      <c r="DG75" s="14">
        <f>IF(AND(DG$5-$A75&gt;=0,DG$5-$A75&lt;=19),INDEX(HU_ord,DG$5-$A75+1)*$B75,0)</f>
        <v>0.0</v>
      </c>
      <c r="DH75" s="14">
        <f>IF(AND(DH$5-$A75&gt;=0,DH$5-$A75&lt;=19),INDEX(HU_ord,DH$5-$A75+1)*$B75,0)</f>
        <v>0.0</v>
      </c>
      <c r="DI75" s="14">
        <f>IF(AND(DI$5-$A75&gt;=0,DI$5-$A75&lt;=19),INDEX(HU_ord,DI$5-$A75+1)*$B75,0)</f>
        <v>0.0</v>
      </c>
    </row>
    <row r="76" spans="1:113">
      <c r="A76">
        <v>70</v>
      </c>
      <c r="B76" s="10">
        <f>Serie_horaria!N72</f>
        <v>0.0</v>
      </c>
      <c r="C76" s="14">
        <f>IF(AND(C$5-$A76&gt;=0,C$5-$A76&lt;=19),INDEX(HU_ord,C$5-$A76+1)*$B76,0)</f>
        <v>0.0</v>
      </c>
      <c r="D76" s="14">
        <f>IF(AND(D$5-$A76&gt;=0,D$5-$A76&lt;=19),INDEX(HU_ord,D$5-$A76+1)*$B76,0)</f>
        <v>0.0</v>
      </c>
      <c r="E76" s="14">
        <f>IF(AND(E$5-$A76&gt;=0,E$5-$A76&lt;=19),INDEX(HU_ord,E$5-$A76+1)*$B76,0)</f>
        <v>0.0</v>
      </c>
      <c r="F76" s="14">
        <f>IF(AND(F$5-$A76&gt;=0,F$5-$A76&lt;=19),INDEX(HU_ord,F$5-$A76+1)*$B76,0)</f>
        <v>0.0</v>
      </c>
      <c r="G76" s="14">
        <f>IF(AND(G$5-$A76&gt;=0,G$5-$A76&lt;=19),INDEX(HU_ord,G$5-$A76+1)*$B76,0)</f>
        <v>0.0</v>
      </c>
      <c r="H76" s="14">
        <f>IF(AND(H$5-$A76&gt;=0,H$5-$A76&lt;=19),INDEX(HU_ord,H$5-$A76+1)*$B76,0)</f>
        <v>0.0</v>
      </c>
      <c r="I76" s="14">
        <f>IF(AND(I$5-$A76&gt;=0,I$5-$A76&lt;=19),INDEX(HU_ord,I$5-$A76+1)*$B76,0)</f>
        <v>0.0</v>
      </c>
      <c r="J76" s="14">
        <f>IF(AND(J$5-$A76&gt;=0,J$5-$A76&lt;=19),INDEX(HU_ord,J$5-$A76+1)*$B76,0)</f>
        <v>0.0</v>
      </c>
      <c r="K76" s="14">
        <f>IF(AND(K$5-$A76&gt;=0,K$5-$A76&lt;=19),INDEX(HU_ord,K$5-$A76+1)*$B76,0)</f>
        <v>0.0</v>
      </c>
      <c r="L76" s="14">
        <f>IF(AND(L$5-$A76&gt;=0,L$5-$A76&lt;=19),INDEX(HU_ord,L$5-$A76+1)*$B76,0)</f>
        <v>0.0</v>
      </c>
      <c r="M76" s="14">
        <f>IF(AND(M$5-$A76&gt;=0,M$5-$A76&lt;=19),INDEX(HU_ord,M$5-$A76+1)*$B76,0)</f>
        <v>0.0</v>
      </c>
      <c r="N76" s="14">
        <f>IF(AND(N$5-$A76&gt;=0,N$5-$A76&lt;=19),INDEX(HU_ord,N$5-$A76+1)*$B76,0)</f>
        <v>0.0</v>
      </c>
      <c r="O76" s="14">
        <f>IF(AND(O$5-$A76&gt;=0,O$5-$A76&lt;=19),INDEX(HU_ord,O$5-$A76+1)*$B76,0)</f>
        <v>0.0</v>
      </c>
      <c r="P76" s="14">
        <f>IF(AND(P$5-$A76&gt;=0,P$5-$A76&lt;=19),INDEX(HU_ord,P$5-$A76+1)*$B76,0)</f>
        <v>0.0</v>
      </c>
      <c r="Q76" s="14">
        <f>IF(AND(Q$5-$A76&gt;=0,Q$5-$A76&lt;=19),INDEX(HU_ord,Q$5-$A76+1)*$B76,0)</f>
        <v>0.0</v>
      </c>
      <c r="R76" s="14">
        <f>IF(AND(R$5-$A76&gt;=0,R$5-$A76&lt;=19),INDEX(HU_ord,R$5-$A76+1)*$B76,0)</f>
        <v>0.0</v>
      </c>
      <c r="S76" s="14">
        <f>IF(AND(S$5-$A76&gt;=0,S$5-$A76&lt;=19),INDEX(HU_ord,S$5-$A76+1)*$B76,0)</f>
        <v>0.0</v>
      </c>
      <c r="T76" s="14">
        <f>IF(AND(T$5-$A76&gt;=0,T$5-$A76&lt;=19),INDEX(HU_ord,T$5-$A76+1)*$B76,0)</f>
        <v>0.0</v>
      </c>
      <c r="U76" s="14">
        <f>IF(AND(U$5-$A76&gt;=0,U$5-$A76&lt;=19),INDEX(HU_ord,U$5-$A76+1)*$B76,0)</f>
        <v>0.0</v>
      </c>
      <c r="V76" s="14">
        <f>IF(AND(V$5-$A76&gt;=0,V$5-$A76&lt;=19),INDEX(HU_ord,V$5-$A76+1)*$B76,0)</f>
        <v>0.0</v>
      </c>
      <c r="W76" s="14">
        <f>IF(AND(W$5-$A76&gt;=0,W$5-$A76&lt;=19),INDEX(HU_ord,W$5-$A76+1)*$B76,0)</f>
        <v>0.0</v>
      </c>
      <c r="X76" s="14">
        <f>IF(AND(X$5-$A76&gt;=0,X$5-$A76&lt;=19),INDEX(HU_ord,X$5-$A76+1)*$B76,0)</f>
        <v>0.0</v>
      </c>
      <c r="Y76" s="14">
        <f>IF(AND(Y$5-$A76&gt;=0,Y$5-$A76&lt;=19),INDEX(HU_ord,Y$5-$A76+1)*$B76,0)</f>
        <v>0.0</v>
      </c>
      <c r="Z76" s="14">
        <f>IF(AND(Z$5-$A76&gt;=0,Z$5-$A76&lt;=19),INDEX(HU_ord,Z$5-$A76+1)*$B76,0)</f>
        <v>0.0</v>
      </c>
      <c r="AA76" s="14">
        <f>IF(AND(AA$5-$A76&gt;=0,AA$5-$A76&lt;=19),INDEX(HU_ord,AA$5-$A76+1)*$B76,0)</f>
        <v>0.0</v>
      </c>
      <c r="AB76" s="14">
        <f>IF(AND(AB$5-$A76&gt;=0,AB$5-$A76&lt;=19),INDEX(HU_ord,AB$5-$A76+1)*$B76,0)</f>
        <v>0.0</v>
      </c>
      <c r="AC76" s="14">
        <f>IF(AND(AC$5-$A76&gt;=0,AC$5-$A76&lt;=19),INDEX(HU_ord,AC$5-$A76+1)*$B76,0)</f>
        <v>0.0</v>
      </c>
      <c r="AD76" s="14">
        <f>IF(AND(AD$5-$A76&gt;=0,AD$5-$A76&lt;=19),INDEX(HU_ord,AD$5-$A76+1)*$B76,0)</f>
        <v>0.0</v>
      </c>
      <c r="AE76" s="14">
        <f>IF(AND(AE$5-$A76&gt;=0,AE$5-$A76&lt;=19),INDEX(HU_ord,AE$5-$A76+1)*$B76,0)</f>
        <v>0.0</v>
      </c>
      <c r="AF76" s="14">
        <f>IF(AND(AF$5-$A76&gt;=0,AF$5-$A76&lt;=19),INDEX(HU_ord,AF$5-$A76+1)*$B76,0)</f>
        <v>0.0</v>
      </c>
      <c r="AG76" s="14">
        <f>IF(AND(AG$5-$A76&gt;=0,AG$5-$A76&lt;=19),INDEX(HU_ord,AG$5-$A76+1)*$B76,0)</f>
        <v>0.0</v>
      </c>
      <c r="AH76" s="14">
        <f>IF(AND(AH$5-$A76&gt;=0,AH$5-$A76&lt;=19),INDEX(HU_ord,AH$5-$A76+1)*$B76,0)</f>
        <v>0.0</v>
      </c>
      <c r="AI76" s="14">
        <f>IF(AND(AI$5-$A76&gt;=0,AI$5-$A76&lt;=19),INDEX(HU_ord,AI$5-$A76+1)*$B76,0)</f>
        <v>0.0</v>
      </c>
      <c r="AJ76" s="14">
        <f>IF(AND(AJ$5-$A76&gt;=0,AJ$5-$A76&lt;=19),INDEX(HU_ord,AJ$5-$A76+1)*$B76,0)</f>
        <v>0.0</v>
      </c>
      <c r="AK76" s="14">
        <f>IF(AND(AK$5-$A76&gt;=0,AK$5-$A76&lt;=19),INDEX(HU_ord,AK$5-$A76+1)*$B76,0)</f>
        <v>0.0</v>
      </c>
      <c r="AL76" s="14">
        <f>IF(AND(AL$5-$A76&gt;=0,AL$5-$A76&lt;=19),INDEX(HU_ord,AL$5-$A76+1)*$B76,0)</f>
        <v>0.0</v>
      </c>
      <c r="AM76" s="14">
        <f>IF(AND(AM$5-$A76&gt;=0,AM$5-$A76&lt;=19),INDEX(HU_ord,AM$5-$A76+1)*$B76,0)</f>
        <v>0.0</v>
      </c>
      <c r="AN76" s="14">
        <f>IF(AND(AN$5-$A76&gt;=0,AN$5-$A76&lt;=19),INDEX(HU_ord,AN$5-$A76+1)*$B76,0)</f>
        <v>0.0</v>
      </c>
      <c r="AO76" s="14">
        <f>IF(AND(AO$5-$A76&gt;=0,AO$5-$A76&lt;=19),INDEX(HU_ord,AO$5-$A76+1)*$B76,0)</f>
        <v>0.0</v>
      </c>
      <c r="AP76" s="14">
        <f>IF(AND(AP$5-$A76&gt;=0,AP$5-$A76&lt;=19),INDEX(HU_ord,AP$5-$A76+1)*$B76,0)</f>
        <v>0.0</v>
      </c>
      <c r="AQ76" s="14">
        <f>IF(AND(AQ$5-$A76&gt;=0,AQ$5-$A76&lt;=19),INDEX(HU_ord,AQ$5-$A76+1)*$B76,0)</f>
        <v>0.0</v>
      </c>
      <c r="AR76" s="14">
        <f>IF(AND(AR$5-$A76&gt;=0,AR$5-$A76&lt;=19),INDEX(HU_ord,AR$5-$A76+1)*$B76,0)</f>
        <v>0.0</v>
      </c>
      <c r="AS76" s="14">
        <f>IF(AND(AS$5-$A76&gt;=0,AS$5-$A76&lt;=19),INDEX(HU_ord,AS$5-$A76+1)*$B76,0)</f>
        <v>0.0</v>
      </c>
      <c r="AT76" s="14">
        <f>IF(AND(AT$5-$A76&gt;=0,AT$5-$A76&lt;=19),INDEX(HU_ord,AT$5-$A76+1)*$B76,0)</f>
        <v>0.0</v>
      </c>
      <c r="AU76" s="14">
        <f>IF(AND(AU$5-$A76&gt;=0,AU$5-$A76&lt;=19),INDEX(HU_ord,AU$5-$A76+1)*$B76,0)</f>
        <v>0.0</v>
      </c>
      <c r="AV76" s="14">
        <f>IF(AND(AV$5-$A76&gt;=0,AV$5-$A76&lt;=19),INDEX(HU_ord,AV$5-$A76+1)*$B76,0)</f>
        <v>0.0</v>
      </c>
      <c r="AW76" s="14">
        <f>IF(AND(AW$5-$A76&gt;=0,AW$5-$A76&lt;=19),INDEX(HU_ord,AW$5-$A76+1)*$B76,0)</f>
        <v>0.0</v>
      </c>
      <c r="AX76" s="14">
        <f>IF(AND(AX$5-$A76&gt;=0,AX$5-$A76&lt;=19),INDEX(HU_ord,AX$5-$A76+1)*$B76,0)</f>
        <v>0.0</v>
      </c>
      <c r="AY76" s="14">
        <f>IF(AND(AY$5-$A76&gt;=0,AY$5-$A76&lt;=19),INDEX(HU_ord,AY$5-$A76+1)*$B76,0)</f>
        <v>0.0</v>
      </c>
      <c r="AZ76" s="14">
        <f>IF(AND(AZ$5-$A76&gt;=0,AZ$5-$A76&lt;=19),INDEX(HU_ord,AZ$5-$A76+1)*$B76,0)</f>
        <v>0.0</v>
      </c>
      <c r="BA76" s="14">
        <f>IF(AND(BA$5-$A76&gt;=0,BA$5-$A76&lt;=19),INDEX(HU_ord,BA$5-$A76+1)*$B76,0)</f>
        <v>0.0</v>
      </c>
      <c r="BB76" s="14">
        <f>IF(AND(BB$5-$A76&gt;=0,BB$5-$A76&lt;=19),INDEX(HU_ord,BB$5-$A76+1)*$B76,0)</f>
        <v>0.0</v>
      </c>
      <c r="BC76" s="14">
        <f>IF(AND(BC$5-$A76&gt;=0,BC$5-$A76&lt;=19),INDEX(HU_ord,BC$5-$A76+1)*$B76,0)</f>
        <v>0.0</v>
      </c>
      <c r="BD76" s="14">
        <f>IF(AND(BD$5-$A76&gt;=0,BD$5-$A76&lt;=19),INDEX(HU_ord,BD$5-$A76+1)*$B76,0)</f>
        <v>0.0</v>
      </c>
      <c r="BE76" s="14">
        <f>IF(AND(BE$5-$A76&gt;=0,BE$5-$A76&lt;=19),INDEX(HU_ord,BE$5-$A76+1)*$B76,0)</f>
        <v>0.0</v>
      </c>
      <c r="BF76" s="14">
        <f>IF(AND(BF$5-$A76&gt;=0,BF$5-$A76&lt;=19),INDEX(HU_ord,BF$5-$A76+1)*$B76,0)</f>
        <v>0.0</v>
      </c>
      <c r="BG76" s="14">
        <f>IF(AND(BG$5-$A76&gt;=0,BG$5-$A76&lt;=19),INDEX(HU_ord,BG$5-$A76+1)*$B76,0)</f>
        <v>0.0</v>
      </c>
      <c r="BH76" s="14">
        <f>IF(AND(BH$5-$A76&gt;=0,BH$5-$A76&lt;=19),INDEX(HU_ord,BH$5-$A76+1)*$B76,0)</f>
        <v>0.0</v>
      </c>
      <c r="BI76" s="14">
        <f>IF(AND(BI$5-$A76&gt;=0,BI$5-$A76&lt;=19),INDEX(HU_ord,BI$5-$A76+1)*$B76,0)</f>
        <v>0.0</v>
      </c>
      <c r="BJ76" s="14">
        <f>IF(AND(BJ$5-$A76&gt;=0,BJ$5-$A76&lt;=19),INDEX(HU_ord,BJ$5-$A76+1)*$B76,0)</f>
        <v>0.0</v>
      </c>
      <c r="BK76" s="14">
        <f>IF(AND(BK$5-$A76&gt;=0,BK$5-$A76&lt;=19),INDEX(HU_ord,BK$5-$A76+1)*$B76,0)</f>
        <v>0.0</v>
      </c>
      <c r="BL76" s="14">
        <f>IF(AND(BL$5-$A76&gt;=0,BL$5-$A76&lt;=19),INDEX(HU_ord,BL$5-$A76+1)*$B76,0)</f>
        <v>0.0</v>
      </c>
      <c r="BM76" s="14">
        <f>IF(AND(BM$5-$A76&gt;=0,BM$5-$A76&lt;=19),INDEX(HU_ord,BM$5-$A76+1)*$B76,0)</f>
        <v>0.0</v>
      </c>
      <c r="BN76" s="14">
        <f>IF(AND(BN$5-$A76&gt;=0,BN$5-$A76&lt;=19),INDEX(HU_ord,BN$5-$A76+1)*$B76,0)</f>
        <v>0.0</v>
      </c>
      <c r="BO76" s="14">
        <f>IF(AND(BO$5-$A76&gt;=0,BO$5-$A76&lt;=19),INDEX(HU_ord,BO$5-$A76+1)*$B76,0)</f>
        <v>0.0</v>
      </c>
      <c r="BP76" s="14">
        <f>IF(AND(BP$5-$A76&gt;=0,BP$5-$A76&lt;=19),INDEX(HU_ord,BP$5-$A76+1)*$B76,0)</f>
        <v>0.0</v>
      </c>
      <c r="BQ76" s="14">
        <f>IF(AND(BQ$5-$A76&gt;=0,BQ$5-$A76&lt;=19),INDEX(HU_ord,BQ$5-$A76+1)*$B76,0)</f>
        <v>0.0</v>
      </c>
      <c r="BR76" s="14">
        <f>IF(AND(BR$5-$A76&gt;=0,BR$5-$A76&lt;=19),INDEX(HU_ord,BR$5-$A76+1)*$B76,0)</f>
        <v>0.0</v>
      </c>
      <c r="BS76" s="14">
        <f>IF(AND(BS$5-$A76&gt;=0,BS$5-$A76&lt;=19),INDEX(HU_ord,BS$5-$A76+1)*$B76,0)</f>
        <v>0.0</v>
      </c>
      <c r="BT76" s="14">
        <f>IF(AND(BT$5-$A76&gt;=0,BT$5-$A76&lt;=19),INDEX(HU_ord,BT$5-$A76+1)*$B76,0)</f>
        <v>0.0</v>
      </c>
      <c r="BU76" s="14">
        <f>IF(AND(BU$5-$A76&gt;=0,BU$5-$A76&lt;=19),INDEX(HU_ord,BU$5-$A76+1)*$B76,0)</f>
        <v>0.0</v>
      </c>
      <c r="BV76" s="14">
        <f>IF(AND(BV$5-$A76&gt;=0,BV$5-$A76&lt;=19),INDEX(HU_ord,BV$5-$A76+1)*$B76,0)</f>
        <v>0.0</v>
      </c>
      <c r="BW76" s="14">
        <f>IF(AND(BW$5-$A76&gt;=0,BW$5-$A76&lt;=19),INDEX(HU_ord,BW$5-$A76+1)*$B76,0)</f>
        <v>0.0</v>
      </c>
      <c r="BX76" s="14">
        <f>IF(AND(BX$5-$A76&gt;=0,BX$5-$A76&lt;=19),INDEX(HU_ord,BX$5-$A76+1)*$B76,0)</f>
        <v>0.0</v>
      </c>
      <c r="BY76" s="14">
        <f>IF(AND(BY$5-$A76&gt;=0,BY$5-$A76&lt;=19),INDEX(HU_ord,BY$5-$A76+1)*$B76,0)</f>
        <v>0.0</v>
      </c>
      <c r="BZ76" s="14">
        <f>IF(AND(BZ$5-$A76&gt;=0,BZ$5-$A76&lt;=19),INDEX(HU_ord,BZ$5-$A76+1)*$B76,0)</f>
        <v>0.0</v>
      </c>
      <c r="CA76" s="14">
        <f>IF(AND(CA$5-$A76&gt;=0,CA$5-$A76&lt;=19),INDEX(HU_ord,CA$5-$A76+1)*$B76,0)</f>
        <v>0.0</v>
      </c>
      <c r="CB76" s="14">
        <f>IF(AND(CB$5-$A76&gt;=0,CB$5-$A76&lt;=19),INDEX(HU_ord,CB$5-$A76+1)*$B76,0)</f>
        <v>0.0</v>
      </c>
      <c r="CC76" s="14">
        <f>IF(AND(CC$5-$A76&gt;=0,CC$5-$A76&lt;=19),INDEX(HU_ord,CC$5-$A76+1)*$B76,0)</f>
        <v>0.0</v>
      </c>
      <c r="CD76" s="14">
        <f>IF(AND(CD$5-$A76&gt;=0,CD$5-$A76&lt;=19),INDEX(HU_ord,CD$5-$A76+1)*$B76,0)</f>
        <v>0.0</v>
      </c>
      <c r="CE76" s="14">
        <f>IF(AND(CE$5-$A76&gt;=0,CE$5-$A76&lt;=19),INDEX(HU_ord,CE$5-$A76+1)*$B76,0)</f>
        <v>0.0</v>
      </c>
      <c r="CF76" s="14">
        <f>IF(AND(CF$5-$A76&gt;=0,CF$5-$A76&lt;=19),INDEX(HU_ord,CF$5-$A76+1)*$B76,0)</f>
        <v>0.0</v>
      </c>
      <c r="CG76" s="14">
        <f>IF(AND(CG$5-$A76&gt;=0,CG$5-$A76&lt;=19),INDEX(HU_ord,CG$5-$A76+1)*$B76,0)</f>
        <v>0.0</v>
      </c>
      <c r="CH76" s="14">
        <f>IF(AND(CH$5-$A76&gt;=0,CH$5-$A76&lt;=19),INDEX(HU_ord,CH$5-$A76+1)*$B76,0)</f>
        <v>0.0</v>
      </c>
      <c r="CI76" s="14">
        <f>IF(AND(CI$5-$A76&gt;=0,CI$5-$A76&lt;=19),INDEX(HU_ord,CI$5-$A76+1)*$B76,0)</f>
        <v>0.0</v>
      </c>
      <c r="CJ76" s="14">
        <f>IF(AND(CJ$5-$A76&gt;=0,CJ$5-$A76&lt;=19),INDEX(HU_ord,CJ$5-$A76+1)*$B76,0)</f>
        <v>0.0</v>
      </c>
      <c r="CK76" s="14">
        <f>IF(AND(CK$5-$A76&gt;=0,CK$5-$A76&lt;=19),INDEX(HU_ord,CK$5-$A76+1)*$B76,0)</f>
        <v>0.0</v>
      </c>
      <c r="CL76" s="14">
        <f>IF(AND(CL$5-$A76&gt;=0,CL$5-$A76&lt;=19),INDEX(HU_ord,CL$5-$A76+1)*$B76,0)</f>
        <v>0.0</v>
      </c>
      <c r="CM76" s="14">
        <f>IF(AND(CM$5-$A76&gt;=0,CM$5-$A76&lt;=19),INDEX(HU_ord,CM$5-$A76+1)*$B76,0)</f>
        <v>0.0</v>
      </c>
      <c r="CN76" s="14">
        <f>IF(AND(CN$5-$A76&gt;=0,CN$5-$A76&lt;=19),INDEX(HU_ord,CN$5-$A76+1)*$B76,0)</f>
        <v>0.0</v>
      </c>
      <c r="CO76" s="14">
        <f>IF(AND(CO$5-$A76&gt;=0,CO$5-$A76&lt;=19),INDEX(HU_ord,CO$5-$A76+1)*$B76,0)</f>
        <v>0.0</v>
      </c>
      <c r="CP76" s="14">
        <f>IF(AND(CP$5-$A76&gt;=0,CP$5-$A76&lt;=19),INDEX(HU_ord,CP$5-$A76+1)*$B76,0)</f>
        <v>0.0</v>
      </c>
      <c r="CQ76" s="14">
        <f>IF(AND(CQ$5-$A76&gt;=0,CQ$5-$A76&lt;=19),INDEX(HU_ord,CQ$5-$A76+1)*$B76,0)</f>
        <v>0.0</v>
      </c>
      <c r="CR76" s="14">
        <f>IF(AND(CR$5-$A76&gt;=0,CR$5-$A76&lt;=19),INDEX(HU_ord,CR$5-$A76+1)*$B76,0)</f>
        <v>0.0</v>
      </c>
      <c r="CS76" s="14">
        <f>IF(AND(CS$5-$A76&gt;=0,CS$5-$A76&lt;=19),INDEX(HU_ord,CS$5-$A76+1)*$B76,0)</f>
        <v>0.0</v>
      </c>
      <c r="CT76" s="14">
        <f>IF(AND(CT$5-$A76&gt;=0,CT$5-$A76&lt;=19),INDEX(HU_ord,CT$5-$A76+1)*$B76,0)</f>
        <v>0.0</v>
      </c>
      <c r="CU76" s="14">
        <f>IF(AND(CU$5-$A76&gt;=0,CU$5-$A76&lt;=19),INDEX(HU_ord,CU$5-$A76+1)*$B76,0)</f>
        <v>0.0</v>
      </c>
      <c r="CV76" s="14">
        <f>IF(AND(CV$5-$A76&gt;=0,CV$5-$A76&lt;=19),INDEX(HU_ord,CV$5-$A76+1)*$B76,0)</f>
        <v>0.0</v>
      </c>
      <c r="CW76" s="14">
        <f>IF(AND(CW$5-$A76&gt;=0,CW$5-$A76&lt;=19),INDEX(HU_ord,CW$5-$A76+1)*$B76,0)</f>
        <v>0.0</v>
      </c>
      <c r="CX76" s="14">
        <f>IF(AND(CX$5-$A76&gt;=0,CX$5-$A76&lt;=19),INDEX(HU_ord,CX$5-$A76+1)*$B76,0)</f>
        <v>0.0</v>
      </c>
      <c r="CY76" s="14">
        <f>IF(AND(CY$5-$A76&gt;=0,CY$5-$A76&lt;=19),INDEX(HU_ord,CY$5-$A76+1)*$B76,0)</f>
        <v>0.0</v>
      </c>
      <c r="CZ76" s="14">
        <f>IF(AND(CZ$5-$A76&gt;=0,CZ$5-$A76&lt;=19),INDEX(HU_ord,CZ$5-$A76+1)*$B76,0)</f>
        <v>0.0</v>
      </c>
      <c r="DA76" s="14">
        <f>IF(AND(DA$5-$A76&gt;=0,DA$5-$A76&lt;=19),INDEX(HU_ord,DA$5-$A76+1)*$B76,0)</f>
        <v>0.0</v>
      </c>
      <c r="DB76" s="14">
        <f>IF(AND(DB$5-$A76&gt;=0,DB$5-$A76&lt;=19),INDEX(HU_ord,DB$5-$A76+1)*$B76,0)</f>
        <v>0.0</v>
      </c>
      <c r="DC76" s="14">
        <f>IF(AND(DC$5-$A76&gt;=0,DC$5-$A76&lt;=19),INDEX(HU_ord,DC$5-$A76+1)*$B76,0)</f>
        <v>0.0</v>
      </c>
      <c r="DD76" s="14">
        <f>IF(AND(DD$5-$A76&gt;=0,DD$5-$A76&lt;=19),INDEX(HU_ord,DD$5-$A76+1)*$B76,0)</f>
        <v>0.0</v>
      </c>
      <c r="DE76" s="14">
        <f>IF(AND(DE$5-$A76&gt;=0,DE$5-$A76&lt;=19),INDEX(HU_ord,DE$5-$A76+1)*$B76,0)</f>
        <v>0.0</v>
      </c>
      <c r="DF76" s="14">
        <f>IF(AND(DF$5-$A76&gt;=0,DF$5-$A76&lt;=19),INDEX(HU_ord,DF$5-$A76+1)*$B76,0)</f>
        <v>0.0</v>
      </c>
      <c r="DG76" s="14">
        <f>IF(AND(DG$5-$A76&gt;=0,DG$5-$A76&lt;=19),INDEX(HU_ord,DG$5-$A76+1)*$B76,0)</f>
        <v>0.0</v>
      </c>
      <c r="DH76" s="14">
        <f>IF(AND(DH$5-$A76&gt;=0,DH$5-$A76&lt;=19),INDEX(HU_ord,DH$5-$A76+1)*$B76,0)</f>
        <v>0.0</v>
      </c>
      <c r="DI76" s="14">
        <f>IF(AND(DI$5-$A76&gt;=0,DI$5-$A76&lt;=19),INDEX(HU_ord,DI$5-$A76+1)*$B76,0)</f>
        <v>0.0</v>
      </c>
    </row>
    <row r="77" spans="1:113">
      <c r="A77">
        <v>71</v>
      </c>
      <c r="B77" s="10">
        <f>Serie_horaria!N73</f>
        <v>0.0</v>
      </c>
      <c r="C77" s="14">
        <f>IF(AND(C$5-$A77&gt;=0,C$5-$A77&lt;=19),INDEX(HU_ord,C$5-$A77+1)*$B77,0)</f>
        <v>0.0</v>
      </c>
      <c r="D77" s="14">
        <f>IF(AND(D$5-$A77&gt;=0,D$5-$A77&lt;=19),INDEX(HU_ord,D$5-$A77+1)*$B77,0)</f>
        <v>0.0</v>
      </c>
      <c r="E77" s="14">
        <f>IF(AND(E$5-$A77&gt;=0,E$5-$A77&lt;=19),INDEX(HU_ord,E$5-$A77+1)*$B77,0)</f>
        <v>0.0</v>
      </c>
      <c r="F77" s="14">
        <f>IF(AND(F$5-$A77&gt;=0,F$5-$A77&lt;=19),INDEX(HU_ord,F$5-$A77+1)*$B77,0)</f>
        <v>0.0</v>
      </c>
      <c r="G77" s="14">
        <f>IF(AND(G$5-$A77&gt;=0,G$5-$A77&lt;=19),INDEX(HU_ord,G$5-$A77+1)*$B77,0)</f>
        <v>0.0</v>
      </c>
      <c r="H77" s="14">
        <f>IF(AND(H$5-$A77&gt;=0,H$5-$A77&lt;=19),INDEX(HU_ord,H$5-$A77+1)*$B77,0)</f>
        <v>0.0</v>
      </c>
      <c r="I77" s="14">
        <f>IF(AND(I$5-$A77&gt;=0,I$5-$A77&lt;=19),INDEX(HU_ord,I$5-$A77+1)*$B77,0)</f>
        <v>0.0</v>
      </c>
      <c r="J77" s="14">
        <f>IF(AND(J$5-$A77&gt;=0,J$5-$A77&lt;=19),INDEX(HU_ord,J$5-$A77+1)*$B77,0)</f>
        <v>0.0</v>
      </c>
      <c r="K77" s="14">
        <f>IF(AND(K$5-$A77&gt;=0,K$5-$A77&lt;=19),INDEX(HU_ord,K$5-$A77+1)*$B77,0)</f>
        <v>0.0</v>
      </c>
      <c r="L77" s="14">
        <f>IF(AND(L$5-$A77&gt;=0,L$5-$A77&lt;=19),INDEX(HU_ord,L$5-$A77+1)*$B77,0)</f>
        <v>0.0</v>
      </c>
      <c r="M77" s="14">
        <f>IF(AND(M$5-$A77&gt;=0,M$5-$A77&lt;=19),INDEX(HU_ord,M$5-$A77+1)*$B77,0)</f>
        <v>0.0</v>
      </c>
      <c r="N77" s="14">
        <f>IF(AND(N$5-$A77&gt;=0,N$5-$A77&lt;=19),INDEX(HU_ord,N$5-$A77+1)*$B77,0)</f>
        <v>0.0</v>
      </c>
      <c r="O77" s="14">
        <f>IF(AND(O$5-$A77&gt;=0,O$5-$A77&lt;=19),INDEX(HU_ord,O$5-$A77+1)*$B77,0)</f>
        <v>0.0</v>
      </c>
      <c r="P77" s="14">
        <f>IF(AND(P$5-$A77&gt;=0,P$5-$A77&lt;=19),INDEX(HU_ord,P$5-$A77+1)*$B77,0)</f>
        <v>0.0</v>
      </c>
      <c r="Q77" s="14">
        <f>IF(AND(Q$5-$A77&gt;=0,Q$5-$A77&lt;=19),INDEX(HU_ord,Q$5-$A77+1)*$B77,0)</f>
        <v>0.0</v>
      </c>
      <c r="R77" s="14">
        <f>IF(AND(R$5-$A77&gt;=0,R$5-$A77&lt;=19),INDEX(HU_ord,R$5-$A77+1)*$B77,0)</f>
        <v>0.0</v>
      </c>
      <c r="S77" s="14">
        <f>IF(AND(S$5-$A77&gt;=0,S$5-$A77&lt;=19),INDEX(HU_ord,S$5-$A77+1)*$B77,0)</f>
        <v>0.0</v>
      </c>
      <c r="T77" s="14">
        <f>IF(AND(T$5-$A77&gt;=0,T$5-$A77&lt;=19),INDEX(HU_ord,T$5-$A77+1)*$B77,0)</f>
        <v>0.0</v>
      </c>
      <c r="U77" s="14">
        <f>IF(AND(U$5-$A77&gt;=0,U$5-$A77&lt;=19),INDEX(HU_ord,U$5-$A77+1)*$B77,0)</f>
        <v>0.0</v>
      </c>
      <c r="V77" s="14">
        <f>IF(AND(V$5-$A77&gt;=0,V$5-$A77&lt;=19),INDEX(HU_ord,V$5-$A77+1)*$B77,0)</f>
        <v>0.0</v>
      </c>
      <c r="W77" s="14">
        <f>IF(AND(W$5-$A77&gt;=0,W$5-$A77&lt;=19),INDEX(HU_ord,W$5-$A77+1)*$B77,0)</f>
        <v>0.0</v>
      </c>
      <c r="X77" s="14">
        <f>IF(AND(X$5-$A77&gt;=0,X$5-$A77&lt;=19),INDEX(HU_ord,X$5-$A77+1)*$B77,0)</f>
        <v>0.0</v>
      </c>
      <c r="Y77" s="14">
        <f>IF(AND(Y$5-$A77&gt;=0,Y$5-$A77&lt;=19),INDEX(HU_ord,Y$5-$A77+1)*$B77,0)</f>
        <v>0.0</v>
      </c>
      <c r="Z77" s="14">
        <f>IF(AND(Z$5-$A77&gt;=0,Z$5-$A77&lt;=19),INDEX(HU_ord,Z$5-$A77+1)*$B77,0)</f>
        <v>0.0</v>
      </c>
      <c r="AA77" s="14">
        <f>IF(AND(AA$5-$A77&gt;=0,AA$5-$A77&lt;=19),INDEX(HU_ord,AA$5-$A77+1)*$B77,0)</f>
        <v>0.0</v>
      </c>
      <c r="AB77" s="14">
        <f>IF(AND(AB$5-$A77&gt;=0,AB$5-$A77&lt;=19),INDEX(HU_ord,AB$5-$A77+1)*$B77,0)</f>
        <v>0.0</v>
      </c>
      <c r="AC77" s="14">
        <f>IF(AND(AC$5-$A77&gt;=0,AC$5-$A77&lt;=19),INDEX(HU_ord,AC$5-$A77+1)*$B77,0)</f>
        <v>0.0</v>
      </c>
      <c r="AD77" s="14">
        <f>IF(AND(AD$5-$A77&gt;=0,AD$5-$A77&lt;=19),INDEX(HU_ord,AD$5-$A77+1)*$B77,0)</f>
        <v>0.0</v>
      </c>
      <c r="AE77" s="14">
        <f>IF(AND(AE$5-$A77&gt;=0,AE$5-$A77&lt;=19),INDEX(HU_ord,AE$5-$A77+1)*$B77,0)</f>
        <v>0.0</v>
      </c>
      <c r="AF77" s="14">
        <f>IF(AND(AF$5-$A77&gt;=0,AF$5-$A77&lt;=19),INDEX(HU_ord,AF$5-$A77+1)*$B77,0)</f>
        <v>0.0</v>
      </c>
      <c r="AG77" s="14">
        <f>IF(AND(AG$5-$A77&gt;=0,AG$5-$A77&lt;=19),INDEX(HU_ord,AG$5-$A77+1)*$B77,0)</f>
        <v>0.0</v>
      </c>
      <c r="AH77" s="14">
        <f>IF(AND(AH$5-$A77&gt;=0,AH$5-$A77&lt;=19),INDEX(HU_ord,AH$5-$A77+1)*$B77,0)</f>
        <v>0.0</v>
      </c>
      <c r="AI77" s="14">
        <f>IF(AND(AI$5-$A77&gt;=0,AI$5-$A77&lt;=19),INDEX(HU_ord,AI$5-$A77+1)*$B77,0)</f>
        <v>0.0</v>
      </c>
      <c r="AJ77" s="14">
        <f>IF(AND(AJ$5-$A77&gt;=0,AJ$5-$A77&lt;=19),INDEX(HU_ord,AJ$5-$A77+1)*$B77,0)</f>
        <v>0.0</v>
      </c>
      <c r="AK77" s="14">
        <f>IF(AND(AK$5-$A77&gt;=0,AK$5-$A77&lt;=19),INDEX(HU_ord,AK$5-$A77+1)*$B77,0)</f>
        <v>0.0</v>
      </c>
      <c r="AL77" s="14">
        <f>IF(AND(AL$5-$A77&gt;=0,AL$5-$A77&lt;=19),INDEX(HU_ord,AL$5-$A77+1)*$B77,0)</f>
        <v>0.0</v>
      </c>
      <c r="AM77" s="14">
        <f>IF(AND(AM$5-$A77&gt;=0,AM$5-$A77&lt;=19),INDEX(HU_ord,AM$5-$A77+1)*$B77,0)</f>
        <v>0.0</v>
      </c>
      <c r="AN77" s="14">
        <f>IF(AND(AN$5-$A77&gt;=0,AN$5-$A77&lt;=19),INDEX(HU_ord,AN$5-$A77+1)*$B77,0)</f>
        <v>0.0</v>
      </c>
      <c r="AO77" s="14">
        <f>IF(AND(AO$5-$A77&gt;=0,AO$5-$A77&lt;=19),INDEX(HU_ord,AO$5-$A77+1)*$B77,0)</f>
        <v>0.0</v>
      </c>
      <c r="AP77" s="14">
        <f>IF(AND(AP$5-$A77&gt;=0,AP$5-$A77&lt;=19),INDEX(HU_ord,AP$5-$A77+1)*$B77,0)</f>
        <v>0.0</v>
      </c>
      <c r="AQ77" s="14">
        <f>IF(AND(AQ$5-$A77&gt;=0,AQ$5-$A77&lt;=19),INDEX(HU_ord,AQ$5-$A77+1)*$B77,0)</f>
        <v>0.0</v>
      </c>
      <c r="AR77" s="14">
        <f>IF(AND(AR$5-$A77&gt;=0,AR$5-$A77&lt;=19),INDEX(HU_ord,AR$5-$A77+1)*$B77,0)</f>
        <v>0.0</v>
      </c>
      <c r="AS77" s="14">
        <f>IF(AND(AS$5-$A77&gt;=0,AS$5-$A77&lt;=19),INDEX(HU_ord,AS$5-$A77+1)*$B77,0)</f>
        <v>0.0</v>
      </c>
      <c r="AT77" s="14">
        <f>IF(AND(AT$5-$A77&gt;=0,AT$5-$A77&lt;=19),INDEX(HU_ord,AT$5-$A77+1)*$B77,0)</f>
        <v>0.0</v>
      </c>
      <c r="AU77" s="14">
        <f>IF(AND(AU$5-$A77&gt;=0,AU$5-$A77&lt;=19),INDEX(HU_ord,AU$5-$A77+1)*$B77,0)</f>
        <v>0.0</v>
      </c>
      <c r="AV77" s="14">
        <f>IF(AND(AV$5-$A77&gt;=0,AV$5-$A77&lt;=19),INDEX(HU_ord,AV$5-$A77+1)*$B77,0)</f>
        <v>0.0</v>
      </c>
      <c r="AW77" s="14">
        <f>IF(AND(AW$5-$A77&gt;=0,AW$5-$A77&lt;=19),INDEX(HU_ord,AW$5-$A77+1)*$B77,0)</f>
        <v>0.0</v>
      </c>
      <c r="AX77" s="14">
        <f>IF(AND(AX$5-$A77&gt;=0,AX$5-$A77&lt;=19),INDEX(HU_ord,AX$5-$A77+1)*$B77,0)</f>
        <v>0.0</v>
      </c>
      <c r="AY77" s="14">
        <f>IF(AND(AY$5-$A77&gt;=0,AY$5-$A77&lt;=19),INDEX(HU_ord,AY$5-$A77+1)*$B77,0)</f>
        <v>0.0</v>
      </c>
      <c r="AZ77" s="14">
        <f>IF(AND(AZ$5-$A77&gt;=0,AZ$5-$A77&lt;=19),INDEX(HU_ord,AZ$5-$A77+1)*$B77,0)</f>
        <v>0.0</v>
      </c>
      <c r="BA77" s="14">
        <f>IF(AND(BA$5-$A77&gt;=0,BA$5-$A77&lt;=19),INDEX(HU_ord,BA$5-$A77+1)*$B77,0)</f>
        <v>0.0</v>
      </c>
      <c r="BB77" s="14">
        <f>IF(AND(BB$5-$A77&gt;=0,BB$5-$A77&lt;=19),INDEX(HU_ord,BB$5-$A77+1)*$B77,0)</f>
        <v>0.0</v>
      </c>
      <c r="BC77" s="14">
        <f>IF(AND(BC$5-$A77&gt;=0,BC$5-$A77&lt;=19),INDEX(HU_ord,BC$5-$A77+1)*$B77,0)</f>
        <v>0.0</v>
      </c>
      <c r="BD77" s="14">
        <f>IF(AND(BD$5-$A77&gt;=0,BD$5-$A77&lt;=19),INDEX(HU_ord,BD$5-$A77+1)*$B77,0)</f>
        <v>0.0</v>
      </c>
      <c r="BE77" s="14">
        <f>IF(AND(BE$5-$A77&gt;=0,BE$5-$A77&lt;=19),INDEX(HU_ord,BE$5-$A77+1)*$B77,0)</f>
        <v>0.0</v>
      </c>
      <c r="BF77" s="14">
        <f>IF(AND(BF$5-$A77&gt;=0,BF$5-$A77&lt;=19),INDEX(HU_ord,BF$5-$A77+1)*$B77,0)</f>
        <v>0.0</v>
      </c>
      <c r="BG77" s="14">
        <f>IF(AND(BG$5-$A77&gt;=0,BG$5-$A77&lt;=19),INDEX(HU_ord,BG$5-$A77+1)*$B77,0)</f>
        <v>0.0</v>
      </c>
      <c r="BH77" s="14">
        <f>IF(AND(BH$5-$A77&gt;=0,BH$5-$A77&lt;=19),INDEX(HU_ord,BH$5-$A77+1)*$B77,0)</f>
        <v>0.0</v>
      </c>
      <c r="BI77" s="14">
        <f>IF(AND(BI$5-$A77&gt;=0,BI$5-$A77&lt;=19),INDEX(HU_ord,BI$5-$A77+1)*$B77,0)</f>
        <v>0.0</v>
      </c>
      <c r="BJ77" s="14">
        <f>IF(AND(BJ$5-$A77&gt;=0,BJ$5-$A77&lt;=19),INDEX(HU_ord,BJ$5-$A77+1)*$B77,0)</f>
        <v>0.0</v>
      </c>
      <c r="BK77" s="14">
        <f>IF(AND(BK$5-$A77&gt;=0,BK$5-$A77&lt;=19),INDEX(HU_ord,BK$5-$A77+1)*$B77,0)</f>
        <v>0.0</v>
      </c>
      <c r="BL77" s="14">
        <f>IF(AND(BL$5-$A77&gt;=0,BL$5-$A77&lt;=19),INDEX(HU_ord,BL$5-$A77+1)*$B77,0)</f>
        <v>0.0</v>
      </c>
      <c r="BM77" s="14">
        <f>IF(AND(BM$5-$A77&gt;=0,BM$5-$A77&lt;=19),INDEX(HU_ord,BM$5-$A77+1)*$B77,0)</f>
        <v>0.0</v>
      </c>
      <c r="BN77" s="14">
        <f>IF(AND(BN$5-$A77&gt;=0,BN$5-$A77&lt;=19),INDEX(HU_ord,BN$5-$A77+1)*$B77,0)</f>
        <v>0.0</v>
      </c>
      <c r="BO77" s="14">
        <f>IF(AND(BO$5-$A77&gt;=0,BO$5-$A77&lt;=19),INDEX(HU_ord,BO$5-$A77+1)*$B77,0)</f>
        <v>0.0</v>
      </c>
      <c r="BP77" s="14">
        <f>IF(AND(BP$5-$A77&gt;=0,BP$5-$A77&lt;=19),INDEX(HU_ord,BP$5-$A77+1)*$B77,0)</f>
        <v>0.0</v>
      </c>
      <c r="BQ77" s="14">
        <f>IF(AND(BQ$5-$A77&gt;=0,BQ$5-$A77&lt;=19),INDEX(HU_ord,BQ$5-$A77+1)*$B77,0)</f>
        <v>0.0</v>
      </c>
      <c r="BR77" s="14">
        <f>IF(AND(BR$5-$A77&gt;=0,BR$5-$A77&lt;=19),INDEX(HU_ord,BR$5-$A77+1)*$B77,0)</f>
        <v>0.0</v>
      </c>
      <c r="BS77" s="14">
        <f>IF(AND(BS$5-$A77&gt;=0,BS$5-$A77&lt;=19),INDEX(HU_ord,BS$5-$A77+1)*$B77,0)</f>
        <v>0.0</v>
      </c>
      <c r="BT77" s="14">
        <f>IF(AND(BT$5-$A77&gt;=0,BT$5-$A77&lt;=19),INDEX(HU_ord,BT$5-$A77+1)*$B77,0)</f>
        <v>0.0</v>
      </c>
      <c r="BU77" s="14">
        <f>IF(AND(BU$5-$A77&gt;=0,BU$5-$A77&lt;=19),INDEX(HU_ord,BU$5-$A77+1)*$B77,0)</f>
        <v>0.0</v>
      </c>
      <c r="BV77" s="14">
        <f>IF(AND(BV$5-$A77&gt;=0,BV$5-$A77&lt;=19),INDEX(HU_ord,BV$5-$A77+1)*$B77,0)</f>
        <v>0.0</v>
      </c>
      <c r="BW77" s="14">
        <f>IF(AND(BW$5-$A77&gt;=0,BW$5-$A77&lt;=19),INDEX(HU_ord,BW$5-$A77+1)*$B77,0)</f>
        <v>0.0</v>
      </c>
      <c r="BX77" s="14">
        <f>IF(AND(BX$5-$A77&gt;=0,BX$5-$A77&lt;=19),INDEX(HU_ord,BX$5-$A77+1)*$B77,0)</f>
        <v>0.0</v>
      </c>
      <c r="BY77" s="14">
        <f>IF(AND(BY$5-$A77&gt;=0,BY$5-$A77&lt;=19),INDEX(HU_ord,BY$5-$A77+1)*$B77,0)</f>
        <v>0.0</v>
      </c>
      <c r="BZ77" s="14">
        <f>IF(AND(BZ$5-$A77&gt;=0,BZ$5-$A77&lt;=19),INDEX(HU_ord,BZ$5-$A77+1)*$B77,0)</f>
        <v>0.0</v>
      </c>
      <c r="CA77" s="14">
        <f>IF(AND(CA$5-$A77&gt;=0,CA$5-$A77&lt;=19),INDEX(HU_ord,CA$5-$A77+1)*$B77,0)</f>
        <v>0.0</v>
      </c>
      <c r="CB77" s="14">
        <f>IF(AND(CB$5-$A77&gt;=0,CB$5-$A77&lt;=19),INDEX(HU_ord,CB$5-$A77+1)*$B77,0)</f>
        <v>0.0</v>
      </c>
      <c r="CC77" s="14">
        <f>IF(AND(CC$5-$A77&gt;=0,CC$5-$A77&lt;=19),INDEX(HU_ord,CC$5-$A77+1)*$B77,0)</f>
        <v>0.0</v>
      </c>
      <c r="CD77" s="14">
        <f>IF(AND(CD$5-$A77&gt;=0,CD$5-$A77&lt;=19),INDEX(HU_ord,CD$5-$A77+1)*$B77,0)</f>
        <v>0.0</v>
      </c>
      <c r="CE77" s="14">
        <f>IF(AND(CE$5-$A77&gt;=0,CE$5-$A77&lt;=19),INDEX(HU_ord,CE$5-$A77+1)*$B77,0)</f>
        <v>0.0</v>
      </c>
      <c r="CF77" s="14">
        <f>IF(AND(CF$5-$A77&gt;=0,CF$5-$A77&lt;=19),INDEX(HU_ord,CF$5-$A77+1)*$B77,0)</f>
        <v>0.0</v>
      </c>
      <c r="CG77" s="14">
        <f>IF(AND(CG$5-$A77&gt;=0,CG$5-$A77&lt;=19),INDEX(HU_ord,CG$5-$A77+1)*$B77,0)</f>
        <v>0.0</v>
      </c>
      <c r="CH77" s="14">
        <f>IF(AND(CH$5-$A77&gt;=0,CH$5-$A77&lt;=19),INDEX(HU_ord,CH$5-$A77+1)*$B77,0)</f>
        <v>0.0</v>
      </c>
      <c r="CI77" s="14">
        <f>IF(AND(CI$5-$A77&gt;=0,CI$5-$A77&lt;=19),INDEX(HU_ord,CI$5-$A77+1)*$B77,0)</f>
        <v>0.0</v>
      </c>
      <c r="CJ77" s="14">
        <f>IF(AND(CJ$5-$A77&gt;=0,CJ$5-$A77&lt;=19),INDEX(HU_ord,CJ$5-$A77+1)*$B77,0)</f>
        <v>0.0</v>
      </c>
      <c r="CK77" s="14">
        <f>IF(AND(CK$5-$A77&gt;=0,CK$5-$A77&lt;=19),INDEX(HU_ord,CK$5-$A77+1)*$B77,0)</f>
        <v>0.0</v>
      </c>
      <c r="CL77" s="14">
        <f>IF(AND(CL$5-$A77&gt;=0,CL$5-$A77&lt;=19),INDEX(HU_ord,CL$5-$A77+1)*$B77,0)</f>
        <v>0.0</v>
      </c>
      <c r="CM77" s="14">
        <f>IF(AND(CM$5-$A77&gt;=0,CM$5-$A77&lt;=19),INDEX(HU_ord,CM$5-$A77+1)*$B77,0)</f>
        <v>0.0</v>
      </c>
      <c r="CN77" s="14">
        <f>IF(AND(CN$5-$A77&gt;=0,CN$5-$A77&lt;=19),INDEX(HU_ord,CN$5-$A77+1)*$B77,0)</f>
        <v>0.0</v>
      </c>
      <c r="CO77" s="14">
        <f>IF(AND(CO$5-$A77&gt;=0,CO$5-$A77&lt;=19),INDEX(HU_ord,CO$5-$A77+1)*$B77,0)</f>
        <v>0.0</v>
      </c>
      <c r="CP77" s="14">
        <f>IF(AND(CP$5-$A77&gt;=0,CP$5-$A77&lt;=19),INDEX(HU_ord,CP$5-$A77+1)*$B77,0)</f>
        <v>0.0</v>
      </c>
      <c r="CQ77" s="14">
        <f>IF(AND(CQ$5-$A77&gt;=0,CQ$5-$A77&lt;=19),INDEX(HU_ord,CQ$5-$A77+1)*$B77,0)</f>
        <v>0.0</v>
      </c>
      <c r="CR77" s="14">
        <f>IF(AND(CR$5-$A77&gt;=0,CR$5-$A77&lt;=19),INDEX(HU_ord,CR$5-$A77+1)*$B77,0)</f>
        <v>0.0</v>
      </c>
      <c r="CS77" s="14">
        <f>IF(AND(CS$5-$A77&gt;=0,CS$5-$A77&lt;=19),INDEX(HU_ord,CS$5-$A77+1)*$B77,0)</f>
        <v>0.0</v>
      </c>
      <c r="CT77" s="14">
        <f>IF(AND(CT$5-$A77&gt;=0,CT$5-$A77&lt;=19),INDEX(HU_ord,CT$5-$A77+1)*$B77,0)</f>
        <v>0.0</v>
      </c>
      <c r="CU77" s="14">
        <f>IF(AND(CU$5-$A77&gt;=0,CU$5-$A77&lt;=19),INDEX(HU_ord,CU$5-$A77+1)*$B77,0)</f>
        <v>0.0</v>
      </c>
      <c r="CV77" s="14">
        <f>IF(AND(CV$5-$A77&gt;=0,CV$5-$A77&lt;=19),INDEX(HU_ord,CV$5-$A77+1)*$B77,0)</f>
        <v>0.0</v>
      </c>
      <c r="CW77" s="14">
        <f>IF(AND(CW$5-$A77&gt;=0,CW$5-$A77&lt;=19),INDEX(HU_ord,CW$5-$A77+1)*$B77,0)</f>
        <v>0.0</v>
      </c>
      <c r="CX77" s="14">
        <f>IF(AND(CX$5-$A77&gt;=0,CX$5-$A77&lt;=19),INDEX(HU_ord,CX$5-$A77+1)*$B77,0)</f>
        <v>0.0</v>
      </c>
      <c r="CY77" s="14">
        <f>IF(AND(CY$5-$A77&gt;=0,CY$5-$A77&lt;=19),INDEX(HU_ord,CY$5-$A77+1)*$B77,0)</f>
        <v>0.0</v>
      </c>
      <c r="CZ77" s="14">
        <f>IF(AND(CZ$5-$A77&gt;=0,CZ$5-$A77&lt;=19),INDEX(HU_ord,CZ$5-$A77+1)*$B77,0)</f>
        <v>0.0</v>
      </c>
      <c r="DA77" s="14">
        <f>IF(AND(DA$5-$A77&gt;=0,DA$5-$A77&lt;=19),INDEX(HU_ord,DA$5-$A77+1)*$B77,0)</f>
        <v>0.0</v>
      </c>
      <c r="DB77" s="14">
        <f>IF(AND(DB$5-$A77&gt;=0,DB$5-$A77&lt;=19),INDEX(HU_ord,DB$5-$A77+1)*$B77,0)</f>
        <v>0.0</v>
      </c>
      <c r="DC77" s="14">
        <f>IF(AND(DC$5-$A77&gt;=0,DC$5-$A77&lt;=19),INDEX(HU_ord,DC$5-$A77+1)*$B77,0)</f>
        <v>0.0</v>
      </c>
      <c r="DD77" s="14">
        <f>IF(AND(DD$5-$A77&gt;=0,DD$5-$A77&lt;=19),INDEX(HU_ord,DD$5-$A77+1)*$B77,0)</f>
        <v>0.0</v>
      </c>
      <c r="DE77" s="14">
        <f>IF(AND(DE$5-$A77&gt;=0,DE$5-$A77&lt;=19),INDEX(HU_ord,DE$5-$A77+1)*$B77,0)</f>
        <v>0.0</v>
      </c>
      <c r="DF77" s="14">
        <f>IF(AND(DF$5-$A77&gt;=0,DF$5-$A77&lt;=19),INDEX(HU_ord,DF$5-$A77+1)*$B77,0)</f>
        <v>0.0</v>
      </c>
      <c r="DG77" s="14">
        <f>IF(AND(DG$5-$A77&gt;=0,DG$5-$A77&lt;=19),INDEX(HU_ord,DG$5-$A77+1)*$B77,0)</f>
        <v>0.0</v>
      </c>
      <c r="DH77" s="14">
        <f>IF(AND(DH$5-$A77&gt;=0,DH$5-$A77&lt;=19),INDEX(HU_ord,DH$5-$A77+1)*$B77,0)</f>
        <v>0.0</v>
      </c>
      <c r="DI77" s="14">
        <f>IF(AND(DI$5-$A77&gt;=0,DI$5-$A77&lt;=19),INDEX(HU_ord,DI$5-$A77+1)*$B77,0)</f>
        <v>0.0</v>
      </c>
    </row>
    <row r="78" spans="1:113">
      <c r="A78">
        <v>72</v>
      </c>
      <c r="B78" s="10">
        <f>Serie_horaria!N74</f>
        <v>0.0</v>
      </c>
      <c r="C78" s="14">
        <f>IF(AND(C$5-$A78&gt;=0,C$5-$A78&lt;=19),INDEX(HU_ord,C$5-$A78+1)*$B78,0)</f>
        <v>0.0</v>
      </c>
      <c r="D78" s="14">
        <f>IF(AND(D$5-$A78&gt;=0,D$5-$A78&lt;=19),INDEX(HU_ord,D$5-$A78+1)*$B78,0)</f>
        <v>0.0</v>
      </c>
      <c r="E78" s="14">
        <f>IF(AND(E$5-$A78&gt;=0,E$5-$A78&lt;=19),INDEX(HU_ord,E$5-$A78+1)*$B78,0)</f>
        <v>0.0</v>
      </c>
      <c r="F78" s="14">
        <f>IF(AND(F$5-$A78&gt;=0,F$5-$A78&lt;=19),INDEX(HU_ord,F$5-$A78+1)*$B78,0)</f>
        <v>0.0</v>
      </c>
      <c r="G78" s="14">
        <f>IF(AND(G$5-$A78&gt;=0,G$5-$A78&lt;=19),INDEX(HU_ord,G$5-$A78+1)*$B78,0)</f>
        <v>0.0</v>
      </c>
      <c r="H78" s="14">
        <f>IF(AND(H$5-$A78&gt;=0,H$5-$A78&lt;=19),INDEX(HU_ord,H$5-$A78+1)*$B78,0)</f>
        <v>0.0</v>
      </c>
      <c r="I78" s="14">
        <f>IF(AND(I$5-$A78&gt;=0,I$5-$A78&lt;=19),INDEX(HU_ord,I$5-$A78+1)*$B78,0)</f>
        <v>0.0</v>
      </c>
      <c r="J78" s="14">
        <f>IF(AND(J$5-$A78&gt;=0,J$5-$A78&lt;=19),INDEX(HU_ord,J$5-$A78+1)*$B78,0)</f>
        <v>0.0</v>
      </c>
      <c r="K78" s="14">
        <f>IF(AND(K$5-$A78&gt;=0,K$5-$A78&lt;=19),INDEX(HU_ord,K$5-$A78+1)*$B78,0)</f>
        <v>0.0</v>
      </c>
      <c r="L78" s="14">
        <f>IF(AND(L$5-$A78&gt;=0,L$5-$A78&lt;=19),INDEX(HU_ord,L$5-$A78+1)*$B78,0)</f>
        <v>0.0</v>
      </c>
      <c r="M78" s="14">
        <f>IF(AND(M$5-$A78&gt;=0,M$5-$A78&lt;=19),INDEX(HU_ord,M$5-$A78+1)*$B78,0)</f>
        <v>0.0</v>
      </c>
      <c r="N78" s="14">
        <f>IF(AND(N$5-$A78&gt;=0,N$5-$A78&lt;=19),INDEX(HU_ord,N$5-$A78+1)*$B78,0)</f>
        <v>0.0</v>
      </c>
      <c r="O78" s="14">
        <f>IF(AND(O$5-$A78&gt;=0,O$5-$A78&lt;=19),INDEX(HU_ord,O$5-$A78+1)*$B78,0)</f>
        <v>0.0</v>
      </c>
      <c r="P78" s="14">
        <f>IF(AND(P$5-$A78&gt;=0,P$5-$A78&lt;=19),INDEX(HU_ord,P$5-$A78+1)*$B78,0)</f>
        <v>0.0</v>
      </c>
      <c r="Q78" s="14">
        <f>IF(AND(Q$5-$A78&gt;=0,Q$5-$A78&lt;=19),INDEX(HU_ord,Q$5-$A78+1)*$B78,0)</f>
        <v>0.0</v>
      </c>
      <c r="R78" s="14">
        <f>IF(AND(R$5-$A78&gt;=0,R$5-$A78&lt;=19),INDEX(HU_ord,R$5-$A78+1)*$B78,0)</f>
        <v>0.0</v>
      </c>
      <c r="S78" s="14">
        <f>IF(AND(S$5-$A78&gt;=0,S$5-$A78&lt;=19),INDEX(HU_ord,S$5-$A78+1)*$B78,0)</f>
        <v>0.0</v>
      </c>
      <c r="T78" s="14">
        <f>IF(AND(T$5-$A78&gt;=0,T$5-$A78&lt;=19),INDEX(HU_ord,T$5-$A78+1)*$B78,0)</f>
        <v>0.0</v>
      </c>
      <c r="U78" s="14">
        <f>IF(AND(U$5-$A78&gt;=0,U$5-$A78&lt;=19),INDEX(HU_ord,U$5-$A78+1)*$B78,0)</f>
        <v>0.0</v>
      </c>
      <c r="V78" s="14">
        <f>IF(AND(V$5-$A78&gt;=0,V$5-$A78&lt;=19),INDEX(HU_ord,V$5-$A78+1)*$B78,0)</f>
        <v>0.0</v>
      </c>
      <c r="W78" s="14">
        <f>IF(AND(W$5-$A78&gt;=0,W$5-$A78&lt;=19),INDEX(HU_ord,W$5-$A78+1)*$B78,0)</f>
        <v>0.0</v>
      </c>
      <c r="X78" s="14">
        <f>IF(AND(X$5-$A78&gt;=0,X$5-$A78&lt;=19),INDEX(HU_ord,X$5-$A78+1)*$B78,0)</f>
        <v>0.0</v>
      </c>
      <c r="Y78" s="14">
        <f>IF(AND(Y$5-$A78&gt;=0,Y$5-$A78&lt;=19),INDEX(HU_ord,Y$5-$A78+1)*$B78,0)</f>
        <v>0.0</v>
      </c>
      <c r="Z78" s="14">
        <f>IF(AND(Z$5-$A78&gt;=0,Z$5-$A78&lt;=19),INDEX(HU_ord,Z$5-$A78+1)*$B78,0)</f>
        <v>0.0</v>
      </c>
      <c r="AA78" s="14">
        <f>IF(AND(AA$5-$A78&gt;=0,AA$5-$A78&lt;=19),INDEX(HU_ord,AA$5-$A78+1)*$B78,0)</f>
        <v>0.0</v>
      </c>
      <c r="AB78" s="14">
        <f>IF(AND(AB$5-$A78&gt;=0,AB$5-$A78&lt;=19),INDEX(HU_ord,AB$5-$A78+1)*$B78,0)</f>
        <v>0.0</v>
      </c>
      <c r="AC78" s="14">
        <f>IF(AND(AC$5-$A78&gt;=0,AC$5-$A78&lt;=19),INDEX(HU_ord,AC$5-$A78+1)*$B78,0)</f>
        <v>0.0</v>
      </c>
      <c r="AD78" s="14">
        <f>IF(AND(AD$5-$A78&gt;=0,AD$5-$A78&lt;=19),INDEX(HU_ord,AD$5-$A78+1)*$B78,0)</f>
        <v>0.0</v>
      </c>
      <c r="AE78" s="14">
        <f>IF(AND(AE$5-$A78&gt;=0,AE$5-$A78&lt;=19),INDEX(HU_ord,AE$5-$A78+1)*$B78,0)</f>
        <v>0.0</v>
      </c>
      <c r="AF78" s="14">
        <f>IF(AND(AF$5-$A78&gt;=0,AF$5-$A78&lt;=19),INDEX(HU_ord,AF$5-$A78+1)*$B78,0)</f>
        <v>0.0</v>
      </c>
      <c r="AG78" s="14">
        <f>IF(AND(AG$5-$A78&gt;=0,AG$5-$A78&lt;=19),INDEX(HU_ord,AG$5-$A78+1)*$B78,0)</f>
        <v>0.0</v>
      </c>
      <c r="AH78" s="14">
        <f>IF(AND(AH$5-$A78&gt;=0,AH$5-$A78&lt;=19),INDEX(HU_ord,AH$5-$A78+1)*$B78,0)</f>
        <v>0.0</v>
      </c>
      <c r="AI78" s="14">
        <f>IF(AND(AI$5-$A78&gt;=0,AI$5-$A78&lt;=19),INDEX(HU_ord,AI$5-$A78+1)*$B78,0)</f>
        <v>0.0</v>
      </c>
      <c r="AJ78" s="14">
        <f>IF(AND(AJ$5-$A78&gt;=0,AJ$5-$A78&lt;=19),INDEX(HU_ord,AJ$5-$A78+1)*$B78,0)</f>
        <v>0.0</v>
      </c>
      <c r="AK78" s="14">
        <f>IF(AND(AK$5-$A78&gt;=0,AK$5-$A78&lt;=19),INDEX(HU_ord,AK$5-$A78+1)*$B78,0)</f>
        <v>0.0</v>
      </c>
      <c r="AL78" s="14">
        <f>IF(AND(AL$5-$A78&gt;=0,AL$5-$A78&lt;=19),INDEX(HU_ord,AL$5-$A78+1)*$B78,0)</f>
        <v>0.0</v>
      </c>
      <c r="AM78" s="14">
        <f>IF(AND(AM$5-$A78&gt;=0,AM$5-$A78&lt;=19),INDEX(HU_ord,AM$5-$A78+1)*$B78,0)</f>
        <v>0.0</v>
      </c>
      <c r="AN78" s="14">
        <f>IF(AND(AN$5-$A78&gt;=0,AN$5-$A78&lt;=19),INDEX(HU_ord,AN$5-$A78+1)*$B78,0)</f>
        <v>0.0</v>
      </c>
      <c r="AO78" s="14">
        <f>IF(AND(AO$5-$A78&gt;=0,AO$5-$A78&lt;=19),INDEX(HU_ord,AO$5-$A78+1)*$B78,0)</f>
        <v>0.0</v>
      </c>
      <c r="AP78" s="14">
        <f>IF(AND(AP$5-$A78&gt;=0,AP$5-$A78&lt;=19),INDEX(HU_ord,AP$5-$A78+1)*$B78,0)</f>
        <v>0.0</v>
      </c>
      <c r="AQ78" s="14">
        <f>IF(AND(AQ$5-$A78&gt;=0,AQ$5-$A78&lt;=19),INDEX(HU_ord,AQ$5-$A78+1)*$B78,0)</f>
        <v>0.0</v>
      </c>
      <c r="AR78" s="14">
        <f>IF(AND(AR$5-$A78&gt;=0,AR$5-$A78&lt;=19),INDEX(HU_ord,AR$5-$A78+1)*$B78,0)</f>
        <v>0.0</v>
      </c>
      <c r="AS78" s="14">
        <f>IF(AND(AS$5-$A78&gt;=0,AS$5-$A78&lt;=19),INDEX(HU_ord,AS$5-$A78+1)*$B78,0)</f>
        <v>0.0</v>
      </c>
      <c r="AT78" s="14">
        <f>IF(AND(AT$5-$A78&gt;=0,AT$5-$A78&lt;=19),INDEX(HU_ord,AT$5-$A78+1)*$B78,0)</f>
        <v>0.0</v>
      </c>
      <c r="AU78" s="14">
        <f>IF(AND(AU$5-$A78&gt;=0,AU$5-$A78&lt;=19),INDEX(HU_ord,AU$5-$A78+1)*$B78,0)</f>
        <v>0.0</v>
      </c>
      <c r="AV78" s="14">
        <f>IF(AND(AV$5-$A78&gt;=0,AV$5-$A78&lt;=19),INDEX(HU_ord,AV$5-$A78+1)*$B78,0)</f>
        <v>0.0</v>
      </c>
      <c r="AW78" s="14">
        <f>IF(AND(AW$5-$A78&gt;=0,AW$5-$A78&lt;=19),INDEX(HU_ord,AW$5-$A78+1)*$B78,0)</f>
        <v>0.0</v>
      </c>
      <c r="AX78" s="14">
        <f>IF(AND(AX$5-$A78&gt;=0,AX$5-$A78&lt;=19),INDEX(HU_ord,AX$5-$A78+1)*$B78,0)</f>
        <v>0.0</v>
      </c>
      <c r="AY78" s="14">
        <f>IF(AND(AY$5-$A78&gt;=0,AY$5-$A78&lt;=19),INDEX(HU_ord,AY$5-$A78+1)*$B78,0)</f>
        <v>0.0</v>
      </c>
      <c r="AZ78" s="14">
        <f>IF(AND(AZ$5-$A78&gt;=0,AZ$5-$A78&lt;=19),INDEX(HU_ord,AZ$5-$A78+1)*$B78,0)</f>
        <v>0.0</v>
      </c>
      <c r="BA78" s="14">
        <f>IF(AND(BA$5-$A78&gt;=0,BA$5-$A78&lt;=19),INDEX(HU_ord,BA$5-$A78+1)*$B78,0)</f>
        <v>0.0</v>
      </c>
      <c r="BB78" s="14">
        <f>IF(AND(BB$5-$A78&gt;=0,BB$5-$A78&lt;=19),INDEX(HU_ord,BB$5-$A78+1)*$B78,0)</f>
        <v>0.0</v>
      </c>
      <c r="BC78" s="14">
        <f>IF(AND(BC$5-$A78&gt;=0,BC$5-$A78&lt;=19),INDEX(HU_ord,BC$5-$A78+1)*$B78,0)</f>
        <v>0.0</v>
      </c>
      <c r="BD78" s="14">
        <f>IF(AND(BD$5-$A78&gt;=0,BD$5-$A78&lt;=19),INDEX(HU_ord,BD$5-$A78+1)*$B78,0)</f>
        <v>0.0</v>
      </c>
      <c r="BE78" s="14">
        <f>IF(AND(BE$5-$A78&gt;=0,BE$5-$A78&lt;=19),INDEX(HU_ord,BE$5-$A78+1)*$B78,0)</f>
        <v>0.0</v>
      </c>
      <c r="BF78" s="14">
        <f>IF(AND(BF$5-$A78&gt;=0,BF$5-$A78&lt;=19),INDEX(HU_ord,BF$5-$A78+1)*$B78,0)</f>
        <v>0.0</v>
      </c>
      <c r="BG78" s="14">
        <f>IF(AND(BG$5-$A78&gt;=0,BG$5-$A78&lt;=19),INDEX(HU_ord,BG$5-$A78+1)*$B78,0)</f>
        <v>0.0</v>
      </c>
      <c r="BH78" s="14">
        <f>IF(AND(BH$5-$A78&gt;=0,BH$5-$A78&lt;=19),INDEX(HU_ord,BH$5-$A78+1)*$B78,0)</f>
        <v>0.0</v>
      </c>
      <c r="BI78" s="14">
        <f>IF(AND(BI$5-$A78&gt;=0,BI$5-$A78&lt;=19),INDEX(HU_ord,BI$5-$A78+1)*$B78,0)</f>
        <v>0.0</v>
      </c>
      <c r="BJ78" s="14">
        <f>IF(AND(BJ$5-$A78&gt;=0,BJ$5-$A78&lt;=19),INDEX(HU_ord,BJ$5-$A78+1)*$B78,0)</f>
        <v>0.0</v>
      </c>
      <c r="BK78" s="14">
        <f>IF(AND(BK$5-$A78&gt;=0,BK$5-$A78&lt;=19),INDEX(HU_ord,BK$5-$A78+1)*$B78,0)</f>
        <v>0.0</v>
      </c>
      <c r="BL78" s="14">
        <f>IF(AND(BL$5-$A78&gt;=0,BL$5-$A78&lt;=19),INDEX(HU_ord,BL$5-$A78+1)*$B78,0)</f>
        <v>0.0</v>
      </c>
      <c r="BM78" s="14">
        <f>IF(AND(BM$5-$A78&gt;=0,BM$5-$A78&lt;=19),INDEX(HU_ord,BM$5-$A78+1)*$B78,0)</f>
        <v>0.0</v>
      </c>
      <c r="BN78" s="14">
        <f>IF(AND(BN$5-$A78&gt;=0,BN$5-$A78&lt;=19),INDEX(HU_ord,BN$5-$A78+1)*$B78,0)</f>
        <v>0.0</v>
      </c>
      <c r="BO78" s="14">
        <f>IF(AND(BO$5-$A78&gt;=0,BO$5-$A78&lt;=19),INDEX(HU_ord,BO$5-$A78+1)*$B78,0)</f>
        <v>0.0</v>
      </c>
      <c r="BP78" s="14">
        <f>IF(AND(BP$5-$A78&gt;=0,BP$5-$A78&lt;=19),INDEX(HU_ord,BP$5-$A78+1)*$B78,0)</f>
        <v>0.0</v>
      </c>
      <c r="BQ78" s="14">
        <f>IF(AND(BQ$5-$A78&gt;=0,BQ$5-$A78&lt;=19),INDEX(HU_ord,BQ$5-$A78+1)*$B78,0)</f>
        <v>0.0</v>
      </c>
      <c r="BR78" s="14">
        <f>IF(AND(BR$5-$A78&gt;=0,BR$5-$A78&lt;=19),INDEX(HU_ord,BR$5-$A78+1)*$B78,0)</f>
        <v>0.0</v>
      </c>
      <c r="BS78" s="14">
        <f>IF(AND(BS$5-$A78&gt;=0,BS$5-$A78&lt;=19),INDEX(HU_ord,BS$5-$A78+1)*$B78,0)</f>
        <v>0.0</v>
      </c>
      <c r="BT78" s="14">
        <f>IF(AND(BT$5-$A78&gt;=0,BT$5-$A78&lt;=19),INDEX(HU_ord,BT$5-$A78+1)*$B78,0)</f>
        <v>0.0</v>
      </c>
      <c r="BU78" s="14">
        <f>IF(AND(BU$5-$A78&gt;=0,BU$5-$A78&lt;=19),INDEX(HU_ord,BU$5-$A78+1)*$B78,0)</f>
        <v>0.0</v>
      </c>
      <c r="BV78" s="14">
        <f>IF(AND(BV$5-$A78&gt;=0,BV$5-$A78&lt;=19),INDEX(HU_ord,BV$5-$A78+1)*$B78,0)</f>
        <v>0.0</v>
      </c>
      <c r="BW78" s="14">
        <f>IF(AND(BW$5-$A78&gt;=0,BW$5-$A78&lt;=19),INDEX(HU_ord,BW$5-$A78+1)*$B78,0)</f>
        <v>0.0</v>
      </c>
      <c r="BX78" s="14">
        <f>IF(AND(BX$5-$A78&gt;=0,BX$5-$A78&lt;=19),INDEX(HU_ord,BX$5-$A78+1)*$B78,0)</f>
        <v>0.0</v>
      </c>
      <c r="BY78" s="14">
        <f>IF(AND(BY$5-$A78&gt;=0,BY$5-$A78&lt;=19),INDEX(HU_ord,BY$5-$A78+1)*$B78,0)</f>
        <v>0.0</v>
      </c>
      <c r="BZ78" s="14">
        <f>IF(AND(BZ$5-$A78&gt;=0,BZ$5-$A78&lt;=19),INDEX(HU_ord,BZ$5-$A78+1)*$B78,0)</f>
        <v>0.0</v>
      </c>
      <c r="CA78" s="14">
        <f>IF(AND(CA$5-$A78&gt;=0,CA$5-$A78&lt;=19),INDEX(HU_ord,CA$5-$A78+1)*$B78,0)</f>
        <v>0.0</v>
      </c>
      <c r="CB78" s="14">
        <f>IF(AND(CB$5-$A78&gt;=0,CB$5-$A78&lt;=19),INDEX(HU_ord,CB$5-$A78+1)*$B78,0)</f>
        <v>0.0</v>
      </c>
      <c r="CC78" s="14">
        <f>IF(AND(CC$5-$A78&gt;=0,CC$5-$A78&lt;=19),INDEX(HU_ord,CC$5-$A78+1)*$B78,0)</f>
        <v>0.0</v>
      </c>
      <c r="CD78" s="14">
        <f>IF(AND(CD$5-$A78&gt;=0,CD$5-$A78&lt;=19),INDEX(HU_ord,CD$5-$A78+1)*$B78,0)</f>
        <v>0.0</v>
      </c>
      <c r="CE78" s="14">
        <f>IF(AND(CE$5-$A78&gt;=0,CE$5-$A78&lt;=19),INDEX(HU_ord,CE$5-$A78+1)*$B78,0)</f>
        <v>0.0</v>
      </c>
      <c r="CF78" s="14">
        <f>IF(AND(CF$5-$A78&gt;=0,CF$5-$A78&lt;=19),INDEX(HU_ord,CF$5-$A78+1)*$B78,0)</f>
        <v>0.0</v>
      </c>
      <c r="CG78" s="14">
        <f>IF(AND(CG$5-$A78&gt;=0,CG$5-$A78&lt;=19),INDEX(HU_ord,CG$5-$A78+1)*$B78,0)</f>
        <v>0.0</v>
      </c>
      <c r="CH78" s="14">
        <f>IF(AND(CH$5-$A78&gt;=0,CH$5-$A78&lt;=19),INDEX(HU_ord,CH$5-$A78+1)*$B78,0)</f>
        <v>0.0</v>
      </c>
      <c r="CI78" s="14">
        <f>IF(AND(CI$5-$A78&gt;=0,CI$5-$A78&lt;=19),INDEX(HU_ord,CI$5-$A78+1)*$B78,0)</f>
        <v>0.0</v>
      </c>
      <c r="CJ78" s="14">
        <f>IF(AND(CJ$5-$A78&gt;=0,CJ$5-$A78&lt;=19),INDEX(HU_ord,CJ$5-$A78+1)*$B78,0)</f>
        <v>0.0</v>
      </c>
      <c r="CK78" s="14">
        <f>IF(AND(CK$5-$A78&gt;=0,CK$5-$A78&lt;=19),INDEX(HU_ord,CK$5-$A78+1)*$B78,0)</f>
        <v>0.0</v>
      </c>
      <c r="CL78" s="14">
        <f>IF(AND(CL$5-$A78&gt;=0,CL$5-$A78&lt;=19),INDEX(HU_ord,CL$5-$A78+1)*$B78,0)</f>
        <v>0.0</v>
      </c>
      <c r="CM78" s="14">
        <f>IF(AND(CM$5-$A78&gt;=0,CM$5-$A78&lt;=19),INDEX(HU_ord,CM$5-$A78+1)*$B78,0)</f>
        <v>0.0</v>
      </c>
      <c r="CN78" s="14">
        <f>IF(AND(CN$5-$A78&gt;=0,CN$5-$A78&lt;=19),INDEX(HU_ord,CN$5-$A78+1)*$B78,0)</f>
        <v>0.0</v>
      </c>
      <c r="CO78" s="14">
        <f>IF(AND(CO$5-$A78&gt;=0,CO$5-$A78&lt;=19),INDEX(HU_ord,CO$5-$A78+1)*$B78,0)</f>
        <v>0.0</v>
      </c>
      <c r="CP78" s="14">
        <f>IF(AND(CP$5-$A78&gt;=0,CP$5-$A78&lt;=19),INDEX(HU_ord,CP$5-$A78+1)*$B78,0)</f>
        <v>0.0</v>
      </c>
      <c r="CQ78" s="14">
        <f>IF(AND(CQ$5-$A78&gt;=0,CQ$5-$A78&lt;=19),INDEX(HU_ord,CQ$5-$A78+1)*$B78,0)</f>
        <v>0.0</v>
      </c>
      <c r="CR78" s="14">
        <f>IF(AND(CR$5-$A78&gt;=0,CR$5-$A78&lt;=19),INDEX(HU_ord,CR$5-$A78+1)*$B78,0)</f>
        <v>0.0</v>
      </c>
      <c r="CS78" s="14">
        <f>IF(AND(CS$5-$A78&gt;=0,CS$5-$A78&lt;=19),INDEX(HU_ord,CS$5-$A78+1)*$B78,0)</f>
        <v>0.0</v>
      </c>
      <c r="CT78" s="14">
        <f>IF(AND(CT$5-$A78&gt;=0,CT$5-$A78&lt;=19),INDEX(HU_ord,CT$5-$A78+1)*$B78,0)</f>
        <v>0.0</v>
      </c>
      <c r="CU78" s="14">
        <f>IF(AND(CU$5-$A78&gt;=0,CU$5-$A78&lt;=19),INDEX(HU_ord,CU$5-$A78+1)*$B78,0)</f>
        <v>0.0</v>
      </c>
      <c r="CV78" s="14">
        <f>IF(AND(CV$5-$A78&gt;=0,CV$5-$A78&lt;=19),INDEX(HU_ord,CV$5-$A78+1)*$B78,0)</f>
        <v>0.0</v>
      </c>
      <c r="CW78" s="14">
        <f>IF(AND(CW$5-$A78&gt;=0,CW$5-$A78&lt;=19),INDEX(HU_ord,CW$5-$A78+1)*$B78,0)</f>
        <v>0.0</v>
      </c>
      <c r="CX78" s="14">
        <f>IF(AND(CX$5-$A78&gt;=0,CX$5-$A78&lt;=19),INDEX(HU_ord,CX$5-$A78+1)*$B78,0)</f>
        <v>0.0</v>
      </c>
      <c r="CY78" s="14">
        <f>IF(AND(CY$5-$A78&gt;=0,CY$5-$A78&lt;=19),INDEX(HU_ord,CY$5-$A78+1)*$B78,0)</f>
        <v>0.0</v>
      </c>
      <c r="CZ78" s="14">
        <f>IF(AND(CZ$5-$A78&gt;=0,CZ$5-$A78&lt;=19),INDEX(HU_ord,CZ$5-$A78+1)*$B78,0)</f>
        <v>0.0</v>
      </c>
      <c r="DA78" s="14">
        <f>IF(AND(DA$5-$A78&gt;=0,DA$5-$A78&lt;=19),INDEX(HU_ord,DA$5-$A78+1)*$B78,0)</f>
        <v>0.0</v>
      </c>
      <c r="DB78" s="14">
        <f>IF(AND(DB$5-$A78&gt;=0,DB$5-$A78&lt;=19),INDEX(HU_ord,DB$5-$A78+1)*$B78,0)</f>
        <v>0.0</v>
      </c>
      <c r="DC78" s="14">
        <f>IF(AND(DC$5-$A78&gt;=0,DC$5-$A78&lt;=19),INDEX(HU_ord,DC$5-$A78+1)*$B78,0)</f>
        <v>0.0</v>
      </c>
      <c r="DD78" s="14">
        <f>IF(AND(DD$5-$A78&gt;=0,DD$5-$A78&lt;=19),INDEX(HU_ord,DD$5-$A78+1)*$B78,0)</f>
        <v>0.0</v>
      </c>
      <c r="DE78" s="14">
        <f>IF(AND(DE$5-$A78&gt;=0,DE$5-$A78&lt;=19),INDEX(HU_ord,DE$5-$A78+1)*$B78,0)</f>
        <v>0.0</v>
      </c>
      <c r="DF78" s="14">
        <f>IF(AND(DF$5-$A78&gt;=0,DF$5-$A78&lt;=19),INDEX(HU_ord,DF$5-$A78+1)*$B78,0)</f>
        <v>0.0</v>
      </c>
      <c r="DG78" s="14">
        <f>IF(AND(DG$5-$A78&gt;=0,DG$5-$A78&lt;=19),INDEX(HU_ord,DG$5-$A78+1)*$B78,0)</f>
        <v>0.0</v>
      </c>
      <c r="DH78" s="14">
        <f>IF(AND(DH$5-$A78&gt;=0,DH$5-$A78&lt;=19),INDEX(HU_ord,DH$5-$A78+1)*$B78,0)</f>
        <v>0.0</v>
      </c>
      <c r="DI78" s="14">
        <f>IF(AND(DI$5-$A78&gt;=0,DI$5-$A78&lt;=19),INDEX(HU_ord,DI$5-$A78+1)*$B78,0)</f>
        <v>0.0</v>
      </c>
    </row>
    <row r="79" spans="1:113">
      <c r="A79">
        <v>73</v>
      </c>
      <c r="B79" s="10">
        <f>Serie_horaria!N75</f>
        <v>0.0</v>
      </c>
      <c r="C79" s="14">
        <f>IF(AND(C$5-$A79&gt;=0,C$5-$A79&lt;=19),INDEX(HU_ord,C$5-$A79+1)*$B79,0)</f>
        <v>0.0</v>
      </c>
      <c r="D79" s="14">
        <f>IF(AND(D$5-$A79&gt;=0,D$5-$A79&lt;=19),INDEX(HU_ord,D$5-$A79+1)*$B79,0)</f>
        <v>0.0</v>
      </c>
      <c r="E79" s="14">
        <f>IF(AND(E$5-$A79&gt;=0,E$5-$A79&lt;=19),INDEX(HU_ord,E$5-$A79+1)*$B79,0)</f>
        <v>0.0</v>
      </c>
      <c r="F79" s="14">
        <f>IF(AND(F$5-$A79&gt;=0,F$5-$A79&lt;=19),INDEX(HU_ord,F$5-$A79+1)*$B79,0)</f>
        <v>0.0</v>
      </c>
      <c r="G79" s="14">
        <f>IF(AND(G$5-$A79&gt;=0,G$5-$A79&lt;=19),INDEX(HU_ord,G$5-$A79+1)*$B79,0)</f>
        <v>0.0</v>
      </c>
      <c r="H79" s="14">
        <f>IF(AND(H$5-$A79&gt;=0,H$5-$A79&lt;=19),INDEX(HU_ord,H$5-$A79+1)*$B79,0)</f>
        <v>0.0</v>
      </c>
      <c r="I79" s="14">
        <f>IF(AND(I$5-$A79&gt;=0,I$5-$A79&lt;=19),INDEX(HU_ord,I$5-$A79+1)*$B79,0)</f>
        <v>0.0</v>
      </c>
      <c r="J79" s="14">
        <f>IF(AND(J$5-$A79&gt;=0,J$5-$A79&lt;=19),INDEX(HU_ord,J$5-$A79+1)*$B79,0)</f>
        <v>0.0</v>
      </c>
      <c r="K79" s="14">
        <f>IF(AND(K$5-$A79&gt;=0,K$5-$A79&lt;=19),INDEX(HU_ord,K$5-$A79+1)*$B79,0)</f>
        <v>0.0</v>
      </c>
      <c r="L79" s="14">
        <f>IF(AND(L$5-$A79&gt;=0,L$5-$A79&lt;=19),INDEX(HU_ord,L$5-$A79+1)*$B79,0)</f>
        <v>0.0</v>
      </c>
      <c r="M79" s="14">
        <f>IF(AND(M$5-$A79&gt;=0,M$5-$A79&lt;=19),INDEX(HU_ord,M$5-$A79+1)*$B79,0)</f>
        <v>0.0</v>
      </c>
      <c r="N79" s="14">
        <f>IF(AND(N$5-$A79&gt;=0,N$5-$A79&lt;=19),INDEX(HU_ord,N$5-$A79+1)*$B79,0)</f>
        <v>0.0</v>
      </c>
      <c r="O79" s="14">
        <f>IF(AND(O$5-$A79&gt;=0,O$5-$A79&lt;=19),INDEX(HU_ord,O$5-$A79+1)*$B79,0)</f>
        <v>0.0</v>
      </c>
      <c r="P79" s="14">
        <f>IF(AND(P$5-$A79&gt;=0,P$5-$A79&lt;=19),INDEX(HU_ord,P$5-$A79+1)*$B79,0)</f>
        <v>0.0</v>
      </c>
      <c r="Q79" s="14">
        <f>IF(AND(Q$5-$A79&gt;=0,Q$5-$A79&lt;=19),INDEX(HU_ord,Q$5-$A79+1)*$B79,0)</f>
        <v>0.0</v>
      </c>
      <c r="R79" s="14">
        <f>IF(AND(R$5-$A79&gt;=0,R$5-$A79&lt;=19),INDEX(HU_ord,R$5-$A79+1)*$B79,0)</f>
        <v>0.0</v>
      </c>
      <c r="S79" s="14">
        <f>IF(AND(S$5-$A79&gt;=0,S$5-$A79&lt;=19),INDEX(HU_ord,S$5-$A79+1)*$B79,0)</f>
        <v>0.0</v>
      </c>
      <c r="T79" s="14">
        <f>IF(AND(T$5-$A79&gt;=0,T$5-$A79&lt;=19),INDEX(HU_ord,T$5-$A79+1)*$B79,0)</f>
        <v>0.0</v>
      </c>
      <c r="U79" s="14">
        <f>IF(AND(U$5-$A79&gt;=0,U$5-$A79&lt;=19),INDEX(HU_ord,U$5-$A79+1)*$B79,0)</f>
        <v>0.0</v>
      </c>
      <c r="V79" s="14">
        <f>IF(AND(V$5-$A79&gt;=0,V$5-$A79&lt;=19),INDEX(HU_ord,V$5-$A79+1)*$B79,0)</f>
        <v>0.0</v>
      </c>
      <c r="W79" s="14">
        <f>IF(AND(W$5-$A79&gt;=0,W$5-$A79&lt;=19),INDEX(HU_ord,W$5-$A79+1)*$B79,0)</f>
        <v>0.0</v>
      </c>
      <c r="X79" s="14">
        <f>IF(AND(X$5-$A79&gt;=0,X$5-$A79&lt;=19),INDEX(HU_ord,X$5-$A79+1)*$B79,0)</f>
        <v>0.0</v>
      </c>
      <c r="Y79" s="14">
        <f>IF(AND(Y$5-$A79&gt;=0,Y$5-$A79&lt;=19),INDEX(HU_ord,Y$5-$A79+1)*$B79,0)</f>
        <v>0.0</v>
      </c>
      <c r="Z79" s="14">
        <f>IF(AND(Z$5-$A79&gt;=0,Z$5-$A79&lt;=19),INDEX(HU_ord,Z$5-$A79+1)*$B79,0)</f>
        <v>0.0</v>
      </c>
      <c r="AA79" s="14">
        <f>IF(AND(AA$5-$A79&gt;=0,AA$5-$A79&lt;=19),INDEX(HU_ord,AA$5-$A79+1)*$B79,0)</f>
        <v>0.0</v>
      </c>
      <c r="AB79" s="14">
        <f>IF(AND(AB$5-$A79&gt;=0,AB$5-$A79&lt;=19),INDEX(HU_ord,AB$5-$A79+1)*$B79,0)</f>
        <v>0.0</v>
      </c>
      <c r="AC79" s="14">
        <f>IF(AND(AC$5-$A79&gt;=0,AC$5-$A79&lt;=19),INDEX(HU_ord,AC$5-$A79+1)*$B79,0)</f>
        <v>0.0</v>
      </c>
      <c r="AD79" s="14">
        <f>IF(AND(AD$5-$A79&gt;=0,AD$5-$A79&lt;=19),INDEX(HU_ord,AD$5-$A79+1)*$B79,0)</f>
        <v>0.0</v>
      </c>
      <c r="AE79" s="14">
        <f>IF(AND(AE$5-$A79&gt;=0,AE$5-$A79&lt;=19),INDEX(HU_ord,AE$5-$A79+1)*$B79,0)</f>
        <v>0.0</v>
      </c>
      <c r="AF79" s="14">
        <f>IF(AND(AF$5-$A79&gt;=0,AF$5-$A79&lt;=19),INDEX(HU_ord,AF$5-$A79+1)*$B79,0)</f>
        <v>0.0</v>
      </c>
      <c r="AG79" s="14">
        <f>IF(AND(AG$5-$A79&gt;=0,AG$5-$A79&lt;=19),INDEX(HU_ord,AG$5-$A79+1)*$B79,0)</f>
        <v>0.0</v>
      </c>
      <c r="AH79" s="14">
        <f>IF(AND(AH$5-$A79&gt;=0,AH$5-$A79&lt;=19),INDEX(HU_ord,AH$5-$A79+1)*$B79,0)</f>
        <v>0.0</v>
      </c>
      <c r="AI79" s="14">
        <f>IF(AND(AI$5-$A79&gt;=0,AI$5-$A79&lt;=19),INDEX(HU_ord,AI$5-$A79+1)*$B79,0)</f>
        <v>0.0</v>
      </c>
      <c r="AJ79" s="14">
        <f>IF(AND(AJ$5-$A79&gt;=0,AJ$5-$A79&lt;=19),INDEX(HU_ord,AJ$5-$A79+1)*$B79,0)</f>
        <v>0.0</v>
      </c>
      <c r="AK79" s="14">
        <f>IF(AND(AK$5-$A79&gt;=0,AK$5-$A79&lt;=19),INDEX(HU_ord,AK$5-$A79+1)*$B79,0)</f>
        <v>0.0</v>
      </c>
      <c r="AL79" s="14">
        <f>IF(AND(AL$5-$A79&gt;=0,AL$5-$A79&lt;=19),INDEX(HU_ord,AL$5-$A79+1)*$B79,0)</f>
        <v>0.0</v>
      </c>
      <c r="AM79" s="14">
        <f>IF(AND(AM$5-$A79&gt;=0,AM$5-$A79&lt;=19),INDEX(HU_ord,AM$5-$A79+1)*$B79,0)</f>
        <v>0.0</v>
      </c>
      <c r="AN79" s="14">
        <f>IF(AND(AN$5-$A79&gt;=0,AN$5-$A79&lt;=19),INDEX(HU_ord,AN$5-$A79+1)*$B79,0)</f>
        <v>0.0</v>
      </c>
      <c r="AO79" s="14">
        <f>IF(AND(AO$5-$A79&gt;=0,AO$5-$A79&lt;=19),INDEX(HU_ord,AO$5-$A79+1)*$B79,0)</f>
        <v>0.0</v>
      </c>
      <c r="AP79" s="14">
        <f>IF(AND(AP$5-$A79&gt;=0,AP$5-$A79&lt;=19),INDEX(HU_ord,AP$5-$A79+1)*$B79,0)</f>
        <v>0.0</v>
      </c>
      <c r="AQ79" s="14">
        <f>IF(AND(AQ$5-$A79&gt;=0,AQ$5-$A79&lt;=19),INDEX(HU_ord,AQ$5-$A79+1)*$B79,0)</f>
        <v>0.0</v>
      </c>
      <c r="AR79" s="14">
        <f>IF(AND(AR$5-$A79&gt;=0,AR$5-$A79&lt;=19),INDEX(HU_ord,AR$5-$A79+1)*$B79,0)</f>
        <v>0.0</v>
      </c>
      <c r="AS79" s="14">
        <f>IF(AND(AS$5-$A79&gt;=0,AS$5-$A79&lt;=19),INDEX(HU_ord,AS$5-$A79+1)*$B79,0)</f>
        <v>0.0</v>
      </c>
      <c r="AT79" s="14">
        <f>IF(AND(AT$5-$A79&gt;=0,AT$5-$A79&lt;=19),INDEX(HU_ord,AT$5-$A79+1)*$B79,0)</f>
        <v>0.0</v>
      </c>
      <c r="AU79" s="14">
        <f>IF(AND(AU$5-$A79&gt;=0,AU$5-$A79&lt;=19),INDEX(HU_ord,AU$5-$A79+1)*$B79,0)</f>
        <v>0.0</v>
      </c>
      <c r="AV79" s="14">
        <f>IF(AND(AV$5-$A79&gt;=0,AV$5-$A79&lt;=19),INDEX(HU_ord,AV$5-$A79+1)*$B79,0)</f>
        <v>0.0</v>
      </c>
      <c r="AW79" s="14">
        <f>IF(AND(AW$5-$A79&gt;=0,AW$5-$A79&lt;=19),INDEX(HU_ord,AW$5-$A79+1)*$B79,0)</f>
        <v>0.0</v>
      </c>
      <c r="AX79" s="14">
        <f>IF(AND(AX$5-$A79&gt;=0,AX$5-$A79&lt;=19),INDEX(HU_ord,AX$5-$A79+1)*$B79,0)</f>
        <v>0.0</v>
      </c>
      <c r="AY79" s="14">
        <f>IF(AND(AY$5-$A79&gt;=0,AY$5-$A79&lt;=19),INDEX(HU_ord,AY$5-$A79+1)*$B79,0)</f>
        <v>0.0</v>
      </c>
      <c r="AZ79" s="14">
        <f>IF(AND(AZ$5-$A79&gt;=0,AZ$5-$A79&lt;=19),INDEX(HU_ord,AZ$5-$A79+1)*$B79,0)</f>
        <v>0.0</v>
      </c>
      <c r="BA79" s="14">
        <f>IF(AND(BA$5-$A79&gt;=0,BA$5-$A79&lt;=19),INDEX(HU_ord,BA$5-$A79+1)*$B79,0)</f>
        <v>0.0</v>
      </c>
      <c r="BB79" s="14">
        <f>IF(AND(BB$5-$A79&gt;=0,BB$5-$A79&lt;=19),INDEX(HU_ord,BB$5-$A79+1)*$B79,0)</f>
        <v>0.0</v>
      </c>
      <c r="BC79" s="14">
        <f>IF(AND(BC$5-$A79&gt;=0,BC$5-$A79&lt;=19),INDEX(HU_ord,BC$5-$A79+1)*$B79,0)</f>
        <v>0.0</v>
      </c>
      <c r="BD79" s="14">
        <f>IF(AND(BD$5-$A79&gt;=0,BD$5-$A79&lt;=19),INDEX(HU_ord,BD$5-$A79+1)*$B79,0)</f>
        <v>0.0</v>
      </c>
      <c r="BE79" s="14">
        <f>IF(AND(BE$5-$A79&gt;=0,BE$5-$A79&lt;=19),INDEX(HU_ord,BE$5-$A79+1)*$B79,0)</f>
        <v>0.0</v>
      </c>
      <c r="BF79" s="14">
        <f>IF(AND(BF$5-$A79&gt;=0,BF$5-$A79&lt;=19),INDEX(HU_ord,BF$5-$A79+1)*$B79,0)</f>
        <v>0.0</v>
      </c>
      <c r="BG79" s="14">
        <f>IF(AND(BG$5-$A79&gt;=0,BG$5-$A79&lt;=19),INDEX(HU_ord,BG$5-$A79+1)*$B79,0)</f>
        <v>0.0</v>
      </c>
      <c r="BH79" s="14">
        <f>IF(AND(BH$5-$A79&gt;=0,BH$5-$A79&lt;=19),INDEX(HU_ord,BH$5-$A79+1)*$B79,0)</f>
        <v>0.0</v>
      </c>
      <c r="BI79" s="14">
        <f>IF(AND(BI$5-$A79&gt;=0,BI$5-$A79&lt;=19),INDEX(HU_ord,BI$5-$A79+1)*$B79,0)</f>
        <v>0.0</v>
      </c>
      <c r="BJ79" s="14">
        <f>IF(AND(BJ$5-$A79&gt;=0,BJ$5-$A79&lt;=19),INDEX(HU_ord,BJ$5-$A79+1)*$B79,0)</f>
        <v>0.0</v>
      </c>
      <c r="BK79" s="14">
        <f>IF(AND(BK$5-$A79&gt;=0,BK$5-$A79&lt;=19),INDEX(HU_ord,BK$5-$A79+1)*$B79,0)</f>
        <v>0.0</v>
      </c>
      <c r="BL79" s="14">
        <f>IF(AND(BL$5-$A79&gt;=0,BL$5-$A79&lt;=19),INDEX(HU_ord,BL$5-$A79+1)*$B79,0)</f>
        <v>0.0</v>
      </c>
      <c r="BM79" s="14">
        <f>IF(AND(BM$5-$A79&gt;=0,BM$5-$A79&lt;=19),INDEX(HU_ord,BM$5-$A79+1)*$B79,0)</f>
        <v>0.0</v>
      </c>
      <c r="BN79" s="14">
        <f>IF(AND(BN$5-$A79&gt;=0,BN$5-$A79&lt;=19),INDEX(HU_ord,BN$5-$A79+1)*$B79,0)</f>
        <v>0.0</v>
      </c>
      <c r="BO79" s="14">
        <f>IF(AND(BO$5-$A79&gt;=0,BO$5-$A79&lt;=19),INDEX(HU_ord,BO$5-$A79+1)*$B79,0)</f>
        <v>0.0</v>
      </c>
      <c r="BP79" s="14">
        <f>IF(AND(BP$5-$A79&gt;=0,BP$5-$A79&lt;=19),INDEX(HU_ord,BP$5-$A79+1)*$B79,0)</f>
        <v>0.0</v>
      </c>
      <c r="BQ79" s="14">
        <f>IF(AND(BQ$5-$A79&gt;=0,BQ$5-$A79&lt;=19),INDEX(HU_ord,BQ$5-$A79+1)*$B79,0)</f>
        <v>0.0</v>
      </c>
      <c r="BR79" s="14">
        <f>IF(AND(BR$5-$A79&gt;=0,BR$5-$A79&lt;=19),INDEX(HU_ord,BR$5-$A79+1)*$B79,0)</f>
        <v>0.0</v>
      </c>
      <c r="BS79" s="14">
        <f>IF(AND(BS$5-$A79&gt;=0,BS$5-$A79&lt;=19),INDEX(HU_ord,BS$5-$A79+1)*$B79,0)</f>
        <v>0.0</v>
      </c>
      <c r="BT79" s="14">
        <f>IF(AND(BT$5-$A79&gt;=0,BT$5-$A79&lt;=19),INDEX(HU_ord,BT$5-$A79+1)*$B79,0)</f>
        <v>0.0</v>
      </c>
      <c r="BU79" s="14">
        <f>IF(AND(BU$5-$A79&gt;=0,BU$5-$A79&lt;=19),INDEX(HU_ord,BU$5-$A79+1)*$B79,0)</f>
        <v>0.0</v>
      </c>
      <c r="BV79" s="14">
        <f>IF(AND(BV$5-$A79&gt;=0,BV$5-$A79&lt;=19),INDEX(HU_ord,BV$5-$A79+1)*$B79,0)</f>
        <v>0.0</v>
      </c>
      <c r="BW79" s="14">
        <f>IF(AND(BW$5-$A79&gt;=0,BW$5-$A79&lt;=19),INDEX(HU_ord,BW$5-$A79+1)*$B79,0)</f>
        <v>0.0</v>
      </c>
      <c r="BX79" s="14">
        <f>IF(AND(BX$5-$A79&gt;=0,BX$5-$A79&lt;=19),INDEX(HU_ord,BX$5-$A79+1)*$B79,0)</f>
        <v>0.0</v>
      </c>
      <c r="BY79" s="14">
        <f>IF(AND(BY$5-$A79&gt;=0,BY$5-$A79&lt;=19),INDEX(HU_ord,BY$5-$A79+1)*$B79,0)</f>
        <v>0.0</v>
      </c>
      <c r="BZ79" s="14">
        <f>IF(AND(BZ$5-$A79&gt;=0,BZ$5-$A79&lt;=19),INDEX(HU_ord,BZ$5-$A79+1)*$B79,0)</f>
        <v>0.0</v>
      </c>
      <c r="CA79" s="14">
        <f>IF(AND(CA$5-$A79&gt;=0,CA$5-$A79&lt;=19),INDEX(HU_ord,CA$5-$A79+1)*$B79,0)</f>
        <v>0.0</v>
      </c>
      <c r="CB79" s="14">
        <f>IF(AND(CB$5-$A79&gt;=0,CB$5-$A79&lt;=19),INDEX(HU_ord,CB$5-$A79+1)*$B79,0)</f>
        <v>0.0</v>
      </c>
      <c r="CC79" s="14">
        <f>IF(AND(CC$5-$A79&gt;=0,CC$5-$A79&lt;=19),INDEX(HU_ord,CC$5-$A79+1)*$B79,0)</f>
        <v>0.0</v>
      </c>
      <c r="CD79" s="14">
        <f>IF(AND(CD$5-$A79&gt;=0,CD$5-$A79&lt;=19),INDEX(HU_ord,CD$5-$A79+1)*$B79,0)</f>
        <v>0.0</v>
      </c>
      <c r="CE79" s="14">
        <f>IF(AND(CE$5-$A79&gt;=0,CE$5-$A79&lt;=19),INDEX(HU_ord,CE$5-$A79+1)*$B79,0)</f>
        <v>0.0</v>
      </c>
      <c r="CF79" s="14">
        <f>IF(AND(CF$5-$A79&gt;=0,CF$5-$A79&lt;=19),INDEX(HU_ord,CF$5-$A79+1)*$B79,0)</f>
        <v>0.0</v>
      </c>
      <c r="CG79" s="14">
        <f>IF(AND(CG$5-$A79&gt;=0,CG$5-$A79&lt;=19),INDEX(HU_ord,CG$5-$A79+1)*$B79,0)</f>
        <v>0.0</v>
      </c>
      <c r="CH79" s="14">
        <f>IF(AND(CH$5-$A79&gt;=0,CH$5-$A79&lt;=19),INDEX(HU_ord,CH$5-$A79+1)*$B79,0)</f>
        <v>0.0</v>
      </c>
      <c r="CI79" s="14">
        <f>IF(AND(CI$5-$A79&gt;=0,CI$5-$A79&lt;=19),INDEX(HU_ord,CI$5-$A79+1)*$B79,0)</f>
        <v>0.0</v>
      </c>
      <c r="CJ79" s="14">
        <f>IF(AND(CJ$5-$A79&gt;=0,CJ$5-$A79&lt;=19),INDEX(HU_ord,CJ$5-$A79+1)*$B79,0)</f>
        <v>0.0</v>
      </c>
      <c r="CK79" s="14">
        <f>IF(AND(CK$5-$A79&gt;=0,CK$5-$A79&lt;=19),INDEX(HU_ord,CK$5-$A79+1)*$B79,0)</f>
        <v>0.0</v>
      </c>
      <c r="CL79" s="14">
        <f>IF(AND(CL$5-$A79&gt;=0,CL$5-$A79&lt;=19),INDEX(HU_ord,CL$5-$A79+1)*$B79,0)</f>
        <v>0.0</v>
      </c>
      <c r="CM79" s="14">
        <f>IF(AND(CM$5-$A79&gt;=0,CM$5-$A79&lt;=19),INDEX(HU_ord,CM$5-$A79+1)*$B79,0)</f>
        <v>0.0</v>
      </c>
      <c r="CN79" s="14">
        <f>IF(AND(CN$5-$A79&gt;=0,CN$5-$A79&lt;=19),INDEX(HU_ord,CN$5-$A79+1)*$B79,0)</f>
        <v>0.0</v>
      </c>
      <c r="CO79" s="14">
        <f>IF(AND(CO$5-$A79&gt;=0,CO$5-$A79&lt;=19),INDEX(HU_ord,CO$5-$A79+1)*$B79,0)</f>
        <v>0.0</v>
      </c>
      <c r="CP79" s="14">
        <f>IF(AND(CP$5-$A79&gt;=0,CP$5-$A79&lt;=19),INDEX(HU_ord,CP$5-$A79+1)*$B79,0)</f>
        <v>0.0</v>
      </c>
      <c r="CQ79" s="14">
        <f>IF(AND(CQ$5-$A79&gt;=0,CQ$5-$A79&lt;=19),INDEX(HU_ord,CQ$5-$A79+1)*$B79,0)</f>
        <v>0.0</v>
      </c>
      <c r="CR79" s="14">
        <f>IF(AND(CR$5-$A79&gt;=0,CR$5-$A79&lt;=19),INDEX(HU_ord,CR$5-$A79+1)*$B79,0)</f>
        <v>0.0</v>
      </c>
      <c r="CS79" s="14">
        <f>IF(AND(CS$5-$A79&gt;=0,CS$5-$A79&lt;=19),INDEX(HU_ord,CS$5-$A79+1)*$B79,0)</f>
        <v>0.0</v>
      </c>
      <c r="CT79" s="14">
        <f>IF(AND(CT$5-$A79&gt;=0,CT$5-$A79&lt;=19),INDEX(HU_ord,CT$5-$A79+1)*$B79,0)</f>
        <v>0.0</v>
      </c>
      <c r="CU79" s="14">
        <f>IF(AND(CU$5-$A79&gt;=0,CU$5-$A79&lt;=19),INDEX(HU_ord,CU$5-$A79+1)*$B79,0)</f>
        <v>0.0</v>
      </c>
      <c r="CV79" s="14">
        <f>IF(AND(CV$5-$A79&gt;=0,CV$5-$A79&lt;=19),INDEX(HU_ord,CV$5-$A79+1)*$B79,0)</f>
        <v>0.0</v>
      </c>
      <c r="CW79" s="14">
        <f>IF(AND(CW$5-$A79&gt;=0,CW$5-$A79&lt;=19),INDEX(HU_ord,CW$5-$A79+1)*$B79,0)</f>
        <v>0.0</v>
      </c>
      <c r="CX79" s="14">
        <f>IF(AND(CX$5-$A79&gt;=0,CX$5-$A79&lt;=19),INDEX(HU_ord,CX$5-$A79+1)*$B79,0)</f>
        <v>0.0</v>
      </c>
      <c r="CY79" s="14">
        <f>IF(AND(CY$5-$A79&gt;=0,CY$5-$A79&lt;=19),INDEX(HU_ord,CY$5-$A79+1)*$B79,0)</f>
        <v>0.0</v>
      </c>
      <c r="CZ79" s="14">
        <f>IF(AND(CZ$5-$A79&gt;=0,CZ$5-$A79&lt;=19),INDEX(HU_ord,CZ$5-$A79+1)*$B79,0)</f>
        <v>0.0</v>
      </c>
      <c r="DA79" s="14">
        <f>IF(AND(DA$5-$A79&gt;=0,DA$5-$A79&lt;=19),INDEX(HU_ord,DA$5-$A79+1)*$B79,0)</f>
        <v>0.0</v>
      </c>
      <c r="DB79" s="14">
        <f>IF(AND(DB$5-$A79&gt;=0,DB$5-$A79&lt;=19),INDEX(HU_ord,DB$5-$A79+1)*$B79,0)</f>
        <v>0.0</v>
      </c>
      <c r="DC79" s="14">
        <f>IF(AND(DC$5-$A79&gt;=0,DC$5-$A79&lt;=19),INDEX(HU_ord,DC$5-$A79+1)*$B79,0)</f>
        <v>0.0</v>
      </c>
      <c r="DD79" s="14">
        <f>IF(AND(DD$5-$A79&gt;=0,DD$5-$A79&lt;=19),INDEX(HU_ord,DD$5-$A79+1)*$B79,0)</f>
        <v>0.0</v>
      </c>
      <c r="DE79" s="14">
        <f>IF(AND(DE$5-$A79&gt;=0,DE$5-$A79&lt;=19),INDEX(HU_ord,DE$5-$A79+1)*$B79,0)</f>
        <v>0.0</v>
      </c>
      <c r="DF79" s="14">
        <f>IF(AND(DF$5-$A79&gt;=0,DF$5-$A79&lt;=19),INDEX(HU_ord,DF$5-$A79+1)*$B79,0)</f>
        <v>0.0</v>
      </c>
      <c r="DG79" s="14">
        <f>IF(AND(DG$5-$A79&gt;=0,DG$5-$A79&lt;=19),INDEX(HU_ord,DG$5-$A79+1)*$B79,0)</f>
        <v>0.0</v>
      </c>
      <c r="DH79" s="14">
        <f>IF(AND(DH$5-$A79&gt;=0,DH$5-$A79&lt;=19),INDEX(HU_ord,DH$5-$A79+1)*$B79,0)</f>
        <v>0.0</v>
      </c>
      <c r="DI79" s="14">
        <f>IF(AND(DI$5-$A79&gt;=0,DI$5-$A79&lt;=19),INDEX(HU_ord,DI$5-$A79+1)*$B79,0)</f>
        <v>0.0</v>
      </c>
    </row>
    <row r="80" spans="1:113">
      <c r="A80">
        <v>74</v>
      </c>
      <c r="B80" s="10">
        <f>Serie_horaria!N76</f>
        <v>0.0</v>
      </c>
      <c r="C80" s="14">
        <f>IF(AND(C$5-$A80&gt;=0,C$5-$A80&lt;=19),INDEX(HU_ord,C$5-$A80+1)*$B80,0)</f>
        <v>0.0</v>
      </c>
      <c r="D80" s="14">
        <f>IF(AND(D$5-$A80&gt;=0,D$5-$A80&lt;=19),INDEX(HU_ord,D$5-$A80+1)*$B80,0)</f>
        <v>0.0</v>
      </c>
      <c r="E80" s="14">
        <f>IF(AND(E$5-$A80&gt;=0,E$5-$A80&lt;=19),INDEX(HU_ord,E$5-$A80+1)*$B80,0)</f>
        <v>0.0</v>
      </c>
      <c r="F80" s="14">
        <f>IF(AND(F$5-$A80&gt;=0,F$5-$A80&lt;=19),INDEX(HU_ord,F$5-$A80+1)*$B80,0)</f>
        <v>0.0</v>
      </c>
      <c r="G80" s="14">
        <f>IF(AND(G$5-$A80&gt;=0,G$5-$A80&lt;=19),INDEX(HU_ord,G$5-$A80+1)*$B80,0)</f>
        <v>0.0</v>
      </c>
      <c r="H80" s="14">
        <f>IF(AND(H$5-$A80&gt;=0,H$5-$A80&lt;=19),INDEX(HU_ord,H$5-$A80+1)*$B80,0)</f>
        <v>0.0</v>
      </c>
      <c r="I80" s="14">
        <f>IF(AND(I$5-$A80&gt;=0,I$5-$A80&lt;=19),INDEX(HU_ord,I$5-$A80+1)*$B80,0)</f>
        <v>0.0</v>
      </c>
      <c r="J80" s="14">
        <f>IF(AND(J$5-$A80&gt;=0,J$5-$A80&lt;=19),INDEX(HU_ord,J$5-$A80+1)*$B80,0)</f>
        <v>0.0</v>
      </c>
      <c r="K80" s="14">
        <f>IF(AND(K$5-$A80&gt;=0,K$5-$A80&lt;=19),INDEX(HU_ord,K$5-$A80+1)*$B80,0)</f>
        <v>0.0</v>
      </c>
      <c r="L80" s="14">
        <f>IF(AND(L$5-$A80&gt;=0,L$5-$A80&lt;=19),INDEX(HU_ord,L$5-$A80+1)*$B80,0)</f>
        <v>0.0</v>
      </c>
      <c r="M80" s="14">
        <f>IF(AND(M$5-$A80&gt;=0,M$5-$A80&lt;=19),INDEX(HU_ord,M$5-$A80+1)*$B80,0)</f>
        <v>0.0</v>
      </c>
      <c r="N80" s="14">
        <f>IF(AND(N$5-$A80&gt;=0,N$5-$A80&lt;=19),INDEX(HU_ord,N$5-$A80+1)*$B80,0)</f>
        <v>0.0</v>
      </c>
      <c r="O80" s="14">
        <f>IF(AND(O$5-$A80&gt;=0,O$5-$A80&lt;=19),INDEX(HU_ord,O$5-$A80+1)*$B80,0)</f>
        <v>0.0</v>
      </c>
      <c r="P80" s="14">
        <f>IF(AND(P$5-$A80&gt;=0,P$5-$A80&lt;=19),INDEX(HU_ord,P$5-$A80+1)*$B80,0)</f>
        <v>0.0</v>
      </c>
      <c r="Q80" s="14">
        <f>IF(AND(Q$5-$A80&gt;=0,Q$5-$A80&lt;=19),INDEX(HU_ord,Q$5-$A80+1)*$B80,0)</f>
        <v>0.0</v>
      </c>
      <c r="R80" s="14">
        <f>IF(AND(R$5-$A80&gt;=0,R$5-$A80&lt;=19),INDEX(HU_ord,R$5-$A80+1)*$B80,0)</f>
        <v>0.0</v>
      </c>
      <c r="S80" s="14">
        <f>IF(AND(S$5-$A80&gt;=0,S$5-$A80&lt;=19),INDEX(HU_ord,S$5-$A80+1)*$B80,0)</f>
        <v>0.0</v>
      </c>
      <c r="T80" s="14">
        <f>IF(AND(T$5-$A80&gt;=0,T$5-$A80&lt;=19),INDEX(HU_ord,T$5-$A80+1)*$B80,0)</f>
        <v>0.0</v>
      </c>
      <c r="U80" s="14">
        <f>IF(AND(U$5-$A80&gt;=0,U$5-$A80&lt;=19),INDEX(HU_ord,U$5-$A80+1)*$B80,0)</f>
        <v>0.0</v>
      </c>
      <c r="V80" s="14">
        <f>IF(AND(V$5-$A80&gt;=0,V$5-$A80&lt;=19),INDEX(HU_ord,V$5-$A80+1)*$B80,0)</f>
        <v>0.0</v>
      </c>
      <c r="W80" s="14">
        <f>IF(AND(W$5-$A80&gt;=0,W$5-$A80&lt;=19),INDEX(HU_ord,W$5-$A80+1)*$B80,0)</f>
        <v>0.0</v>
      </c>
      <c r="X80" s="14">
        <f>IF(AND(X$5-$A80&gt;=0,X$5-$A80&lt;=19),INDEX(HU_ord,X$5-$A80+1)*$B80,0)</f>
        <v>0.0</v>
      </c>
      <c r="Y80" s="14">
        <f>IF(AND(Y$5-$A80&gt;=0,Y$5-$A80&lt;=19),INDEX(HU_ord,Y$5-$A80+1)*$B80,0)</f>
        <v>0.0</v>
      </c>
      <c r="Z80" s="14">
        <f>IF(AND(Z$5-$A80&gt;=0,Z$5-$A80&lt;=19),INDEX(HU_ord,Z$5-$A80+1)*$B80,0)</f>
        <v>0.0</v>
      </c>
      <c r="AA80" s="14">
        <f>IF(AND(AA$5-$A80&gt;=0,AA$5-$A80&lt;=19),INDEX(HU_ord,AA$5-$A80+1)*$B80,0)</f>
        <v>0.0</v>
      </c>
      <c r="AB80" s="14">
        <f>IF(AND(AB$5-$A80&gt;=0,AB$5-$A80&lt;=19),INDEX(HU_ord,AB$5-$A80+1)*$B80,0)</f>
        <v>0.0</v>
      </c>
      <c r="AC80" s="14">
        <f>IF(AND(AC$5-$A80&gt;=0,AC$5-$A80&lt;=19),INDEX(HU_ord,AC$5-$A80+1)*$B80,0)</f>
        <v>0.0</v>
      </c>
      <c r="AD80" s="14">
        <f>IF(AND(AD$5-$A80&gt;=0,AD$5-$A80&lt;=19),INDEX(HU_ord,AD$5-$A80+1)*$B80,0)</f>
        <v>0.0</v>
      </c>
      <c r="AE80" s="14">
        <f>IF(AND(AE$5-$A80&gt;=0,AE$5-$A80&lt;=19),INDEX(HU_ord,AE$5-$A80+1)*$B80,0)</f>
        <v>0.0</v>
      </c>
      <c r="AF80" s="14">
        <f>IF(AND(AF$5-$A80&gt;=0,AF$5-$A80&lt;=19),INDEX(HU_ord,AF$5-$A80+1)*$B80,0)</f>
        <v>0.0</v>
      </c>
      <c r="AG80" s="14">
        <f>IF(AND(AG$5-$A80&gt;=0,AG$5-$A80&lt;=19),INDEX(HU_ord,AG$5-$A80+1)*$B80,0)</f>
        <v>0.0</v>
      </c>
      <c r="AH80" s="14">
        <f>IF(AND(AH$5-$A80&gt;=0,AH$5-$A80&lt;=19),INDEX(HU_ord,AH$5-$A80+1)*$B80,0)</f>
        <v>0.0</v>
      </c>
      <c r="AI80" s="14">
        <f>IF(AND(AI$5-$A80&gt;=0,AI$5-$A80&lt;=19),INDEX(HU_ord,AI$5-$A80+1)*$B80,0)</f>
        <v>0.0</v>
      </c>
      <c r="AJ80" s="14">
        <f>IF(AND(AJ$5-$A80&gt;=0,AJ$5-$A80&lt;=19),INDEX(HU_ord,AJ$5-$A80+1)*$B80,0)</f>
        <v>0.0</v>
      </c>
      <c r="AK80" s="14">
        <f>IF(AND(AK$5-$A80&gt;=0,AK$5-$A80&lt;=19),INDEX(HU_ord,AK$5-$A80+1)*$B80,0)</f>
        <v>0.0</v>
      </c>
      <c r="AL80" s="14">
        <f>IF(AND(AL$5-$A80&gt;=0,AL$5-$A80&lt;=19),INDEX(HU_ord,AL$5-$A80+1)*$B80,0)</f>
        <v>0.0</v>
      </c>
      <c r="AM80" s="14">
        <f>IF(AND(AM$5-$A80&gt;=0,AM$5-$A80&lt;=19),INDEX(HU_ord,AM$5-$A80+1)*$B80,0)</f>
        <v>0.0</v>
      </c>
      <c r="AN80" s="14">
        <f>IF(AND(AN$5-$A80&gt;=0,AN$5-$A80&lt;=19),INDEX(HU_ord,AN$5-$A80+1)*$B80,0)</f>
        <v>0.0</v>
      </c>
      <c r="AO80" s="14">
        <f>IF(AND(AO$5-$A80&gt;=0,AO$5-$A80&lt;=19),INDEX(HU_ord,AO$5-$A80+1)*$B80,0)</f>
        <v>0.0</v>
      </c>
      <c r="AP80" s="14">
        <f>IF(AND(AP$5-$A80&gt;=0,AP$5-$A80&lt;=19),INDEX(HU_ord,AP$5-$A80+1)*$B80,0)</f>
        <v>0.0</v>
      </c>
      <c r="AQ80" s="14">
        <f>IF(AND(AQ$5-$A80&gt;=0,AQ$5-$A80&lt;=19),INDEX(HU_ord,AQ$5-$A80+1)*$B80,0)</f>
        <v>0.0</v>
      </c>
      <c r="AR80" s="14">
        <f>IF(AND(AR$5-$A80&gt;=0,AR$5-$A80&lt;=19),INDEX(HU_ord,AR$5-$A80+1)*$B80,0)</f>
        <v>0.0</v>
      </c>
      <c r="AS80" s="14">
        <f>IF(AND(AS$5-$A80&gt;=0,AS$5-$A80&lt;=19),INDEX(HU_ord,AS$5-$A80+1)*$B80,0)</f>
        <v>0.0</v>
      </c>
      <c r="AT80" s="14">
        <f>IF(AND(AT$5-$A80&gt;=0,AT$5-$A80&lt;=19),INDEX(HU_ord,AT$5-$A80+1)*$B80,0)</f>
        <v>0.0</v>
      </c>
      <c r="AU80" s="14">
        <f>IF(AND(AU$5-$A80&gt;=0,AU$5-$A80&lt;=19),INDEX(HU_ord,AU$5-$A80+1)*$B80,0)</f>
        <v>0.0</v>
      </c>
      <c r="AV80" s="14">
        <f>IF(AND(AV$5-$A80&gt;=0,AV$5-$A80&lt;=19),INDEX(HU_ord,AV$5-$A80+1)*$B80,0)</f>
        <v>0.0</v>
      </c>
      <c r="AW80" s="14">
        <f>IF(AND(AW$5-$A80&gt;=0,AW$5-$A80&lt;=19),INDEX(HU_ord,AW$5-$A80+1)*$B80,0)</f>
        <v>0.0</v>
      </c>
      <c r="AX80" s="14">
        <f>IF(AND(AX$5-$A80&gt;=0,AX$5-$A80&lt;=19),INDEX(HU_ord,AX$5-$A80+1)*$B80,0)</f>
        <v>0.0</v>
      </c>
      <c r="AY80" s="14">
        <f>IF(AND(AY$5-$A80&gt;=0,AY$5-$A80&lt;=19),INDEX(HU_ord,AY$5-$A80+1)*$B80,0)</f>
        <v>0.0</v>
      </c>
      <c r="AZ80" s="14">
        <f>IF(AND(AZ$5-$A80&gt;=0,AZ$5-$A80&lt;=19),INDEX(HU_ord,AZ$5-$A80+1)*$B80,0)</f>
        <v>0.0</v>
      </c>
      <c r="BA80" s="14">
        <f>IF(AND(BA$5-$A80&gt;=0,BA$5-$A80&lt;=19),INDEX(HU_ord,BA$5-$A80+1)*$B80,0)</f>
        <v>0.0</v>
      </c>
      <c r="BB80" s="14">
        <f>IF(AND(BB$5-$A80&gt;=0,BB$5-$A80&lt;=19),INDEX(HU_ord,BB$5-$A80+1)*$B80,0)</f>
        <v>0.0</v>
      </c>
      <c r="BC80" s="14">
        <f>IF(AND(BC$5-$A80&gt;=0,BC$5-$A80&lt;=19),INDEX(HU_ord,BC$5-$A80+1)*$B80,0)</f>
        <v>0.0</v>
      </c>
      <c r="BD80" s="14">
        <f>IF(AND(BD$5-$A80&gt;=0,BD$5-$A80&lt;=19),INDEX(HU_ord,BD$5-$A80+1)*$B80,0)</f>
        <v>0.0</v>
      </c>
      <c r="BE80" s="14">
        <f>IF(AND(BE$5-$A80&gt;=0,BE$5-$A80&lt;=19),INDEX(HU_ord,BE$5-$A80+1)*$B80,0)</f>
        <v>0.0</v>
      </c>
      <c r="BF80" s="14">
        <f>IF(AND(BF$5-$A80&gt;=0,BF$5-$A80&lt;=19),INDEX(HU_ord,BF$5-$A80+1)*$B80,0)</f>
        <v>0.0</v>
      </c>
      <c r="BG80" s="14">
        <f>IF(AND(BG$5-$A80&gt;=0,BG$5-$A80&lt;=19),INDEX(HU_ord,BG$5-$A80+1)*$B80,0)</f>
        <v>0.0</v>
      </c>
      <c r="BH80" s="14">
        <f>IF(AND(BH$5-$A80&gt;=0,BH$5-$A80&lt;=19),INDEX(HU_ord,BH$5-$A80+1)*$B80,0)</f>
        <v>0.0</v>
      </c>
      <c r="BI80" s="14">
        <f>IF(AND(BI$5-$A80&gt;=0,BI$5-$A80&lt;=19),INDEX(HU_ord,BI$5-$A80+1)*$B80,0)</f>
        <v>0.0</v>
      </c>
      <c r="BJ80" s="14">
        <f>IF(AND(BJ$5-$A80&gt;=0,BJ$5-$A80&lt;=19),INDEX(HU_ord,BJ$5-$A80+1)*$B80,0)</f>
        <v>0.0</v>
      </c>
      <c r="BK80" s="14">
        <f>IF(AND(BK$5-$A80&gt;=0,BK$5-$A80&lt;=19),INDEX(HU_ord,BK$5-$A80+1)*$B80,0)</f>
        <v>0.0</v>
      </c>
      <c r="BL80" s="14">
        <f>IF(AND(BL$5-$A80&gt;=0,BL$5-$A80&lt;=19),INDEX(HU_ord,BL$5-$A80+1)*$B80,0)</f>
        <v>0.0</v>
      </c>
      <c r="BM80" s="14">
        <f>IF(AND(BM$5-$A80&gt;=0,BM$5-$A80&lt;=19),INDEX(HU_ord,BM$5-$A80+1)*$B80,0)</f>
        <v>0.0</v>
      </c>
      <c r="BN80" s="14">
        <f>IF(AND(BN$5-$A80&gt;=0,BN$5-$A80&lt;=19),INDEX(HU_ord,BN$5-$A80+1)*$B80,0)</f>
        <v>0.0</v>
      </c>
      <c r="BO80" s="14">
        <f>IF(AND(BO$5-$A80&gt;=0,BO$5-$A80&lt;=19),INDEX(HU_ord,BO$5-$A80+1)*$B80,0)</f>
        <v>0.0</v>
      </c>
      <c r="BP80" s="14">
        <f>IF(AND(BP$5-$A80&gt;=0,BP$5-$A80&lt;=19),INDEX(HU_ord,BP$5-$A80+1)*$B80,0)</f>
        <v>0.0</v>
      </c>
      <c r="BQ80" s="14">
        <f>IF(AND(BQ$5-$A80&gt;=0,BQ$5-$A80&lt;=19),INDEX(HU_ord,BQ$5-$A80+1)*$B80,0)</f>
        <v>0.0</v>
      </c>
      <c r="BR80" s="14">
        <f>IF(AND(BR$5-$A80&gt;=0,BR$5-$A80&lt;=19),INDEX(HU_ord,BR$5-$A80+1)*$B80,0)</f>
        <v>0.0</v>
      </c>
      <c r="BS80" s="14">
        <f>IF(AND(BS$5-$A80&gt;=0,BS$5-$A80&lt;=19),INDEX(HU_ord,BS$5-$A80+1)*$B80,0)</f>
        <v>0.0</v>
      </c>
      <c r="BT80" s="14">
        <f>IF(AND(BT$5-$A80&gt;=0,BT$5-$A80&lt;=19),INDEX(HU_ord,BT$5-$A80+1)*$B80,0)</f>
        <v>0.0</v>
      </c>
      <c r="BU80" s="14">
        <f>IF(AND(BU$5-$A80&gt;=0,BU$5-$A80&lt;=19),INDEX(HU_ord,BU$5-$A80+1)*$B80,0)</f>
        <v>0.0</v>
      </c>
      <c r="BV80" s="14">
        <f>IF(AND(BV$5-$A80&gt;=0,BV$5-$A80&lt;=19),INDEX(HU_ord,BV$5-$A80+1)*$B80,0)</f>
        <v>0.0</v>
      </c>
      <c r="BW80" s="14">
        <f>IF(AND(BW$5-$A80&gt;=0,BW$5-$A80&lt;=19),INDEX(HU_ord,BW$5-$A80+1)*$B80,0)</f>
        <v>0.0</v>
      </c>
      <c r="BX80" s="14">
        <f>IF(AND(BX$5-$A80&gt;=0,BX$5-$A80&lt;=19),INDEX(HU_ord,BX$5-$A80+1)*$B80,0)</f>
        <v>0.0</v>
      </c>
      <c r="BY80" s="14">
        <f>IF(AND(BY$5-$A80&gt;=0,BY$5-$A80&lt;=19),INDEX(HU_ord,BY$5-$A80+1)*$B80,0)</f>
        <v>0.0</v>
      </c>
      <c r="BZ80" s="14">
        <f>IF(AND(BZ$5-$A80&gt;=0,BZ$5-$A80&lt;=19),INDEX(HU_ord,BZ$5-$A80+1)*$B80,0)</f>
        <v>0.0</v>
      </c>
      <c r="CA80" s="14">
        <f>IF(AND(CA$5-$A80&gt;=0,CA$5-$A80&lt;=19),INDEX(HU_ord,CA$5-$A80+1)*$B80,0)</f>
        <v>0.0</v>
      </c>
      <c r="CB80" s="14">
        <f>IF(AND(CB$5-$A80&gt;=0,CB$5-$A80&lt;=19),INDEX(HU_ord,CB$5-$A80+1)*$B80,0)</f>
        <v>0.0</v>
      </c>
      <c r="CC80" s="14">
        <f>IF(AND(CC$5-$A80&gt;=0,CC$5-$A80&lt;=19),INDEX(HU_ord,CC$5-$A80+1)*$B80,0)</f>
        <v>0.0</v>
      </c>
      <c r="CD80" s="14">
        <f>IF(AND(CD$5-$A80&gt;=0,CD$5-$A80&lt;=19),INDEX(HU_ord,CD$5-$A80+1)*$B80,0)</f>
        <v>0.0</v>
      </c>
      <c r="CE80" s="14">
        <f>IF(AND(CE$5-$A80&gt;=0,CE$5-$A80&lt;=19),INDEX(HU_ord,CE$5-$A80+1)*$B80,0)</f>
        <v>0.0</v>
      </c>
      <c r="CF80" s="14">
        <f>IF(AND(CF$5-$A80&gt;=0,CF$5-$A80&lt;=19),INDEX(HU_ord,CF$5-$A80+1)*$B80,0)</f>
        <v>0.0</v>
      </c>
      <c r="CG80" s="14">
        <f>IF(AND(CG$5-$A80&gt;=0,CG$5-$A80&lt;=19),INDEX(HU_ord,CG$5-$A80+1)*$B80,0)</f>
        <v>0.0</v>
      </c>
      <c r="CH80" s="14">
        <f>IF(AND(CH$5-$A80&gt;=0,CH$5-$A80&lt;=19),INDEX(HU_ord,CH$5-$A80+1)*$B80,0)</f>
        <v>0.0</v>
      </c>
      <c r="CI80" s="14">
        <f>IF(AND(CI$5-$A80&gt;=0,CI$5-$A80&lt;=19),INDEX(HU_ord,CI$5-$A80+1)*$B80,0)</f>
        <v>0.0</v>
      </c>
      <c r="CJ80" s="14">
        <f>IF(AND(CJ$5-$A80&gt;=0,CJ$5-$A80&lt;=19),INDEX(HU_ord,CJ$5-$A80+1)*$B80,0)</f>
        <v>0.0</v>
      </c>
      <c r="CK80" s="14">
        <f>IF(AND(CK$5-$A80&gt;=0,CK$5-$A80&lt;=19),INDEX(HU_ord,CK$5-$A80+1)*$B80,0)</f>
        <v>0.0</v>
      </c>
      <c r="CL80" s="14">
        <f>IF(AND(CL$5-$A80&gt;=0,CL$5-$A80&lt;=19),INDEX(HU_ord,CL$5-$A80+1)*$B80,0)</f>
        <v>0.0</v>
      </c>
      <c r="CM80" s="14">
        <f>IF(AND(CM$5-$A80&gt;=0,CM$5-$A80&lt;=19),INDEX(HU_ord,CM$5-$A80+1)*$B80,0)</f>
        <v>0.0</v>
      </c>
      <c r="CN80" s="14">
        <f>IF(AND(CN$5-$A80&gt;=0,CN$5-$A80&lt;=19),INDEX(HU_ord,CN$5-$A80+1)*$B80,0)</f>
        <v>0.0</v>
      </c>
      <c r="CO80" s="14">
        <f>IF(AND(CO$5-$A80&gt;=0,CO$5-$A80&lt;=19),INDEX(HU_ord,CO$5-$A80+1)*$B80,0)</f>
        <v>0.0</v>
      </c>
      <c r="CP80" s="14">
        <f>IF(AND(CP$5-$A80&gt;=0,CP$5-$A80&lt;=19),INDEX(HU_ord,CP$5-$A80+1)*$B80,0)</f>
        <v>0.0</v>
      </c>
      <c r="CQ80" s="14">
        <f>IF(AND(CQ$5-$A80&gt;=0,CQ$5-$A80&lt;=19),INDEX(HU_ord,CQ$5-$A80+1)*$B80,0)</f>
        <v>0.0</v>
      </c>
      <c r="CR80" s="14">
        <f>IF(AND(CR$5-$A80&gt;=0,CR$5-$A80&lt;=19),INDEX(HU_ord,CR$5-$A80+1)*$B80,0)</f>
        <v>0.0</v>
      </c>
      <c r="CS80" s="14">
        <f>IF(AND(CS$5-$A80&gt;=0,CS$5-$A80&lt;=19),INDEX(HU_ord,CS$5-$A80+1)*$B80,0)</f>
        <v>0.0</v>
      </c>
      <c r="CT80" s="14">
        <f>IF(AND(CT$5-$A80&gt;=0,CT$5-$A80&lt;=19),INDEX(HU_ord,CT$5-$A80+1)*$B80,0)</f>
        <v>0.0</v>
      </c>
      <c r="CU80" s="14">
        <f>IF(AND(CU$5-$A80&gt;=0,CU$5-$A80&lt;=19),INDEX(HU_ord,CU$5-$A80+1)*$B80,0)</f>
        <v>0.0</v>
      </c>
      <c r="CV80" s="14">
        <f>IF(AND(CV$5-$A80&gt;=0,CV$5-$A80&lt;=19),INDEX(HU_ord,CV$5-$A80+1)*$B80,0)</f>
        <v>0.0</v>
      </c>
      <c r="CW80" s="14">
        <f>IF(AND(CW$5-$A80&gt;=0,CW$5-$A80&lt;=19),INDEX(HU_ord,CW$5-$A80+1)*$B80,0)</f>
        <v>0.0</v>
      </c>
      <c r="CX80" s="14">
        <f>IF(AND(CX$5-$A80&gt;=0,CX$5-$A80&lt;=19),INDEX(HU_ord,CX$5-$A80+1)*$B80,0)</f>
        <v>0.0</v>
      </c>
      <c r="CY80" s="14">
        <f>IF(AND(CY$5-$A80&gt;=0,CY$5-$A80&lt;=19),INDEX(HU_ord,CY$5-$A80+1)*$B80,0)</f>
        <v>0.0</v>
      </c>
      <c r="CZ80" s="14">
        <f>IF(AND(CZ$5-$A80&gt;=0,CZ$5-$A80&lt;=19),INDEX(HU_ord,CZ$5-$A80+1)*$B80,0)</f>
        <v>0.0</v>
      </c>
      <c r="DA80" s="14">
        <f>IF(AND(DA$5-$A80&gt;=0,DA$5-$A80&lt;=19),INDEX(HU_ord,DA$5-$A80+1)*$B80,0)</f>
        <v>0.0</v>
      </c>
      <c r="DB80" s="14">
        <f>IF(AND(DB$5-$A80&gt;=0,DB$5-$A80&lt;=19),INDEX(HU_ord,DB$5-$A80+1)*$B80,0)</f>
        <v>0.0</v>
      </c>
      <c r="DC80" s="14">
        <f>IF(AND(DC$5-$A80&gt;=0,DC$5-$A80&lt;=19),INDEX(HU_ord,DC$5-$A80+1)*$B80,0)</f>
        <v>0.0</v>
      </c>
      <c r="DD80" s="14">
        <f>IF(AND(DD$5-$A80&gt;=0,DD$5-$A80&lt;=19),INDEX(HU_ord,DD$5-$A80+1)*$B80,0)</f>
        <v>0.0</v>
      </c>
      <c r="DE80" s="14">
        <f>IF(AND(DE$5-$A80&gt;=0,DE$5-$A80&lt;=19),INDEX(HU_ord,DE$5-$A80+1)*$B80,0)</f>
        <v>0.0</v>
      </c>
      <c r="DF80" s="14">
        <f>IF(AND(DF$5-$A80&gt;=0,DF$5-$A80&lt;=19),INDEX(HU_ord,DF$5-$A80+1)*$B80,0)</f>
        <v>0.0</v>
      </c>
      <c r="DG80" s="14">
        <f>IF(AND(DG$5-$A80&gt;=0,DG$5-$A80&lt;=19),INDEX(HU_ord,DG$5-$A80+1)*$B80,0)</f>
        <v>0.0</v>
      </c>
      <c r="DH80" s="14">
        <f>IF(AND(DH$5-$A80&gt;=0,DH$5-$A80&lt;=19),INDEX(HU_ord,DH$5-$A80+1)*$B80,0)</f>
        <v>0.0</v>
      </c>
      <c r="DI80" s="14">
        <f>IF(AND(DI$5-$A80&gt;=0,DI$5-$A80&lt;=19),INDEX(HU_ord,DI$5-$A80+1)*$B80,0)</f>
        <v>0.0</v>
      </c>
    </row>
    <row r="81" spans="1:113">
      <c r="A81">
        <v>75</v>
      </c>
      <c r="B81" s="10">
        <f>Serie_horaria!N77</f>
        <v>0.0</v>
      </c>
      <c r="C81" s="14">
        <f>IF(AND(C$5-$A81&gt;=0,C$5-$A81&lt;=19),INDEX(HU_ord,C$5-$A81+1)*$B81,0)</f>
        <v>0.0</v>
      </c>
      <c r="D81" s="14">
        <f>IF(AND(D$5-$A81&gt;=0,D$5-$A81&lt;=19),INDEX(HU_ord,D$5-$A81+1)*$B81,0)</f>
        <v>0.0</v>
      </c>
      <c r="E81" s="14">
        <f>IF(AND(E$5-$A81&gt;=0,E$5-$A81&lt;=19),INDEX(HU_ord,E$5-$A81+1)*$B81,0)</f>
        <v>0.0</v>
      </c>
      <c r="F81" s="14">
        <f>IF(AND(F$5-$A81&gt;=0,F$5-$A81&lt;=19),INDEX(HU_ord,F$5-$A81+1)*$B81,0)</f>
        <v>0.0</v>
      </c>
      <c r="G81" s="14">
        <f>IF(AND(G$5-$A81&gt;=0,G$5-$A81&lt;=19),INDEX(HU_ord,G$5-$A81+1)*$B81,0)</f>
        <v>0.0</v>
      </c>
      <c r="H81" s="14">
        <f>IF(AND(H$5-$A81&gt;=0,H$5-$A81&lt;=19),INDEX(HU_ord,H$5-$A81+1)*$B81,0)</f>
        <v>0.0</v>
      </c>
      <c r="I81" s="14">
        <f>IF(AND(I$5-$A81&gt;=0,I$5-$A81&lt;=19),INDEX(HU_ord,I$5-$A81+1)*$B81,0)</f>
        <v>0.0</v>
      </c>
      <c r="J81" s="14">
        <f>IF(AND(J$5-$A81&gt;=0,J$5-$A81&lt;=19),INDEX(HU_ord,J$5-$A81+1)*$B81,0)</f>
        <v>0.0</v>
      </c>
      <c r="K81" s="14">
        <f>IF(AND(K$5-$A81&gt;=0,K$5-$A81&lt;=19),INDEX(HU_ord,K$5-$A81+1)*$B81,0)</f>
        <v>0.0</v>
      </c>
      <c r="L81" s="14">
        <f>IF(AND(L$5-$A81&gt;=0,L$5-$A81&lt;=19),INDEX(HU_ord,L$5-$A81+1)*$B81,0)</f>
        <v>0.0</v>
      </c>
      <c r="M81" s="14">
        <f>IF(AND(M$5-$A81&gt;=0,M$5-$A81&lt;=19),INDEX(HU_ord,M$5-$A81+1)*$B81,0)</f>
        <v>0.0</v>
      </c>
      <c r="N81" s="14">
        <f>IF(AND(N$5-$A81&gt;=0,N$5-$A81&lt;=19),INDEX(HU_ord,N$5-$A81+1)*$B81,0)</f>
        <v>0.0</v>
      </c>
      <c r="O81" s="14">
        <f>IF(AND(O$5-$A81&gt;=0,O$5-$A81&lt;=19),INDEX(HU_ord,O$5-$A81+1)*$B81,0)</f>
        <v>0.0</v>
      </c>
      <c r="P81" s="14">
        <f>IF(AND(P$5-$A81&gt;=0,P$5-$A81&lt;=19),INDEX(HU_ord,P$5-$A81+1)*$B81,0)</f>
        <v>0.0</v>
      </c>
      <c r="Q81" s="14">
        <f>IF(AND(Q$5-$A81&gt;=0,Q$5-$A81&lt;=19),INDEX(HU_ord,Q$5-$A81+1)*$B81,0)</f>
        <v>0.0</v>
      </c>
      <c r="R81" s="14">
        <f>IF(AND(R$5-$A81&gt;=0,R$5-$A81&lt;=19),INDEX(HU_ord,R$5-$A81+1)*$B81,0)</f>
        <v>0.0</v>
      </c>
      <c r="S81" s="14">
        <f>IF(AND(S$5-$A81&gt;=0,S$5-$A81&lt;=19),INDEX(HU_ord,S$5-$A81+1)*$B81,0)</f>
        <v>0.0</v>
      </c>
      <c r="T81" s="14">
        <f>IF(AND(T$5-$A81&gt;=0,T$5-$A81&lt;=19),INDEX(HU_ord,T$5-$A81+1)*$B81,0)</f>
        <v>0.0</v>
      </c>
      <c r="U81" s="14">
        <f>IF(AND(U$5-$A81&gt;=0,U$5-$A81&lt;=19),INDEX(HU_ord,U$5-$A81+1)*$B81,0)</f>
        <v>0.0</v>
      </c>
      <c r="V81" s="14">
        <f>IF(AND(V$5-$A81&gt;=0,V$5-$A81&lt;=19),INDEX(HU_ord,V$5-$A81+1)*$B81,0)</f>
        <v>0.0</v>
      </c>
      <c r="W81" s="14">
        <f>IF(AND(W$5-$A81&gt;=0,W$5-$A81&lt;=19),INDEX(HU_ord,W$5-$A81+1)*$B81,0)</f>
        <v>0.0</v>
      </c>
      <c r="X81" s="14">
        <f>IF(AND(X$5-$A81&gt;=0,X$5-$A81&lt;=19),INDEX(HU_ord,X$5-$A81+1)*$B81,0)</f>
        <v>0.0</v>
      </c>
      <c r="Y81" s="14">
        <f>IF(AND(Y$5-$A81&gt;=0,Y$5-$A81&lt;=19),INDEX(HU_ord,Y$5-$A81+1)*$B81,0)</f>
        <v>0.0</v>
      </c>
      <c r="Z81" s="14">
        <f>IF(AND(Z$5-$A81&gt;=0,Z$5-$A81&lt;=19),INDEX(HU_ord,Z$5-$A81+1)*$B81,0)</f>
        <v>0.0</v>
      </c>
      <c r="AA81" s="14">
        <f>IF(AND(AA$5-$A81&gt;=0,AA$5-$A81&lt;=19),INDEX(HU_ord,AA$5-$A81+1)*$B81,0)</f>
        <v>0.0</v>
      </c>
      <c r="AB81" s="14">
        <f>IF(AND(AB$5-$A81&gt;=0,AB$5-$A81&lt;=19),INDEX(HU_ord,AB$5-$A81+1)*$B81,0)</f>
        <v>0.0</v>
      </c>
      <c r="AC81" s="14">
        <f>IF(AND(AC$5-$A81&gt;=0,AC$5-$A81&lt;=19),INDEX(HU_ord,AC$5-$A81+1)*$B81,0)</f>
        <v>0.0</v>
      </c>
      <c r="AD81" s="14">
        <f>IF(AND(AD$5-$A81&gt;=0,AD$5-$A81&lt;=19),INDEX(HU_ord,AD$5-$A81+1)*$B81,0)</f>
        <v>0.0</v>
      </c>
      <c r="AE81" s="14">
        <f>IF(AND(AE$5-$A81&gt;=0,AE$5-$A81&lt;=19),INDEX(HU_ord,AE$5-$A81+1)*$B81,0)</f>
        <v>0.0</v>
      </c>
      <c r="AF81" s="14">
        <f>IF(AND(AF$5-$A81&gt;=0,AF$5-$A81&lt;=19),INDEX(HU_ord,AF$5-$A81+1)*$B81,0)</f>
        <v>0.0</v>
      </c>
      <c r="AG81" s="14">
        <f>IF(AND(AG$5-$A81&gt;=0,AG$5-$A81&lt;=19),INDEX(HU_ord,AG$5-$A81+1)*$B81,0)</f>
        <v>0.0</v>
      </c>
      <c r="AH81" s="14">
        <f>IF(AND(AH$5-$A81&gt;=0,AH$5-$A81&lt;=19),INDEX(HU_ord,AH$5-$A81+1)*$B81,0)</f>
        <v>0.0</v>
      </c>
      <c r="AI81" s="14">
        <f>IF(AND(AI$5-$A81&gt;=0,AI$5-$A81&lt;=19),INDEX(HU_ord,AI$5-$A81+1)*$B81,0)</f>
        <v>0.0</v>
      </c>
      <c r="AJ81" s="14">
        <f>IF(AND(AJ$5-$A81&gt;=0,AJ$5-$A81&lt;=19),INDEX(HU_ord,AJ$5-$A81+1)*$B81,0)</f>
        <v>0.0</v>
      </c>
      <c r="AK81" s="14">
        <f>IF(AND(AK$5-$A81&gt;=0,AK$5-$A81&lt;=19),INDEX(HU_ord,AK$5-$A81+1)*$B81,0)</f>
        <v>0.0</v>
      </c>
      <c r="AL81" s="14">
        <f>IF(AND(AL$5-$A81&gt;=0,AL$5-$A81&lt;=19),INDEX(HU_ord,AL$5-$A81+1)*$B81,0)</f>
        <v>0.0</v>
      </c>
      <c r="AM81" s="14">
        <f>IF(AND(AM$5-$A81&gt;=0,AM$5-$A81&lt;=19),INDEX(HU_ord,AM$5-$A81+1)*$B81,0)</f>
        <v>0.0</v>
      </c>
      <c r="AN81" s="14">
        <f>IF(AND(AN$5-$A81&gt;=0,AN$5-$A81&lt;=19),INDEX(HU_ord,AN$5-$A81+1)*$B81,0)</f>
        <v>0.0</v>
      </c>
      <c r="AO81" s="14">
        <f>IF(AND(AO$5-$A81&gt;=0,AO$5-$A81&lt;=19),INDEX(HU_ord,AO$5-$A81+1)*$B81,0)</f>
        <v>0.0</v>
      </c>
      <c r="AP81" s="14">
        <f>IF(AND(AP$5-$A81&gt;=0,AP$5-$A81&lt;=19),INDEX(HU_ord,AP$5-$A81+1)*$B81,0)</f>
        <v>0.0</v>
      </c>
      <c r="AQ81" s="14">
        <f>IF(AND(AQ$5-$A81&gt;=0,AQ$5-$A81&lt;=19),INDEX(HU_ord,AQ$5-$A81+1)*$B81,0)</f>
        <v>0.0</v>
      </c>
      <c r="AR81" s="14">
        <f>IF(AND(AR$5-$A81&gt;=0,AR$5-$A81&lt;=19),INDEX(HU_ord,AR$5-$A81+1)*$B81,0)</f>
        <v>0.0</v>
      </c>
      <c r="AS81" s="14">
        <f>IF(AND(AS$5-$A81&gt;=0,AS$5-$A81&lt;=19),INDEX(HU_ord,AS$5-$A81+1)*$B81,0)</f>
        <v>0.0</v>
      </c>
      <c r="AT81" s="14">
        <f>IF(AND(AT$5-$A81&gt;=0,AT$5-$A81&lt;=19),INDEX(HU_ord,AT$5-$A81+1)*$B81,0)</f>
        <v>0.0</v>
      </c>
      <c r="AU81" s="14">
        <f>IF(AND(AU$5-$A81&gt;=0,AU$5-$A81&lt;=19),INDEX(HU_ord,AU$5-$A81+1)*$B81,0)</f>
        <v>0.0</v>
      </c>
      <c r="AV81" s="14">
        <f>IF(AND(AV$5-$A81&gt;=0,AV$5-$A81&lt;=19),INDEX(HU_ord,AV$5-$A81+1)*$B81,0)</f>
        <v>0.0</v>
      </c>
      <c r="AW81" s="14">
        <f>IF(AND(AW$5-$A81&gt;=0,AW$5-$A81&lt;=19),INDEX(HU_ord,AW$5-$A81+1)*$B81,0)</f>
        <v>0.0</v>
      </c>
      <c r="AX81" s="14">
        <f>IF(AND(AX$5-$A81&gt;=0,AX$5-$A81&lt;=19),INDEX(HU_ord,AX$5-$A81+1)*$B81,0)</f>
        <v>0.0</v>
      </c>
      <c r="AY81" s="14">
        <f>IF(AND(AY$5-$A81&gt;=0,AY$5-$A81&lt;=19),INDEX(HU_ord,AY$5-$A81+1)*$B81,0)</f>
        <v>0.0</v>
      </c>
      <c r="AZ81" s="14">
        <f>IF(AND(AZ$5-$A81&gt;=0,AZ$5-$A81&lt;=19),INDEX(HU_ord,AZ$5-$A81+1)*$B81,0)</f>
        <v>0.0</v>
      </c>
      <c r="BA81" s="14">
        <f>IF(AND(BA$5-$A81&gt;=0,BA$5-$A81&lt;=19),INDEX(HU_ord,BA$5-$A81+1)*$B81,0)</f>
        <v>0.0</v>
      </c>
      <c r="BB81" s="14">
        <f>IF(AND(BB$5-$A81&gt;=0,BB$5-$A81&lt;=19),INDEX(HU_ord,BB$5-$A81+1)*$B81,0)</f>
        <v>0.0</v>
      </c>
      <c r="BC81" s="14">
        <f>IF(AND(BC$5-$A81&gt;=0,BC$5-$A81&lt;=19),INDEX(HU_ord,BC$5-$A81+1)*$B81,0)</f>
        <v>0.0</v>
      </c>
      <c r="BD81" s="14">
        <f>IF(AND(BD$5-$A81&gt;=0,BD$5-$A81&lt;=19),INDEX(HU_ord,BD$5-$A81+1)*$B81,0)</f>
        <v>0.0</v>
      </c>
      <c r="BE81" s="14">
        <f>IF(AND(BE$5-$A81&gt;=0,BE$5-$A81&lt;=19),INDEX(HU_ord,BE$5-$A81+1)*$B81,0)</f>
        <v>0.0</v>
      </c>
      <c r="BF81" s="14">
        <f>IF(AND(BF$5-$A81&gt;=0,BF$5-$A81&lt;=19),INDEX(HU_ord,BF$5-$A81+1)*$B81,0)</f>
        <v>0.0</v>
      </c>
      <c r="BG81" s="14">
        <f>IF(AND(BG$5-$A81&gt;=0,BG$5-$A81&lt;=19),INDEX(HU_ord,BG$5-$A81+1)*$B81,0)</f>
        <v>0.0</v>
      </c>
      <c r="BH81" s="14">
        <f>IF(AND(BH$5-$A81&gt;=0,BH$5-$A81&lt;=19),INDEX(HU_ord,BH$5-$A81+1)*$B81,0)</f>
        <v>0.0</v>
      </c>
      <c r="BI81" s="14">
        <f>IF(AND(BI$5-$A81&gt;=0,BI$5-$A81&lt;=19),INDEX(HU_ord,BI$5-$A81+1)*$B81,0)</f>
        <v>0.0</v>
      </c>
      <c r="BJ81" s="14">
        <f>IF(AND(BJ$5-$A81&gt;=0,BJ$5-$A81&lt;=19),INDEX(HU_ord,BJ$5-$A81+1)*$B81,0)</f>
        <v>0.0</v>
      </c>
      <c r="BK81" s="14">
        <f>IF(AND(BK$5-$A81&gt;=0,BK$5-$A81&lt;=19),INDEX(HU_ord,BK$5-$A81+1)*$B81,0)</f>
        <v>0.0</v>
      </c>
      <c r="BL81" s="14">
        <f>IF(AND(BL$5-$A81&gt;=0,BL$5-$A81&lt;=19),INDEX(HU_ord,BL$5-$A81+1)*$B81,0)</f>
        <v>0.0</v>
      </c>
      <c r="BM81" s="14">
        <f>IF(AND(BM$5-$A81&gt;=0,BM$5-$A81&lt;=19),INDEX(HU_ord,BM$5-$A81+1)*$B81,0)</f>
        <v>0.0</v>
      </c>
      <c r="BN81" s="14">
        <f>IF(AND(BN$5-$A81&gt;=0,BN$5-$A81&lt;=19),INDEX(HU_ord,BN$5-$A81+1)*$B81,0)</f>
        <v>0.0</v>
      </c>
      <c r="BO81" s="14">
        <f>IF(AND(BO$5-$A81&gt;=0,BO$5-$A81&lt;=19),INDEX(HU_ord,BO$5-$A81+1)*$B81,0)</f>
        <v>0.0</v>
      </c>
      <c r="BP81" s="14">
        <f>IF(AND(BP$5-$A81&gt;=0,BP$5-$A81&lt;=19),INDEX(HU_ord,BP$5-$A81+1)*$B81,0)</f>
        <v>0.0</v>
      </c>
      <c r="BQ81" s="14">
        <f>IF(AND(BQ$5-$A81&gt;=0,BQ$5-$A81&lt;=19),INDEX(HU_ord,BQ$5-$A81+1)*$B81,0)</f>
        <v>0.0</v>
      </c>
      <c r="BR81" s="14">
        <f>IF(AND(BR$5-$A81&gt;=0,BR$5-$A81&lt;=19),INDEX(HU_ord,BR$5-$A81+1)*$B81,0)</f>
        <v>0.0</v>
      </c>
      <c r="BS81" s="14">
        <f>IF(AND(BS$5-$A81&gt;=0,BS$5-$A81&lt;=19),INDEX(HU_ord,BS$5-$A81+1)*$B81,0)</f>
        <v>0.0</v>
      </c>
      <c r="BT81" s="14">
        <f>IF(AND(BT$5-$A81&gt;=0,BT$5-$A81&lt;=19),INDEX(HU_ord,BT$5-$A81+1)*$B81,0)</f>
        <v>0.0</v>
      </c>
      <c r="BU81" s="14">
        <f>IF(AND(BU$5-$A81&gt;=0,BU$5-$A81&lt;=19),INDEX(HU_ord,BU$5-$A81+1)*$B81,0)</f>
        <v>0.0</v>
      </c>
      <c r="BV81" s="14">
        <f>IF(AND(BV$5-$A81&gt;=0,BV$5-$A81&lt;=19),INDEX(HU_ord,BV$5-$A81+1)*$B81,0)</f>
        <v>0.0</v>
      </c>
      <c r="BW81" s="14">
        <f>IF(AND(BW$5-$A81&gt;=0,BW$5-$A81&lt;=19),INDEX(HU_ord,BW$5-$A81+1)*$B81,0)</f>
        <v>0.0</v>
      </c>
      <c r="BX81" s="14">
        <f>IF(AND(BX$5-$A81&gt;=0,BX$5-$A81&lt;=19),INDEX(HU_ord,BX$5-$A81+1)*$B81,0)</f>
        <v>0.0</v>
      </c>
      <c r="BY81" s="14">
        <f>IF(AND(BY$5-$A81&gt;=0,BY$5-$A81&lt;=19),INDEX(HU_ord,BY$5-$A81+1)*$B81,0)</f>
        <v>0.0</v>
      </c>
      <c r="BZ81" s="14">
        <f>IF(AND(BZ$5-$A81&gt;=0,BZ$5-$A81&lt;=19),INDEX(HU_ord,BZ$5-$A81+1)*$B81,0)</f>
        <v>0.0</v>
      </c>
      <c r="CA81" s="14">
        <f>IF(AND(CA$5-$A81&gt;=0,CA$5-$A81&lt;=19),INDEX(HU_ord,CA$5-$A81+1)*$B81,0)</f>
        <v>0.0</v>
      </c>
      <c r="CB81" s="14">
        <f>IF(AND(CB$5-$A81&gt;=0,CB$5-$A81&lt;=19),INDEX(HU_ord,CB$5-$A81+1)*$B81,0)</f>
        <v>0.0</v>
      </c>
      <c r="CC81" s="14">
        <f>IF(AND(CC$5-$A81&gt;=0,CC$5-$A81&lt;=19),INDEX(HU_ord,CC$5-$A81+1)*$B81,0)</f>
        <v>0.0</v>
      </c>
      <c r="CD81" s="14">
        <f>IF(AND(CD$5-$A81&gt;=0,CD$5-$A81&lt;=19),INDEX(HU_ord,CD$5-$A81+1)*$B81,0)</f>
        <v>0.0</v>
      </c>
      <c r="CE81" s="14">
        <f>IF(AND(CE$5-$A81&gt;=0,CE$5-$A81&lt;=19),INDEX(HU_ord,CE$5-$A81+1)*$B81,0)</f>
        <v>0.0</v>
      </c>
      <c r="CF81" s="14">
        <f>IF(AND(CF$5-$A81&gt;=0,CF$5-$A81&lt;=19),INDEX(HU_ord,CF$5-$A81+1)*$B81,0)</f>
        <v>0.0</v>
      </c>
      <c r="CG81" s="14">
        <f>IF(AND(CG$5-$A81&gt;=0,CG$5-$A81&lt;=19),INDEX(HU_ord,CG$5-$A81+1)*$B81,0)</f>
        <v>0.0</v>
      </c>
      <c r="CH81" s="14">
        <f>IF(AND(CH$5-$A81&gt;=0,CH$5-$A81&lt;=19),INDEX(HU_ord,CH$5-$A81+1)*$B81,0)</f>
        <v>0.0</v>
      </c>
      <c r="CI81" s="14">
        <f>IF(AND(CI$5-$A81&gt;=0,CI$5-$A81&lt;=19),INDEX(HU_ord,CI$5-$A81+1)*$B81,0)</f>
        <v>0.0</v>
      </c>
      <c r="CJ81" s="14">
        <f>IF(AND(CJ$5-$A81&gt;=0,CJ$5-$A81&lt;=19),INDEX(HU_ord,CJ$5-$A81+1)*$B81,0)</f>
        <v>0.0</v>
      </c>
      <c r="CK81" s="14">
        <f>IF(AND(CK$5-$A81&gt;=0,CK$5-$A81&lt;=19),INDEX(HU_ord,CK$5-$A81+1)*$B81,0)</f>
        <v>0.0</v>
      </c>
      <c r="CL81" s="14">
        <f>IF(AND(CL$5-$A81&gt;=0,CL$5-$A81&lt;=19),INDEX(HU_ord,CL$5-$A81+1)*$B81,0)</f>
        <v>0.0</v>
      </c>
      <c r="CM81" s="14">
        <f>IF(AND(CM$5-$A81&gt;=0,CM$5-$A81&lt;=19),INDEX(HU_ord,CM$5-$A81+1)*$B81,0)</f>
        <v>0.0</v>
      </c>
      <c r="CN81" s="14">
        <f>IF(AND(CN$5-$A81&gt;=0,CN$5-$A81&lt;=19),INDEX(HU_ord,CN$5-$A81+1)*$B81,0)</f>
        <v>0.0</v>
      </c>
      <c r="CO81" s="14">
        <f>IF(AND(CO$5-$A81&gt;=0,CO$5-$A81&lt;=19),INDEX(HU_ord,CO$5-$A81+1)*$B81,0)</f>
        <v>0.0</v>
      </c>
      <c r="CP81" s="14">
        <f>IF(AND(CP$5-$A81&gt;=0,CP$5-$A81&lt;=19),INDEX(HU_ord,CP$5-$A81+1)*$B81,0)</f>
        <v>0.0</v>
      </c>
      <c r="CQ81" s="14">
        <f>IF(AND(CQ$5-$A81&gt;=0,CQ$5-$A81&lt;=19),INDEX(HU_ord,CQ$5-$A81+1)*$B81,0)</f>
        <v>0.0</v>
      </c>
      <c r="CR81" s="14">
        <f>IF(AND(CR$5-$A81&gt;=0,CR$5-$A81&lt;=19),INDEX(HU_ord,CR$5-$A81+1)*$B81,0)</f>
        <v>0.0</v>
      </c>
      <c r="CS81" s="14">
        <f>IF(AND(CS$5-$A81&gt;=0,CS$5-$A81&lt;=19),INDEX(HU_ord,CS$5-$A81+1)*$B81,0)</f>
        <v>0.0</v>
      </c>
      <c r="CT81" s="14">
        <f>IF(AND(CT$5-$A81&gt;=0,CT$5-$A81&lt;=19),INDEX(HU_ord,CT$5-$A81+1)*$B81,0)</f>
        <v>0.0</v>
      </c>
      <c r="CU81" s="14">
        <f>IF(AND(CU$5-$A81&gt;=0,CU$5-$A81&lt;=19),INDEX(HU_ord,CU$5-$A81+1)*$B81,0)</f>
        <v>0.0</v>
      </c>
      <c r="CV81" s="14">
        <f>IF(AND(CV$5-$A81&gt;=0,CV$5-$A81&lt;=19),INDEX(HU_ord,CV$5-$A81+1)*$B81,0)</f>
        <v>0.0</v>
      </c>
      <c r="CW81" s="14">
        <f>IF(AND(CW$5-$A81&gt;=0,CW$5-$A81&lt;=19),INDEX(HU_ord,CW$5-$A81+1)*$B81,0)</f>
        <v>0.0</v>
      </c>
      <c r="CX81" s="14">
        <f>IF(AND(CX$5-$A81&gt;=0,CX$5-$A81&lt;=19),INDEX(HU_ord,CX$5-$A81+1)*$B81,0)</f>
        <v>0.0</v>
      </c>
      <c r="CY81" s="14">
        <f>IF(AND(CY$5-$A81&gt;=0,CY$5-$A81&lt;=19),INDEX(HU_ord,CY$5-$A81+1)*$B81,0)</f>
        <v>0.0</v>
      </c>
      <c r="CZ81" s="14">
        <f>IF(AND(CZ$5-$A81&gt;=0,CZ$5-$A81&lt;=19),INDEX(HU_ord,CZ$5-$A81+1)*$B81,0)</f>
        <v>0.0</v>
      </c>
      <c r="DA81" s="14">
        <f>IF(AND(DA$5-$A81&gt;=0,DA$5-$A81&lt;=19),INDEX(HU_ord,DA$5-$A81+1)*$B81,0)</f>
        <v>0.0</v>
      </c>
      <c r="DB81" s="14">
        <f>IF(AND(DB$5-$A81&gt;=0,DB$5-$A81&lt;=19),INDEX(HU_ord,DB$5-$A81+1)*$B81,0)</f>
        <v>0.0</v>
      </c>
      <c r="DC81" s="14">
        <f>IF(AND(DC$5-$A81&gt;=0,DC$5-$A81&lt;=19),INDEX(HU_ord,DC$5-$A81+1)*$B81,0)</f>
        <v>0.0</v>
      </c>
      <c r="DD81" s="14">
        <f>IF(AND(DD$5-$A81&gt;=0,DD$5-$A81&lt;=19),INDEX(HU_ord,DD$5-$A81+1)*$B81,0)</f>
        <v>0.0</v>
      </c>
      <c r="DE81" s="14">
        <f>IF(AND(DE$5-$A81&gt;=0,DE$5-$A81&lt;=19),INDEX(HU_ord,DE$5-$A81+1)*$B81,0)</f>
        <v>0.0</v>
      </c>
      <c r="DF81" s="14">
        <f>IF(AND(DF$5-$A81&gt;=0,DF$5-$A81&lt;=19),INDEX(HU_ord,DF$5-$A81+1)*$B81,0)</f>
        <v>0.0</v>
      </c>
      <c r="DG81" s="14">
        <f>IF(AND(DG$5-$A81&gt;=0,DG$5-$A81&lt;=19),INDEX(HU_ord,DG$5-$A81+1)*$B81,0)</f>
        <v>0.0</v>
      </c>
      <c r="DH81" s="14">
        <f>IF(AND(DH$5-$A81&gt;=0,DH$5-$A81&lt;=19),INDEX(HU_ord,DH$5-$A81+1)*$B81,0)</f>
        <v>0.0</v>
      </c>
      <c r="DI81" s="14">
        <f>IF(AND(DI$5-$A81&gt;=0,DI$5-$A81&lt;=19),INDEX(HU_ord,DI$5-$A81+1)*$B81,0)</f>
        <v>0.0</v>
      </c>
    </row>
    <row r="82" spans="1:113">
      <c r="A82">
        <v>76</v>
      </c>
      <c r="B82" s="10">
        <f>Serie_horaria!N78</f>
        <v>0.0</v>
      </c>
      <c r="C82" s="14">
        <f>IF(AND(C$5-$A82&gt;=0,C$5-$A82&lt;=19),INDEX(HU_ord,C$5-$A82+1)*$B82,0)</f>
        <v>0.0</v>
      </c>
      <c r="D82" s="14">
        <f>IF(AND(D$5-$A82&gt;=0,D$5-$A82&lt;=19),INDEX(HU_ord,D$5-$A82+1)*$B82,0)</f>
        <v>0.0</v>
      </c>
      <c r="E82" s="14">
        <f>IF(AND(E$5-$A82&gt;=0,E$5-$A82&lt;=19),INDEX(HU_ord,E$5-$A82+1)*$B82,0)</f>
        <v>0.0</v>
      </c>
      <c r="F82" s="14">
        <f>IF(AND(F$5-$A82&gt;=0,F$5-$A82&lt;=19),INDEX(HU_ord,F$5-$A82+1)*$B82,0)</f>
        <v>0.0</v>
      </c>
      <c r="G82" s="14">
        <f>IF(AND(G$5-$A82&gt;=0,G$5-$A82&lt;=19),INDEX(HU_ord,G$5-$A82+1)*$B82,0)</f>
        <v>0.0</v>
      </c>
      <c r="H82" s="14">
        <f>IF(AND(H$5-$A82&gt;=0,H$5-$A82&lt;=19),INDEX(HU_ord,H$5-$A82+1)*$B82,0)</f>
        <v>0.0</v>
      </c>
      <c r="I82" s="14">
        <f>IF(AND(I$5-$A82&gt;=0,I$5-$A82&lt;=19),INDEX(HU_ord,I$5-$A82+1)*$B82,0)</f>
        <v>0.0</v>
      </c>
      <c r="J82" s="14">
        <f>IF(AND(J$5-$A82&gt;=0,J$5-$A82&lt;=19),INDEX(HU_ord,J$5-$A82+1)*$B82,0)</f>
        <v>0.0</v>
      </c>
      <c r="K82" s="14">
        <f>IF(AND(K$5-$A82&gt;=0,K$5-$A82&lt;=19),INDEX(HU_ord,K$5-$A82+1)*$B82,0)</f>
        <v>0.0</v>
      </c>
      <c r="L82" s="14">
        <f>IF(AND(L$5-$A82&gt;=0,L$5-$A82&lt;=19),INDEX(HU_ord,L$5-$A82+1)*$B82,0)</f>
        <v>0.0</v>
      </c>
      <c r="M82" s="14">
        <f>IF(AND(M$5-$A82&gt;=0,M$5-$A82&lt;=19),INDEX(HU_ord,M$5-$A82+1)*$B82,0)</f>
        <v>0.0</v>
      </c>
      <c r="N82" s="14">
        <f>IF(AND(N$5-$A82&gt;=0,N$5-$A82&lt;=19),INDEX(HU_ord,N$5-$A82+1)*$B82,0)</f>
        <v>0.0</v>
      </c>
      <c r="O82" s="14">
        <f>IF(AND(O$5-$A82&gt;=0,O$5-$A82&lt;=19),INDEX(HU_ord,O$5-$A82+1)*$B82,0)</f>
        <v>0.0</v>
      </c>
      <c r="P82" s="14">
        <f>IF(AND(P$5-$A82&gt;=0,P$5-$A82&lt;=19),INDEX(HU_ord,P$5-$A82+1)*$B82,0)</f>
        <v>0.0</v>
      </c>
      <c r="Q82" s="14">
        <f>IF(AND(Q$5-$A82&gt;=0,Q$5-$A82&lt;=19),INDEX(HU_ord,Q$5-$A82+1)*$B82,0)</f>
        <v>0.0</v>
      </c>
      <c r="R82" s="14">
        <f>IF(AND(R$5-$A82&gt;=0,R$5-$A82&lt;=19),INDEX(HU_ord,R$5-$A82+1)*$B82,0)</f>
        <v>0.0</v>
      </c>
      <c r="S82" s="14">
        <f>IF(AND(S$5-$A82&gt;=0,S$5-$A82&lt;=19),INDEX(HU_ord,S$5-$A82+1)*$B82,0)</f>
        <v>0.0</v>
      </c>
      <c r="T82" s="14">
        <f>IF(AND(T$5-$A82&gt;=0,T$5-$A82&lt;=19),INDEX(HU_ord,T$5-$A82+1)*$B82,0)</f>
        <v>0.0</v>
      </c>
      <c r="U82" s="14">
        <f>IF(AND(U$5-$A82&gt;=0,U$5-$A82&lt;=19),INDEX(HU_ord,U$5-$A82+1)*$B82,0)</f>
        <v>0.0</v>
      </c>
      <c r="V82" s="14">
        <f>IF(AND(V$5-$A82&gt;=0,V$5-$A82&lt;=19),INDEX(HU_ord,V$5-$A82+1)*$B82,0)</f>
        <v>0.0</v>
      </c>
      <c r="W82" s="14">
        <f>IF(AND(W$5-$A82&gt;=0,W$5-$A82&lt;=19),INDEX(HU_ord,W$5-$A82+1)*$B82,0)</f>
        <v>0.0</v>
      </c>
      <c r="X82" s="14">
        <f>IF(AND(X$5-$A82&gt;=0,X$5-$A82&lt;=19),INDEX(HU_ord,X$5-$A82+1)*$B82,0)</f>
        <v>0.0</v>
      </c>
      <c r="Y82" s="14">
        <f>IF(AND(Y$5-$A82&gt;=0,Y$5-$A82&lt;=19),INDEX(HU_ord,Y$5-$A82+1)*$B82,0)</f>
        <v>0.0</v>
      </c>
      <c r="Z82" s="14">
        <f>IF(AND(Z$5-$A82&gt;=0,Z$5-$A82&lt;=19),INDEX(HU_ord,Z$5-$A82+1)*$B82,0)</f>
        <v>0.0</v>
      </c>
      <c r="AA82" s="14">
        <f>IF(AND(AA$5-$A82&gt;=0,AA$5-$A82&lt;=19),INDEX(HU_ord,AA$5-$A82+1)*$B82,0)</f>
        <v>0.0</v>
      </c>
      <c r="AB82" s="14">
        <f>IF(AND(AB$5-$A82&gt;=0,AB$5-$A82&lt;=19),INDEX(HU_ord,AB$5-$A82+1)*$B82,0)</f>
        <v>0.0</v>
      </c>
      <c r="AC82" s="14">
        <f>IF(AND(AC$5-$A82&gt;=0,AC$5-$A82&lt;=19),INDEX(HU_ord,AC$5-$A82+1)*$B82,0)</f>
        <v>0.0</v>
      </c>
      <c r="AD82" s="14">
        <f>IF(AND(AD$5-$A82&gt;=0,AD$5-$A82&lt;=19),INDEX(HU_ord,AD$5-$A82+1)*$B82,0)</f>
        <v>0.0</v>
      </c>
      <c r="AE82" s="14">
        <f>IF(AND(AE$5-$A82&gt;=0,AE$5-$A82&lt;=19),INDEX(HU_ord,AE$5-$A82+1)*$B82,0)</f>
        <v>0.0</v>
      </c>
      <c r="AF82" s="14">
        <f>IF(AND(AF$5-$A82&gt;=0,AF$5-$A82&lt;=19),INDEX(HU_ord,AF$5-$A82+1)*$B82,0)</f>
        <v>0.0</v>
      </c>
      <c r="AG82" s="14">
        <f>IF(AND(AG$5-$A82&gt;=0,AG$5-$A82&lt;=19),INDEX(HU_ord,AG$5-$A82+1)*$B82,0)</f>
        <v>0.0</v>
      </c>
      <c r="AH82" s="14">
        <f>IF(AND(AH$5-$A82&gt;=0,AH$5-$A82&lt;=19),INDEX(HU_ord,AH$5-$A82+1)*$B82,0)</f>
        <v>0.0</v>
      </c>
      <c r="AI82" s="14">
        <f>IF(AND(AI$5-$A82&gt;=0,AI$5-$A82&lt;=19),INDEX(HU_ord,AI$5-$A82+1)*$B82,0)</f>
        <v>0.0</v>
      </c>
      <c r="AJ82" s="14">
        <f>IF(AND(AJ$5-$A82&gt;=0,AJ$5-$A82&lt;=19),INDEX(HU_ord,AJ$5-$A82+1)*$B82,0)</f>
        <v>0.0</v>
      </c>
      <c r="AK82" s="14">
        <f>IF(AND(AK$5-$A82&gt;=0,AK$5-$A82&lt;=19),INDEX(HU_ord,AK$5-$A82+1)*$B82,0)</f>
        <v>0.0</v>
      </c>
      <c r="AL82" s="14">
        <f>IF(AND(AL$5-$A82&gt;=0,AL$5-$A82&lt;=19),INDEX(HU_ord,AL$5-$A82+1)*$B82,0)</f>
        <v>0.0</v>
      </c>
      <c r="AM82" s="14">
        <f>IF(AND(AM$5-$A82&gt;=0,AM$5-$A82&lt;=19),INDEX(HU_ord,AM$5-$A82+1)*$B82,0)</f>
        <v>0.0</v>
      </c>
      <c r="AN82" s="14">
        <f>IF(AND(AN$5-$A82&gt;=0,AN$5-$A82&lt;=19),INDEX(HU_ord,AN$5-$A82+1)*$B82,0)</f>
        <v>0.0</v>
      </c>
      <c r="AO82" s="14">
        <f>IF(AND(AO$5-$A82&gt;=0,AO$5-$A82&lt;=19),INDEX(HU_ord,AO$5-$A82+1)*$B82,0)</f>
        <v>0.0</v>
      </c>
      <c r="AP82" s="14">
        <f>IF(AND(AP$5-$A82&gt;=0,AP$5-$A82&lt;=19),INDEX(HU_ord,AP$5-$A82+1)*$B82,0)</f>
        <v>0.0</v>
      </c>
      <c r="AQ82" s="14">
        <f>IF(AND(AQ$5-$A82&gt;=0,AQ$5-$A82&lt;=19),INDEX(HU_ord,AQ$5-$A82+1)*$B82,0)</f>
        <v>0.0</v>
      </c>
      <c r="AR82" s="14">
        <f>IF(AND(AR$5-$A82&gt;=0,AR$5-$A82&lt;=19),INDEX(HU_ord,AR$5-$A82+1)*$B82,0)</f>
        <v>0.0</v>
      </c>
      <c r="AS82" s="14">
        <f>IF(AND(AS$5-$A82&gt;=0,AS$5-$A82&lt;=19),INDEX(HU_ord,AS$5-$A82+1)*$B82,0)</f>
        <v>0.0</v>
      </c>
      <c r="AT82" s="14">
        <f>IF(AND(AT$5-$A82&gt;=0,AT$5-$A82&lt;=19),INDEX(HU_ord,AT$5-$A82+1)*$B82,0)</f>
        <v>0.0</v>
      </c>
      <c r="AU82" s="14">
        <f>IF(AND(AU$5-$A82&gt;=0,AU$5-$A82&lt;=19),INDEX(HU_ord,AU$5-$A82+1)*$B82,0)</f>
        <v>0.0</v>
      </c>
      <c r="AV82" s="14">
        <f>IF(AND(AV$5-$A82&gt;=0,AV$5-$A82&lt;=19),INDEX(HU_ord,AV$5-$A82+1)*$B82,0)</f>
        <v>0.0</v>
      </c>
      <c r="AW82" s="14">
        <f>IF(AND(AW$5-$A82&gt;=0,AW$5-$A82&lt;=19),INDEX(HU_ord,AW$5-$A82+1)*$B82,0)</f>
        <v>0.0</v>
      </c>
      <c r="AX82" s="14">
        <f>IF(AND(AX$5-$A82&gt;=0,AX$5-$A82&lt;=19),INDEX(HU_ord,AX$5-$A82+1)*$B82,0)</f>
        <v>0.0</v>
      </c>
      <c r="AY82" s="14">
        <f>IF(AND(AY$5-$A82&gt;=0,AY$5-$A82&lt;=19),INDEX(HU_ord,AY$5-$A82+1)*$B82,0)</f>
        <v>0.0</v>
      </c>
      <c r="AZ82" s="14">
        <f>IF(AND(AZ$5-$A82&gt;=0,AZ$5-$A82&lt;=19),INDEX(HU_ord,AZ$5-$A82+1)*$B82,0)</f>
        <v>0.0</v>
      </c>
      <c r="BA82" s="14">
        <f>IF(AND(BA$5-$A82&gt;=0,BA$5-$A82&lt;=19),INDEX(HU_ord,BA$5-$A82+1)*$B82,0)</f>
        <v>0.0</v>
      </c>
      <c r="BB82" s="14">
        <f>IF(AND(BB$5-$A82&gt;=0,BB$5-$A82&lt;=19),INDEX(HU_ord,BB$5-$A82+1)*$B82,0)</f>
        <v>0.0</v>
      </c>
      <c r="BC82" s="14">
        <f>IF(AND(BC$5-$A82&gt;=0,BC$5-$A82&lt;=19),INDEX(HU_ord,BC$5-$A82+1)*$B82,0)</f>
        <v>0.0</v>
      </c>
      <c r="BD82" s="14">
        <f>IF(AND(BD$5-$A82&gt;=0,BD$5-$A82&lt;=19),INDEX(HU_ord,BD$5-$A82+1)*$B82,0)</f>
        <v>0.0</v>
      </c>
      <c r="BE82" s="14">
        <f>IF(AND(BE$5-$A82&gt;=0,BE$5-$A82&lt;=19),INDEX(HU_ord,BE$5-$A82+1)*$B82,0)</f>
        <v>0.0</v>
      </c>
      <c r="BF82" s="14">
        <f>IF(AND(BF$5-$A82&gt;=0,BF$5-$A82&lt;=19),INDEX(HU_ord,BF$5-$A82+1)*$B82,0)</f>
        <v>0.0</v>
      </c>
      <c r="BG82" s="14">
        <f>IF(AND(BG$5-$A82&gt;=0,BG$5-$A82&lt;=19),INDEX(HU_ord,BG$5-$A82+1)*$B82,0)</f>
        <v>0.0</v>
      </c>
      <c r="BH82" s="14">
        <f>IF(AND(BH$5-$A82&gt;=0,BH$5-$A82&lt;=19),INDEX(HU_ord,BH$5-$A82+1)*$B82,0)</f>
        <v>0.0</v>
      </c>
      <c r="BI82" s="14">
        <f>IF(AND(BI$5-$A82&gt;=0,BI$5-$A82&lt;=19),INDEX(HU_ord,BI$5-$A82+1)*$B82,0)</f>
        <v>0.0</v>
      </c>
      <c r="BJ82" s="14">
        <f>IF(AND(BJ$5-$A82&gt;=0,BJ$5-$A82&lt;=19),INDEX(HU_ord,BJ$5-$A82+1)*$B82,0)</f>
        <v>0.0</v>
      </c>
      <c r="BK82" s="14">
        <f>IF(AND(BK$5-$A82&gt;=0,BK$5-$A82&lt;=19),INDEX(HU_ord,BK$5-$A82+1)*$B82,0)</f>
        <v>0.0</v>
      </c>
      <c r="BL82" s="14">
        <f>IF(AND(BL$5-$A82&gt;=0,BL$5-$A82&lt;=19),INDEX(HU_ord,BL$5-$A82+1)*$B82,0)</f>
        <v>0.0</v>
      </c>
      <c r="BM82" s="14">
        <f>IF(AND(BM$5-$A82&gt;=0,BM$5-$A82&lt;=19),INDEX(HU_ord,BM$5-$A82+1)*$B82,0)</f>
        <v>0.0</v>
      </c>
      <c r="BN82" s="14">
        <f>IF(AND(BN$5-$A82&gt;=0,BN$5-$A82&lt;=19),INDEX(HU_ord,BN$5-$A82+1)*$B82,0)</f>
        <v>0.0</v>
      </c>
      <c r="BO82" s="14">
        <f>IF(AND(BO$5-$A82&gt;=0,BO$5-$A82&lt;=19),INDEX(HU_ord,BO$5-$A82+1)*$B82,0)</f>
        <v>0.0</v>
      </c>
      <c r="BP82" s="14">
        <f>IF(AND(BP$5-$A82&gt;=0,BP$5-$A82&lt;=19),INDEX(HU_ord,BP$5-$A82+1)*$B82,0)</f>
        <v>0.0</v>
      </c>
      <c r="BQ82" s="14">
        <f>IF(AND(BQ$5-$A82&gt;=0,BQ$5-$A82&lt;=19),INDEX(HU_ord,BQ$5-$A82+1)*$B82,0)</f>
        <v>0.0</v>
      </c>
      <c r="BR82" s="14">
        <f>IF(AND(BR$5-$A82&gt;=0,BR$5-$A82&lt;=19),INDEX(HU_ord,BR$5-$A82+1)*$B82,0)</f>
        <v>0.0</v>
      </c>
      <c r="BS82" s="14">
        <f>IF(AND(BS$5-$A82&gt;=0,BS$5-$A82&lt;=19),INDEX(HU_ord,BS$5-$A82+1)*$B82,0)</f>
        <v>0.0</v>
      </c>
      <c r="BT82" s="14">
        <f>IF(AND(BT$5-$A82&gt;=0,BT$5-$A82&lt;=19),INDEX(HU_ord,BT$5-$A82+1)*$B82,0)</f>
        <v>0.0</v>
      </c>
      <c r="BU82" s="14">
        <f>IF(AND(BU$5-$A82&gt;=0,BU$5-$A82&lt;=19),INDEX(HU_ord,BU$5-$A82+1)*$B82,0)</f>
        <v>0.0</v>
      </c>
      <c r="BV82" s="14">
        <f>IF(AND(BV$5-$A82&gt;=0,BV$5-$A82&lt;=19),INDEX(HU_ord,BV$5-$A82+1)*$B82,0)</f>
        <v>0.0</v>
      </c>
      <c r="BW82" s="14">
        <f>IF(AND(BW$5-$A82&gt;=0,BW$5-$A82&lt;=19),INDEX(HU_ord,BW$5-$A82+1)*$B82,0)</f>
        <v>0.0</v>
      </c>
      <c r="BX82" s="14">
        <f>IF(AND(BX$5-$A82&gt;=0,BX$5-$A82&lt;=19),INDEX(HU_ord,BX$5-$A82+1)*$B82,0)</f>
        <v>0.0</v>
      </c>
      <c r="BY82" s="14">
        <f>IF(AND(BY$5-$A82&gt;=0,BY$5-$A82&lt;=19),INDEX(HU_ord,BY$5-$A82+1)*$B82,0)</f>
        <v>0.0</v>
      </c>
      <c r="BZ82" s="14">
        <f>IF(AND(BZ$5-$A82&gt;=0,BZ$5-$A82&lt;=19),INDEX(HU_ord,BZ$5-$A82+1)*$B82,0)</f>
        <v>0.0</v>
      </c>
      <c r="CA82" s="14">
        <f>IF(AND(CA$5-$A82&gt;=0,CA$5-$A82&lt;=19),INDEX(HU_ord,CA$5-$A82+1)*$B82,0)</f>
        <v>0.0</v>
      </c>
      <c r="CB82" s="14">
        <f>IF(AND(CB$5-$A82&gt;=0,CB$5-$A82&lt;=19),INDEX(HU_ord,CB$5-$A82+1)*$B82,0)</f>
        <v>0.0</v>
      </c>
      <c r="CC82" s="14">
        <f>IF(AND(CC$5-$A82&gt;=0,CC$5-$A82&lt;=19),INDEX(HU_ord,CC$5-$A82+1)*$B82,0)</f>
        <v>0.0</v>
      </c>
      <c r="CD82" s="14">
        <f>IF(AND(CD$5-$A82&gt;=0,CD$5-$A82&lt;=19),INDEX(HU_ord,CD$5-$A82+1)*$B82,0)</f>
        <v>0.0</v>
      </c>
      <c r="CE82" s="14">
        <f>IF(AND(CE$5-$A82&gt;=0,CE$5-$A82&lt;=19),INDEX(HU_ord,CE$5-$A82+1)*$B82,0)</f>
        <v>0.0</v>
      </c>
      <c r="CF82" s="14">
        <f>IF(AND(CF$5-$A82&gt;=0,CF$5-$A82&lt;=19),INDEX(HU_ord,CF$5-$A82+1)*$B82,0)</f>
        <v>0.0</v>
      </c>
      <c r="CG82" s="14">
        <f>IF(AND(CG$5-$A82&gt;=0,CG$5-$A82&lt;=19),INDEX(HU_ord,CG$5-$A82+1)*$B82,0)</f>
        <v>0.0</v>
      </c>
      <c r="CH82" s="14">
        <f>IF(AND(CH$5-$A82&gt;=0,CH$5-$A82&lt;=19),INDEX(HU_ord,CH$5-$A82+1)*$B82,0)</f>
        <v>0.0</v>
      </c>
      <c r="CI82" s="14">
        <f>IF(AND(CI$5-$A82&gt;=0,CI$5-$A82&lt;=19),INDEX(HU_ord,CI$5-$A82+1)*$B82,0)</f>
        <v>0.0</v>
      </c>
      <c r="CJ82" s="14">
        <f>IF(AND(CJ$5-$A82&gt;=0,CJ$5-$A82&lt;=19),INDEX(HU_ord,CJ$5-$A82+1)*$B82,0)</f>
        <v>0.0</v>
      </c>
      <c r="CK82" s="14">
        <f>IF(AND(CK$5-$A82&gt;=0,CK$5-$A82&lt;=19),INDEX(HU_ord,CK$5-$A82+1)*$B82,0)</f>
        <v>0.0</v>
      </c>
      <c r="CL82" s="14">
        <f>IF(AND(CL$5-$A82&gt;=0,CL$5-$A82&lt;=19),INDEX(HU_ord,CL$5-$A82+1)*$B82,0)</f>
        <v>0.0</v>
      </c>
      <c r="CM82" s="14">
        <f>IF(AND(CM$5-$A82&gt;=0,CM$5-$A82&lt;=19),INDEX(HU_ord,CM$5-$A82+1)*$B82,0)</f>
        <v>0.0</v>
      </c>
      <c r="CN82" s="14">
        <f>IF(AND(CN$5-$A82&gt;=0,CN$5-$A82&lt;=19),INDEX(HU_ord,CN$5-$A82+1)*$B82,0)</f>
        <v>0.0</v>
      </c>
      <c r="CO82" s="14">
        <f>IF(AND(CO$5-$A82&gt;=0,CO$5-$A82&lt;=19),INDEX(HU_ord,CO$5-$A82+1)*$B82,0)</f>
        <v>0.0</v>
      </c>
      <c r="CP82" s="14">
        <f>IF(AND(CP$5-$A82&gt;=0,CP$5-$A82&lt;=19),INDEX(HU_ord,CP$5-$A82+1)*$B82,0)</f>
        <v>0.0</v>
      </c>
      <c r="CQ82" s="14">
        <f>IF(AND(CQ$5-$A82&gt;=0,CQ$5-$A82&lt;=19),INDEX(HU_ord,CQ$5-$A82+1)*$B82,0)</f>
        <v>0.0</v>
      </c>
      <c r="CR82" s="14">
        <f>IF(AND(CR$5-$A82&gt;=0,CR$5-$A82&lt;=19),INDEX(HU_ord,CR$5-$A82+1)*$B82,0)</f>
        <v>0.0</v>
      </c>
      <c r="CS82" s="14">
        <f>IF(AND(CS$5-$A82&gt;=0,CS$5-$A82&lt;=19),INDEX(HU_ord,CS$5-$A82+1)*$B82,0)</f>
        <v>0.0</v>
      </c>
      <c r="CT82" s="14">
        <f>IF(AND(CT$5-$A82&gt;=0,CT$5-$A82&lt;=19),INDEX(HU_ord,CT$5-$A82+1)*$B82,0)</f>
        <v>0.0</v>
      </c>
      <c r="CU82" s="14">
        <f>IF(AND(CU$5-$A82&gt;=0,CU$5-$A82&lt;=19),INDEX(HU_ord,CU$5-$A82+1)*$B82,0)</f>
        <v>0.0</v>
      </c>
      <c r="CV82" s="14">
        <f>IF(AND(CV$5-$A82&gt;=0,CV$5-$A82&lt;=19),INDEX(HU_ord,CV$5-$A82+1)*$B82,0)</f>
        <v>0.0</v>
      </c>
      <c r="CW82" s="14">
        <f>IF(AND(CW$5-$A82&gt;=0,CW$5-$A82&lt;=19),INDEX(HU_ord,CW$5-$A82+1)*$B82,0)</f>
        <v>0.0</v>
      </c>
      <c r="CX82" s="14">
        <f>IF(AND(CX$5-$A82&gt;=0,CX$5-$A82&lt;=19),INDEX(HU_ord,CX$5-$A82+1)*$B82,0)</f>
        <v>0.0</v>
      </c>
      <c r="CY82" s="14">
        <f>IF(AND(CY$5-$A82&gt;=0,CY$5-$A82&lt;=19),INDEX(HU_ord,CY$5-$A82+1)*$B82,0)</f>
        <v>0.0</v>
      </c>
      <c r="CZ82" s="14">
        <f>IF(AND(CZ$5-$A82&gt;=0,CZ$5-$A82&lt;=19),INDEX(HU_ord,CZ$5-$A82+1)*$B82,0)</f>
        <v>0.0</v>
      </c>
      <c r="DA82" s="14">
        <f>IF(AND(DA$5-$A82&gt;=0,DA$5-$A82&lt;=19),INDEX(HU_ord,DA$5-$A82+1)*$B82,0)</f>
        <v>0.0</v>
      </c>
      <c r="DB82" s="14">
        <f>IF(AND(DB$5-$A82&gt;=0,DB$5-$A82&lt;=19),INDEX(HU_ord,DB$5-$A82+1)*$B82,0)</f>
        <v>0.0</v>
      </c>
      <c r="DC82" s="14">
        <f>IF(AND(DC$5-$A82&gt;=0,DC$5-$A82&lt;=19),INDEX(HU_ord,DC$5-$A82+1)*$B82,0)</f>
        <v>0.0</v>
      </c>
      <c r="DD82" s="14">
        <f>IF(AND(DD$5-$A82&gt;=0,DD$5-$A82&lt;=19),INDEX(HU_ord,DD$5-$A82+1)*$B82,0)</f>
        <v>0.0</v>
      </c>
      <c r="DE82" s="14">
        <f>IF(AND(DE$5-$A82&gt;=0,DE$5-$A82&lt;=19),INDEX(HU_ord,DE$5-$A82+1)*$B82,0)</f>
        <v>0.0</v>
      </c>
      <c r="DF82" s="14">
        <f>IF(AND(DF$5-$A82&gt;=0,DF$5-$A82&lt;=19),INDEX(HU_ord,DF$5-$A82+1)*$B82,0)</f>
        <v>0.0</v>
      </c>
      <c r="DG82" s="14">
        <f>IF(AND(DG$5-$A82&gt;=0,DG$5-$A82&lt;=19),INDEX(HU_ord,DG$5-$A82+1)*$B82,0)</f>
        <v>0.0</v>
      </c>
      <c r="DH82" s="14">
        <f>IF(AND(DH$5-$A82&gt;=0,DH$5-$A82&lt;=19),INDEX(HU_ord,DH$5-$A82+1)*$B82,0)</f>
        <v>0.0</v>
      </c>
      <c r="DI82" s="14">
        <f>IF(AND(DI$5-$A82&gt;=0,DI$5-$A82&lt;=19),INDEX(HU_ord,DI$5-$A82+1)*$B82,0)</f>
        <v>0.0</v>
      </c>
    </row>
    <row r="83" spans="1:113">
      <c r="A83">
        <v>77</v>
      </c>
      <c r="B83" s="10">
        <f>Serie_horaria!N79</f>
        <v>0.0</v>
      </c>
      <c r="C83" s="14">
        <f>IF(AND(C$5-$A83&gt;=0,C$5-$A83&lt;=19),INDEX(HU_ord,C$5-$A83+1)*$B83,0)</f>
        <v>0.0</v>
      </c>
      <c r="D83" s="14">
        <f>IF(AND(D$5-$A83&gt;=0,D$5-$A83&lt;=19),INDEX(HU_ord,D$5-$A83+1)*$B83,0)</f>
        <v>0.0</v>
      </c>
      <c r="E83" s="14">
        <f>IF(AND(E$5-$A83&gt;=0,E$5-$A83&lt;=19),INDEX(HU_ord,E$5-$A83+1)*$B83,0)</f>
        <v>0.0</v>
      </c>
      <c r="F83" s="14">
        <f>IF(AND(F$5-$A83&gt;=0,F$5-$A83&lt;=19),INDEX(HU_ord,F$5-$A83+1)*$B83,0)</f>
        <v>0.0</v>
      </c>
      <c r="G83" s="14">
        <f>IF(AND(G$5-$A83&gt;=0,G$5-$A83&lt;=19),INDEX(HU_ord,G$5-$A83+1)*$B83,0)</f>
        <v>0.0</v>
      </c>
      <c r="H83" s="14">
        <f>IF(AND(H$5-$A83&gt;=0,H$5-$A83&lt;=19),INDEX(HU_ord,H$5-$A83+1)*$B83,0)</f>
        <v>0.0</v>
      </c>
      <c r="I83" s="14">
        <f>IF(AND(I$5-$A83&gt;=0,I$5-$A83&lt;=19),INDEX(HU_ord,I$5-$A83+1)*$B83,0)</f>
        <v>0.0</v>
      </c>
      <c r="J83" s="14">
        <f>IF(AND(J$5-$A83&gt;=0,J$5-$A83&lt;=19),INDEX(HU_ord,J$5-$A83+1)*$B83,0)</f>
        <v>0.0</v>
      </c>
      <c r="K83" s="14">
        <f>IF(AND(K$5-$A83&gt;=0,K$5-$A83&lt;=19),INDEX(HU_ord,K$5-$A83+1)*$B83,0)</f>
        <v>0.0</v>
      </c>
      <c r="L83" s="14">
        <f>IF(AND(L$5-$A83&gt;=0,L$5-$A83&lt;=19),INDEX(HU_ord,L$5-$A83+1)*$B83,0)</f>
        <v>0.0</v>
      </c>
      <c r="M83" s="14">
        <f>IF(AND(M$5-$A83&gt;=0,M$5-$A83&lt;=19),INDEX(HU_ord,M$5-$A83+1)*$B83,0)</f>
        <v>0.0</v>
      </c>
      <c r="N83" s="14">
        <f>IF(AND(N$5-$A83&gt;=0,N$5-$A83&lt;=19),INDEX(HU_ord,N$5-$A83+1)*$B83,0)</f>
        <v>0.0</v>
      </c>
      <c r="O83" s="14">
        <f>IF(AND(O$5-$A83&gt;=0,O$5-$A83&lt;=19),INDEX(HU_ord,O$5-$A83+1)*$B83,0)</f>
        <v>0.0</v>
      </c>
      <c r="P83" s="14">
        <f>IF(AND(P$5-$A83&gt;=0,P$5-$A83&lt;=19),INDEX(HU_ord,P$5-$A83+1)*$B83,0)</f>
        <v>0.0</v>
      </c>
      <c r="Q83" s="14">
        <f>IF(AND(Q$5-$A83&gt;=0,Q$5-$A83&lt;=19),INDEX(HU_ord,Q$5-$A83+1)*$B83,0)</f>
        <v>0.0</v>
      </c>
      <c r="R83" s="14">
        <f>IF(AND(R$5-$A83&gt;=0,R$5-$A83&lt;=19),INDEX(HU_ord,R$5-$A83+1)*$B83,0)</f>
        <v>0.0</v>
      </c>
      <c r="S83" s="14">
        <f>IF(AND(S$5-$A83&gt;=0,S$5-$A83&lt;=19),INDEX(HU_ord,S$5-$A83+1)*$B83,0)</f>
        <v>0.0</v>
      </c>
      <c r="T83" s="14">
        <f>IF(AND(T$5-$A83&gt;=0,T$5-$A83&lt;=19),INDEX(HU_ord,T$5-$A83+1)*$B83,0)</f>
        <v>0.0</v>
      </c>
      <c r="U83" s="14">
        <f>IF(AND(U$5-$A83&gt;=0,U$5-$A83&lt;=19),INDEX(HU_ord,U$5-$A83+1)*$B83,0)</f>
        <v>0.0</v>
      </c>
      <c r="V83" s="14">
        <f>IF(AND(V$5-$A83&gt;=0,V$5-$A83&lt;=19),INDEX(HU_ord,V$5-$A83+1)*$B83,0)</f>
        <v>0.0</v>
      </c>
      <c r="W83" s="14">
        <f>IF(AND(W$5-$A83&gt;=0,W$5-$A83&lt;=19),INDEX(HU_ord,W$5-$A83+1)*$B83,0)</f>
        <v>0.0</v>
      </c>
      <c r="X83" s="14">
        <f>IF(AND(X$5-$A83&gt;=0,X$5-$A83&lt;=19),INDEX(HU_ord,X$5-$A83+1)*$B83,0)</f>
        <v>0.0</v>
      </c>
      <c r="Y83" s="14">
        <f>IF(AND(Y$5-$A83&gt;=0,Y$5-$A83&lt;=19),INDEX(HU_ord,Y$5-$A83+1)*$B83,0)</f>
        <v>0.0</v>
      </c>
      <c r="Z83" s="14">
        <f>IF(AND(Z$5-$A83&gt;=0,Z$5-$A83&lt;=19),INDEX(HU_ord,Z$5-$A83+1)*$B83,0)</f>
        <v>0.0</v>
      </c>
      <c r="AA83" s="14">
        <f>IF(AND(AA$5-$A83&gt;=0,AA$5-$A83&lt;=19),INDEX(HU_ord,AA$5-$A83+1)*$B83,0)</f>
        <v>0.0</v>
      </c>
      <c r="AB83" s="14">
        <f>IF(AND(AB$5-$A83&gt;=0,AB$5-$A83&lt;=19),INDEX(HU_ord,AB$5-$A83+1)*$B83,0)</f>
        <v>0.0</v>
      </c>
      <c r="AC83" s="14">
        <f>IF(AND(AC$5-$A83&gt;=0,AC$5-$A83&lt;=19),INDEX(HU_ord,AC$5-$A83+1)*$B83,0)</f>
        <v>0.0</v>
      </c>
      <c r="AD83" s="14">
        <f>IF(AND(AD$5-$A83&gt;=0,AD$5-$A83&lt;=19),INDEX(HU_ord,AD$5-$A83+1)*$B83,0)</f>
        <v>0.0</v>
      </c>
      <c r="AE83" s="14">
        <f>IF(AND(AE$5-$A83&gt;=0,AE$5-$A83&lt;=19),INDEX(HU_ord,AE$5-$A83+1)*$B83,0)</f>
        <v>0.0</v>
      </c>
      <c r="AF83" s="14">
        <f>IF(AND(AF$5-$A83&gt;=0,AF$5-$A83&lt;=19),INDEX(HU_ord,AF$5-$A83+1)*$B83,0)</f>
        <v>0.0</v>
      </c>
      <c r="AG83" s="14">
        <f>IF(AND(AG$5-$A83&gt;=0,AG$5-$A83&lt;=19),INDEX(HU_ord,AG$5-$A83+1)*$B83,0)</f>
        <v>0.0</v>
      </c>
      <c r="AH83" s="14">
        <f>IF(AND(AH$5-$A83&gt;=0,AH$5-$A83&lt;=19),INDEX(HU_ord,AH$5-$A83+1)*$B83,0)</f>
        <v>0.0</v>
      </c>
      <c r="AI83" s="14">
        <f>IF(AND(AI$5-$A83&gt;=0,AI$5-$A83&lt;=19),INDEX(HU_ord,AI$5-$A83+1)*$B83,0)</f>
        <v>0.0</v>
      </c>
      <c r="AJ83" s="14">
        <f>IF(AND(AJ$5-$A83&gt;=0,AJ$5-$A83&lt;=19),INDEX(HU_ord,AJ$5-$A83+1)*$B83,0)</f>
        <v>0.0</v>
      </c>
      <c r="AK83" s="14">
        <f>IF(AND(AK$5-$A83&gt;=0,AK$5-$A83&lt;=19),INDEX(HU_ord,AK$5-$A83+1)*$B83,0)</f>
        <v>0.0</v>
      </c>
      <c r="AL83" s="14">
        <f>IF(AND(AL$5-$A83&gt;=0,AL$5-$A83&lt;=19),INDEX(HU_ord,AL$5-$A83+1)*$B83,0)</f>
        <v>0.0</v>
      </c>
      <c r="AM83" s="14">
        <f>IF(AND(AM$5-$A83&gt;=0,AM$5-$A83&lt;=19),INDEX(HU_ord,AM$5-$A83+1)*$B83,0)</f>
        <v>0.0</v>
      </c>
      <c r="AN83" s="14">
        <f>IF(AND(AN$5-$A83&gt;=0,AN$5-$A83&lt;=19),INDEX(HU_ord,AN$5-$A83+1)*$B83,0)</f>
        <v>0.0</v>
      </c>
      <c r="AO83" s="14">
        <f>IF(AND(AO$5-$A83&gt;=0,AO$5-$A83&lt;=19),INDEX(HU_ord,AO$5-$A83+1)*$B83,0)</f>
        <v>0.0</v>
      </c>
      <c r="AP83" s="14">
        <f>IF(AND(AP$5-$A83&gt;=0,AP$5-$A83&lt;=19),INDEX(HU_ord,AP$5-$A83+1)*$B83,0)</f>
        <v>0.0</v>
      </c>
      <c r="AQ83" s="14">
        <f>IF(AND(AQ$5-$A83&gt;=0,AQ$5-$A83&lt;=19),INDEX(HU_ord,AQ$5-$A83+1)*$B83,0)</f>
        <v>0.0</v>
      </c>
      <c r="AR83" s="14">
        <f>IF(AND(AR$5-$A83&gt;=0,AR$5-$A83&lt;=19),INDEX(HU_ord,AR$5-$A83+1)*$B83,0)</f>
        <v>0.0</v>
      </c>
      <c r="AS83" s="14">
        <f>IF(AND(AS$5-$A83&gt;=0,AS$5-$A83&lt;=19),INDEX(HU_ord,AS$5-$A83+1)*$B83,0)</f>
        <v>0.0</v>
      </c>
      <c r="AT83" s="14">
        <f>IF(AND(AT$5-$A83&gt;=0,AT$5-$A83&lt;=19),INDEX(HU_ord,AT$5-$A83+1)*$B83,0)</f>
        <v>0.0</v>
      </c>
      <c r="AU83" s="14">
        <f>IF(AND(AU$5-$A83&gt;=0,AU$5-$A83&lt;=19),INDEX(HU_ord,AU$5-$A83+1)*$B83,0)</f>
        <v>0.0</v>
      </c>
      <c r="AV83" s="14">
        <f>IF(AND(AV$5-$A83&gt;=0,AV$5-$A83&lt;=19),INDEX(HU_ord,AV$5-$A83+1)*$B83,0)</f>
        <v>0.0</v>
      </c>
      <c r="AW83" s="14">
        <f>IF(AND(AW$5-$A83&gt;=0,AW$5-$A83&lt;=19),INDEX(HU_ord,AW$5-$A83+1)*$B83,0)</f>
        <v>0.0</v>
      </c>
      <c r="AX83" s="14">
        <f>IF(AND(AX$5-$A83&gt;=0,AX$5-$A83&lt;=19),INDEX(HU_ord,AX$5-$A83+1)*$B83,0)</f>
        <v>0.0</v>
      </c>
      <c r="AY83" s="14">
        <f>IF(AND(AY$5-$A83&gt;=0,AY$5-$A83&lt;=19),INDEX(HU_ord,AY$5-$A83+1)*$B83,0)</f>
        <v>0.0</v>
      </c>
      <c r="AZ83" s="14">
        <f>IF(AND(AZ$5-$A83&gt;=0,AZ$5-$A83&lt;=19),INDEX(HU_ord,AZ$5-$A83+1)*$B83,0)</f>
        <v>0.0</v>
      </c>
      <c r="BA83" s="14">
        <f>IF(AND(BA$5-$A83&gt;=0,BA$5-$A83&lt;=19),INDEX(HU_ord,BA$5-$A83+1)*$B83,0)</f>
        <v>0.0</v>
      </c>
      <c r="BB83" s="14">
        <f>IF(AND(BB$5-$A83&gt;=0,BB$5-$A83&lt;=19),INDEX(HU_ord,BB$5-$A83+1)*$B83,0)</f>
        <v>0.0</v>
      </c>
      <c r="BC83" s="14">
        <f>IF(AND(BC$5-$A83&gt;=0,BC$5-$A83&lt;=19),INDEX(HU_ord,BC$5-$A83+1)*$B83,0)</f>
        <v>0.0</v>
      </c>
      <c r="BD83" s="14">
        <f>IF(AND(BD$5-$A83&gt;=0,BD$5-$A83&lt;=19),INDEX(HU_ord,BD$5-$A83+1)*$B83,0)</f>
        <v>0.0</v>
      </c>
      <c r="BE83" s="14">
        <f>IF(AND(BE$5-$A83&gt;=0,BE$5-$A83&lt;=19),INDEX(HU_ord,BE$5-$A83+1)*$B83,0)</f>
        <v>0.0</v>
      </c>
      <c r="BF83" s="14">
        <f>IF(AND(BF$5-$A83&gt;=0,BF$5-$A83&lt;=19),INDEX(HU_ord,BF$5-$A83+1)*$B83,0)</f>
        <v>0.0</v>
      </c>
      <c r="BG83" s="14">
        <f>IF(AND(BG$5-$A83&gt;=0,BG$5-$A83&lt;=19),INDEX(HU_ord,BG$5-$A83+1)*$B83,0)</f>
        <v>0.0</v>
      </c>
      <c r="BH83" s="14">
        <f>IF(AND(BH$5-$A83&gt;=0,BH$5-$A83&lt;=19),INDEX(HU_ord,BH$5-$A83+1)*$B83,0)</f>
        <v>0.0</v>
      </c>
      <c r="BI83" s="14">
        <f>IF(AND(BI$5-$A83&gt;=0,BI$5-$A83&lt;=19),INDEX(HU_ord,BI$5-$A83+1)*$B83,0)</f>
        <v>0.0</v>
      </c>
      <c r="BJ83" s="14">
        <f>IF(AND(BJ$5-$A83&gt;=0,BJ$5-$A83&lt;=19),INDEX(HU_ord,BJ$5-$A83+1)*$B83,0)</f>
        <v>0.0</v>
      </c>
      <c r="BK83" s="14">
        <f>IF(AND(BK$5-$A83&gt;=0,BK$5-$A83&lt;=19),INDEX(HU_ord,BK$5-$A83+1)*$B83,0)</f>
        <v>0.0</v>
      </c>
      <c r="BL83" s="14">
        <f>IF(AND(BL$5-$A83&gt;=0,BL$5-$A83&lt;=19),INDEX(HU_ord,BL$5-$A83+1)*$B83,0)</f>
        <v>0.0</v>
      </c>
      <c r="BM83" s="14">
        <f>IF(AND(BM$5-$A83&gt;=0,BM$5-$A83&lt;=19),INDEX(HU_ord,BM$5-$A83+1)*$B83,0)</f>
        <v>0.0</v>
      </c>
      <c r="BN83" s="14">
        <f>IF(AND(BN$5-$A83&gt;=0,BN$5-$A83&lt;=19),INDEX(HU_ord,BN$5-$A83+1)*$B83,0)</f>
        <v>0.0</v>
      </c>
      <c r="BO83" s="14">
        <f>IF(AND(BO$5-$A83&gt;=0,BO$5-$A83&lt;=19),INDEX(HU_ord,BO$5-$A83+1)*$B83,0)</f>
        <v>0.0</v>
      </c>
      <c r="BP83" s="14">
        <f>IF(AND(BP$5-$A83&gt;=0,BP$5-$A83&lt;=19),INDEX(HU_ord,BP$5-$A83+1)*$B83,0)</f>
        <v>0.0</v>
      </c>
      <c r="BQ83" s="14">
        <f>IF(AND(BQ$5-$A83&gt;=0,BQ$5-$A83&lt;=19),INDEX(HU_ord,BQ$5-$A83+1)*$B83,0)</f>
        <v>0.0</v>
      </c>
      <c r="BR83" s="14">
        <f>IF(AND(BR$5-$A83&gt;=0,BR$5-$A83&lt;=19),INDEX(HU_ord,BR$5-$A83+1)*$B83,0)</f>
        <v>0.0</v>
      </c>
      <c r="BS83" s="14">
        <f>IF(AND(BS$5-$A83&gt;=0,BS$5-$A83&lt;=19),INDEX(HU_ord,BS$5-$A83+1)*$B83,0)</f>
        <v>0.0</v>
      </c>
      <c r="BT83" s="14">
        <f>IF(AND(BT$5-$A83&gt;=0,BT$5-$A83&lt;=19),INDEX(HU_ord,BT$5-$A83+1)*$B83,0)</f>
        <v>0.0</v>
      </c>
      <c r="BU83" s="14">
        <f>IF(AND(BU$5-$A83&gt;=0,BU$5-$A83&lt;=19),INDEX(HU_ord,BU$5-$A83+1)*$B83,0)</f>
        <v>0.0</v>
      </c>
      <c r="BV83" s="14">
        <f>IF(AND(BV$5-$A83&gt;=0,BV$5-$A83&lt;=19),INDEX(HU_ord,BV$5-$A83+1)*$B83,0)</f>
        <v>0.0</v>
      </c>
      <c r="BW83" s="14">
        <f>IF(AND(BW$5-$A83&gt;=0,BW$5-$A83&lt;=19),INDEX(HU_ord,BW$5-$A83+1)*$B83,0)</f>
        <v>0.0</v>
      </c>
      <c r="BX83" s="14">
        <f>IF(AND(BX$5-$A83&gt;=0,BX$5-$A83&lt;=19),INDEX(HU_ord,BX$5-$A83+1)*$B83,0)</f>
        <v>0.0</v>
      </c>
      <c r="BY83" s="14">
        <f>IF(AND(BY$5-$A83&gt;=0,BY$5-$A83&lt;=19),INDEX(HU_ord,BY$5-$A83+1)*$B83,0)</f>
        <v>0.0</v>
      </c>
      <c r="BZ83" s="14">
        <f>IF(AND(BZ$5-$A83&gt;=0,BZ$5-$A83&lt;=19),INDEX(HU_ord,BZ$5-$A83+1)*$B83,0)</f>
        <v>0.0</v>
      </c>
      <c r="CA83" s="14">
        <f>IF(AND(CA$5-$A83&gt;=0,CA$5-$A83&lt;=19),INDEX(HU_ord,CA$5-$A83+1)*$B83,0)</f>
        <v>0.0</v>
      </c>
      <c r="CB83" s="14">
        <f>IF(AND(CB$5-$A83&gt;=0,CB$5-$A83&lt;=19),INDEX(HU_ord,CB$5-$A83+1)*$B83,0)</f>
        <v>0.0</v>
      </c>
      <c r="CC83" s="14">
        <f>IF(AND(CC$5-$A83&gt;=0,CC$5-$A83&lt;=19),INDEX(HU_ord,CC$5-$A83+1)*$B83,0)</f>
        <v>0.0</v>
      </c>
      <c r="CD83" s="14">
        <f>IF(AND(CD$5-$A83&gt;=0,CD$5-$A83&lt;=19),INDEX(HU_ord,CD$5-$A83+1)*$B83,0)</f>
        <v>0.0</v>
      </c>
      <c r="CE83" s="14">
        <f>IF(AND(CE$5-$A83&gt;=0,CE$5-$A83&lt;=19),INDEX(HU_ord,CE$5-$A83+1)*$B83,0)</f>
        <v>0.0</v>
      </c>
      <c r="CF83" s="14">
        <f>IF(AND(CF$5-$A83&gt;=0,CF$5-$A83&lt;=19),INDEX(HU_ord,CF$5-$A83+1)*$B83,0)</f>
        <v>0.0</v>
      </c>
      <c r="CG83" s="14">
        <f>IF(AND(CG$5-$A83&gt;=0,CG$5-$A83&lt;=19),INDEX(HU_ord,CG$5-$A83+1)*$B83,0)</f>
        <v>0.0</v>
      </c>
      <c r="CH83" s="14">
        <f>IF(AND(CH$5-$A83&gt;=0,CH$5-$A83&lt;=19),INDEX(HU_ord,CH$5-$A83+1)*$B83,0)</f>
        <v>0.0</v>
      </c>
      <c r="CI83" s="14">
        <f>IF(AND(CI$5-$A83&gt;=0,CI$5-$A83&lt;=19),INDEX(HU_ord,CI$5-$A83+1)*$B83,0)</f>
        <v>0.0</v>
      </c>
      <c r="CJ83" s="14">
        <f>IF(AND(CJ$5-$A83&gt;=0,CJ$5-$A83&lt;=19),INDEX(HU_ord,CJ$5-$A83+1)*$B83,0)</f>
        <v>0.0</v>
      </c>
      <c r="CK83" s="14">
        <f>IF(AND(CK$5-$A83&gt;=0,CK$5-$A83&lt;=19),INDEX(HU_ord,CK$5-$A83+1)*$B83,0)</f>
        <v>0.0</v>
      </c>
      <c r="CL83" s="14">
        <f>IF(AND(CL$5-$A83&gt;=0,CL$5-$A83&lt;=19),INDEX(HU_ord,CL$5-$A83+1)*$B83,0)</f>
        <v>0.0</v>
      </c>
      <c r="CM83" s="14">
        <f>IF(AND(CM$5-$A83&gt;=0,CM$5-$A83&lt;=19),INDEX(HU_ord,CM$5-$A83+1)*$B83,0)</f>
        <v>0.0</v>
      </c>
      <c r="CN83" s="14">
        <f>IF(AND(CN$5-$A83&gt;=0,CN$5-$A83&lt;=19),INDEX(HU_ord,CN$5-$A83+1)*$B83,0)</f>
        <v>0.0</v>
      </c>
      <c r="CO83" s="14">
        <f>IF(AND(CO$5-$A83&gt;=0,CO$5-$A83&lt;=19),INDEX(HU_ord,CO$5-$A83+1)*$B83,0)</f>
        <v>0.0</v>
      </c>
      <c r="CP83" s="14">
        <f>IF(AND(CP$5-$A83&gt;=0,CP$5-$A83&lt;=19),INDEX(HU_ord,CP$5-$A83+1)*$B83,0)</f>
        <v>0.0</v>
      </c>
      <c r="CQ83" s="14">
        <f>IF(AND(CQ$5-$A83&gt;=0,CQ$5-$A83&lt;=19),INDEX(HU_ord,CQ$5-$A83+1)*$B83,0)</f>
        <v>0.0</v>
      </c>
      <c r="CR83" s="14">
        <f>IF(AND(CR$5-$A83&gt;=0,CR$5-$A83&lt;=19),INDEX(HU_ord,CR$5-$A83+1)*$B83,0)</f>
        <v>0.0</v>
      </c>
      <c r="CS83" s="14">
        <f>IF(AND(CS$5-$A83&gt;=0,CS$5-$A83&lt;=19),INDEX(HU_ord,CS$5-$A83+1)*$B83,0)</f>
        <v>0.0</v>
      </c>
      <c r="CT83" s="14">
        <f>IF(AND(CT$5-$A83&gt;=0,CT$5-$A83&lt;=19),INDEX(HU_ord,CT$5-$A83+1)*$B83,0)</f>
        <v>0.0</v>
      </c>
      <c r="CU83" s="14">
        <f>IF(AND(CU$5-$A83&gt;=0,CU$5-$A83&lt;=19),INDEX(HU_ord,CU$5-$A83+1)*$B83,0)</f>
        <v>0.0</v>
      </c>
      <c r="CV83" s="14">
        <f>IF(AND(CV$5-$A83&gt;=0,CV$5-$A83&lt;=19),INDEX(HU_ord,CV$5-$A83+1)*$B83,0)</f>
        <v>0.0</v>
      </c>
      <c r="CW83" s="14">
        <f>IF(AND(CW$5-$A83&gt;=0,CW$5-$A83&lt;=19),INDEX(HU_ord,CW$5-$A83+1)*$B83,0)</f>
        <v>0.0</v>
      </c>
      <c r="CX83" s="14">
        <f>IF(AND(CX$5-$A83&gt;=0,CX$5-$A83&lt;=19),INDEX(HU_ord,CX$5-$A83+1)*$B83,0)</f>
        <v>0.0</v>
      </c>
      <c r="CY83" s="14">
        <f>IF(AND(CY$5-$A83&gt;=0,CY$5-$A83&lt;=19),INDEX(HU_ord,CY$5-$A83+1)*$B83,0)</f>
        <v>0.0</v>
      </c>
      <c r="CZ83" s="14">
        <f>IF(AND(CZ$5-$A83&gt;=0,CZ$5-$A83&lt;=19),INDEX(HU_ord,CZ$5-$A83+1)*$B83,0)</f>
        <v>0.0</v>
      </c>
      <c r="DA83" s="14">
        <f>IF(AND(DA$5-$A83&gt;=0,DA$5-$A83&lt;=19),INDEX(HU_ord,DA$5-$A83+1)*$B83,0)</f>
        <v>0.0</v>
      </c>
      <c r="DB83" s="14">
        <f>IF(AND(DB$5-$A83&gt;=0,DB$5-$A83&lt;=19),INDEX(HU_ord,DB$5-$A83+1)*$B83,0)</f>
        <v>0.0</v>
      </c>
      <c r="DC83" s="14">
        <f>IF(AND(DC$5-$A83&gt;=0,DC$5-$A83&lt;=19),INDEX(HU_ord,DC$5-$A83+1)*$B83,0)</f>
        <v>0.0</v>
      </c>
      <c r="DD83" s="14">
        <f>IF(AND(DD$5-$A83&gt;=0,DD$5-$A83&lt;=19),INDEX(HU_ord,DD$5-$A83+1)*$B83,0)</f>
        <v>0.0</v>
      </c>
      <c r="DE83" s="14">
        <f>IF(AND(DE$5-$A83&gt;=0,DE$5-$A83&lt;=19),INDEX(HU_ord,DE$5-$A83+1)*$B83,0)</f>
        <v>0.0</v>
      </c>
      <c r="DF83" s="14">
        <f>IF(AND(DF$5-$A83&gt;=0,DF$5-$A83&lt;=19),INDEX(HU_ord,DF$5-$A83+1)*$B83,0)</f>
        <v>0.0</v>
      </c>
      <c r="DG83" s="14">
        <f>IF(AND(DG$5-$A83&gt;=0,DG$5-$A83&lt;=19),INDEX(HU_ord,DG$5-$A83+1)*$B83,0)</f>
        <v>0.0</v>
      </c>
      <c r="DH83" s="14">
        <f>IF(AND(DH$5-$A83&gt;=0,DH$5-$A83&lt;=19),INDEX(HU_ord,DH$5-$A83+1)*$B83,0)</f>
        <v>0.0</v>
      </c>
      <c r="DI83" s="14">
        <f>IF(AND(DI$5-$A83&gt;=0,DI$5-$A83&lt;=19),INDEX(HU_ord,DI$5-$A83+1)*$B83,0)</f>
        <v>0.0</v>
      </c>
    </row>
    <row r="84" spans="1:113">
      <c r="A84">
        <v>78</v>
      </c>
      <c r="B84" s="10">
        <f>Serie_horaria!N80</f>
        <v>0.0</v>
      </c>
      <c r="C84" s="14">
        <f>IF(AND(C$5-$A84&gt;=0,C$5-$A84&lt;=19),INDEX(HU_ord,C$5-$A84+1)*$B84,0)</f>
        <v>0.0</v>
      </c>
      <c r="D84" s="14">
        <f>IF(AND(D$5-$A84&gt;=0,D$5-$A84&lt;=19),INDEX(HU_ord,D$5-$A84+1)*$B84,0)</f>
        <v>0.0</v>
      </c>
      <c r="E84" s="14">
        <f>IF(AND(E$5-$A84&gt;=0,E$5-$A84&lt;=19),INDEX(HU_ord,E$5-$A84+1)*$B84,0)</f>
        <v>0.0</v>
      </c>
      <c r="F84" s="14">
        <f>IF(AND(F$5-$A84&gt;=0,F$5-$A84&lt;=19),INDEX(HU_ord,F$5-$A84+1)*$B84,0)</f>
        <v>0.0</v>
      </c>
      <c r="G84" s="14">
        <f>IF(AND(G$5-$A84&gt;=0,G$5-$A84&lt;=19),INDEX(HU_ord,G$5-$A84+1)*$B84,0)</f>
        <v>0.0</v>
      </c>
      <c r="H84" s="14">
        <f>IF(AND(H$5-$A84&gt;=0,H$5-$A84&lt;=19),INDEX(HU_ord,H$5-$A84+1)*$B84,0)</f>
        <v>0.0</v>
      </c>
      <c r="I84" s="14">
        <f>IF(AND(I$5-$A84&gt;=0,I$5-$A84&lt;=19),INDEX(HU_ord,I$5-$A84+1)*$B84,0)</f>
        <v>0.0</v>
      </c>
      <c r="J84" s="14">
        <f>IF(AND(J$5-$A84&gt;=0,J$5-$A84&lt;=19),INDEX(HU_ord,J$5-$A84+1)*$B84,0)</f>
        <v>0.0</v>
      </c>
      <c r="K84" s="14">
        <f>IF(AND(K$5-$A84&gt;=0,K$5-$A84&lt;=19),INDEX(HU_ord,K$5-$A84+1)*$B84,0)</f>
        <v>0.0</v>
      </c>
      <c r="L84" s="14">
        <f>IF(AND(L$5-$A84&gt;=0,L$5-$A84&lt;=19),INDEX(HU_ord,L$5-$A84+1)*$B84,0)</f>
        <v>0.0</v>
      </c>
      <c r="M84" s="14">
        <f>IF(AND(M$5-$A84&gt;=0,M$5-$A84&lt;=19),INDEX(HU_ord,M$5-$A84+1)*$B84,0)</f>
        <v>0.0</v>
      </c>
      <c r="N84" s="14">
        <f>IF(AND(N$5-$A84&gt;=0,N$5-$A84&lt;=19),INDEX(HU_ord,N$5-$A84+1)*$B84,0)</f>
        <v>0.0</v>
      </c>
      <c r="O84" s="14">
        <f>IF(AND(O$5-$A84&gt;=0,O$5-$A84&lt;=19),INDEX(HU_ord,O$5-$A84+1)*$B84,0)</f>
        <v>0.0</v>
      </c>
      <c r="P84" s="14">
        <f>IF(AND(P$5-$A84&gt;=0,P$5-$A84&lt;=19),INDEX(HU_ord,P$5-$A84+1)*$B84,0)</f>
        <v>0.0</v>
      </c>
      <c r="Q84" s="14">
        <f>IF(AND(Q$5-$A84&gt;=0,Q$5-$A84&lt;=19),INDEX(HU_ord,Q$5-$A84+1)*$B84,0)</f>
        <v>0.0</v>
      </c>
      <c r="R84" s="14">
        <f>IF(AND(R$5-$A84&gt;=0,R$5-$A84&lt;=19),INDEX(HU_ord,R$5-$A84+1)*$B84,0)</f>
        <v>0.0</v>
      </c>
      <c r="S84" s="14">
        <f>IF(AND(S$5-$A84&gt;=0,S$5-$A84&lt;=19),INDEX(HU_ord,S$5-$A84+1)*$B84,0)</f>
        <v>0.0</v>
      </c>
      <c r="T84" s="14">
        <f>IF(AND(T$5-$A84&gt;=0,T$5-$A84&lt;=19),INDEX(HU_ord,T$5-$A84+1)*$B84,0)</f>
        <v>0.0</v>
      </c>
      <c r="U84" s="14">
        <f>IF(AND(U$5-$A84&gt;=0,U$5-$A84&lt;=19),INDEX(HU_ord,U$5-$A84+1)*$B84,0)</f>
        <v>0.0</v>
      </c>
      <c r="V84" s="14">
        <f>IF(AND(V$5-$A84&gt;=0,V$5-$A84&lt;=19),INDEX(HU_ord,V$5-$A84+1)*$B84,0)</f>
        <v>0.0</v>
      </c>
      <c r="W84" s="14">
        <f>IF(AND(W$5-$A84&gt;=0,W$5-$A84&lt;=19),INDEX(HU_ord,W$5-$A84+1)*$B84,0)</f>
        <v>0.0</v>
      </c>
      <c r="X84" s="14">
        <f>IF(AND(X$5-$A84&gt;=0,X$5-$A84&lt;=19),INDEX(HU_ord,X$5-$A84+1)*$B84,0)</f>
        <v>0.0</v>
      </c>
      <c r="Y84" s="14">
        <f>IF(AND(Y$5-$A84&gt;=0,Y$5-$A84&lt;=19),INDEX(HU_ord,Y$5-$A84+1)*$B84,0)</f>
        <v>0.0</v>
      </c>
      <c r="Z84" s="14">
        <f>IF(AND(Z$5-$A84&gt;=0,Z$5-$A84&lt;=19),INDEX(HU_ord,Z$5-$A84+1)*$B84,0)</f>
        <v>0.0</v>
      </c>
      <c r="AA84" s="14">
        <f>IF(AND(AA$5-$A84&gt;=0,AA$5-$A84&lt;=19),INDEX(HU_ord,AA$5-$A84+1)*$B84,0)</f>
        <v>0.0</v>
      </c>
      <c r="AB84" s="14">
        <f>IF(AND(AB$5-$A84&gt;=0,AB$5-$A84&lt;=19),INDEX(HU_ord,AB$5-$A84+1)*$B84,0)</f>
        <v>0.0</v>
      </c>
      <c r="AC84" s="14">
        <f>IF(AND(AC$5-$A84&gt;=0,AC$5-$A84&lt;=19),INDEX(HU_ord,AC$5-$A84+1)*$B84,0)</f>
        <v>0.0</v>
      </c>
      <c r="AD84" s="14">
        <f>IF(AND(AD$5-$A84&gt;=0,AD$5-$A84&lt;=19),INDEX(HU_ord,AD$5-$A84+1)*$B84,0)</f>
        <v>0.0</v>
      </c>
      <c r="AE84" s="14">
        <f>IF(AND(AE$5-$A84&gt;=0,AE$5-$A84&lt;=19),INDEX(HU_ord,AE$5-$A84+1)*$B84,0)</f>
        <v>0.0</v>
      </c>
      <c r="AF84" s="14">
        <f>IF(AND(AF$5-$A84&gt;=0,AF$5-$A84&lt;=19),INDEX(HU_ord,AF$5-$A84+1)*$B84,0)</f>
        <v>0.0</v>
      </c>
      <c r="AG84" s="14">
        <f>IF(AND(AG$5-$A84&gt;=0,AG$5-$A84&lt;=19),INDEX(HU_ord,AG$5-$A84+1)*$B84,0)</f>
        <v>0.0</v>
      </c>
      <c r="AH84" s="14">
        <f>IF(AND(AH$5-$A84&gt;=0,AH$5-$A84&lt;=19),INDEX(HU_ord,AH$5-$A84+1)*$B84,0)</f>
        <v>0.0</v>
      </c>
      <c r="AI84" s="14">
        <f>IF(AND(AI$5-$A84&gt;=0,AI$5-$A84&lt;=19),INDEX(HU_ord,AI$5-$A84+1)*$B84,0)</f>
        <v>0.0</v>
      </c>
      <c r="AJ84" s="14">
        <f>IF(AND(AJ$5-$A84&gt;=0,AJ$5-$A84&lt;=19),INDEX(HU_ord,AJ$5-$A84+1)*$B84,0)</f>
        <v>0.0</v>
      </c>
      <c r="AK84" s="14">
        <f>IF(AND(AK$5-$A84&gt;=0,AK$5-$A84&lt;=19),INDEX(HU_ord,AK$5-$A84+1)*$B84,0)</f>
        <v>0.0</v>
      </c>
      <c r="AL84" s="14">
        <f>IF(AND(AL$5-$A84&gt;=0,AL$5-$A84&lt;=19),INDEX(HU_ord,AL$5-$A84+1)*$B84,0)</f>
        <v>0.0</v>
      </c>
      <c r="AM84" s="14">
        <f>IF(AND(AM$5-$A84&gt;=0,AM$5-$A84&lt;=19),INDEX(HU_ord,AM$5-$A84+1)*$B84,0)</f>
        <v>0.0</v>
      </c>
      <c r="AN84" s="14">
        <f>IF(AND(AN$5-$A84&gt;=0,AN$5-$A84&lt;=19),INDEX(HU_ord,AN$5-$A84+1)*$B84,0)</f>
        <v>0.0</v>
      </c>
      <c r="AO84" s="14">
        <f>IF(AND(AO$5-$A84&gt;=0,AO$5-$A84&lt;=19),INDEX(HU_ord,AO$5-$A84+1)*$B84,0)</f>
        <v>0.0</v>
      </c>
      <c r="AP84" s="14">
        <f>IF(AND(AP$5-$A84&gt;=0,AP$5-$A84&lt;=19),INDEX(HU_ord,AP$5-$A84+1)*$B84,0)</f>
        <v>0.0</v>
      </c>
      <c r="AQ84" s="14">
        <f>IF(AND(AQ$5-$A84&gt;=0,AQ$5-$A84&lt;=19),INDEX(HU_ord,AQ$5-$A84+1)*$B84,0)</f>
        <v>0.0</v>
      </c>
      <c r="AR84" s="14">
        <f>IF(AND(AR$5-$A84&gt;=0,AR$5-$A84&lt;=19),INDEX(HU_ord,AR$5-$A84+1)*$B84,0)</f>
        <v>0.0</v>
      </c>
      <c r="AS84" s="14">
        <f>IF(AND(AS$5-$A84&gt;=0,AS$5-$A84&lt;=19),INDEX(HU_ord,AS$5-$A84+1)*$B84,0)</f>
        <v>0.0</v>
      </c>
      <c r="AT84" s="14">
        <f>IF(AND(AT$5-$A84&gt;=0,AT$5-$A84&lt;=19),INDEX(HU_ord,AT$5-$A84+1)*$B84,0)</f>
        <v>0.0</v>
      </c>
      <c r="AU84" s="14">
        <f>IF(AND(AU$5-$A84&gt;=0,AU$5-$A84&lt;=19),INDEX(HU_ord,AU$5-$A84+1)*$B84,0)</f>
        <v>0.0</v>
      </c>
      <c r="AV84" s="14">
        <f>IF(AND(AV$5-$A84&gt;=0,AV$5-$A84&lt;=19),INDEX(HU_ord,AV$5-$A84+1)*$B84,0)</f>
        <v>0.0</v>
      </c>
      <c r="AW84" s="14">
        <f>IF(AND(AW$5-$A84&gt;=0,AW$5-$A84&lt;=19),INDEX(HU_ord,AW$5-$A84+1)*$B84,0)</f>
        <v>0.0</v>
      </c>
      <c r="AX84" s="14">
        <f>IF(AND(AX$5-$A84&gt;=0,AX$5-$A84&lt;=19),INDEX(HU_ord,AX$5-$A84+1)*$B84,0)</f>
        <v>0.0</v>
      </c>
      <c r="AY84" s="14">
        <f>IF(AND(AY$5-$A84&gt;=0,AY$5-$A84&lt;=19),INDEX(HU_ord,AY$5-$A84+1)*$B84,0)</f>
        <v>0.0</v>
      </c>
      <c r="AZ84" s="14">
        <f>IF(AND(AZ$5-$A84&gt;=0,AZ$5-$A84&lt;=19),INDEX(HU_ord,AZ$5-$A84+1)*$B84,0)</f>
        <v>0.0</v>
      </c>
      <c r="BA84" s="14">
        <f>IF(AND(BA$5-$A84&gt;=0,BA$5-$A84&lt;=19),INDEX(HU_ord,BA$5-$A84+1)*$B84,0)</f>
        <v>0.0</v>
      </c>
      <c r="BB84" s="14">
        <f>IF(AND(BB$5-$A84&gt;=0,BB$5-$A84&lt;=19),INDEX(HU_ord,BB$5-$A84+1)*$B84,0)</f>
        <v>0.0</v>
      </c>
      <c r="BC84" s="14">
        <f>IF(AND(BC$5-$A84&gt;=0,BC$5-$A84&lt;=19),INDEX(HU_ord,BC$5-$A84+1)*$B84,0)</f>
        <v>0.0</v>
      </c>
      <c r="BD84" s="14">
        <f>IF(AND(BD$5-$A84&gt;=0,BD$5-$A84&lt;=19),INDEX(HU_ord,BD$5-$A84+1)*$B84,0)</f>
        <v>0.0</v>
      </c>
      <c r="BE84" s="14">
        <f>IF(AND(BE$5-$A84&gt;=0,BE$5-$A84&lt;=19),INDEX(HU_ord,BE$5-$A84+1)*$B84,0)</f>
        <v>0.0</v>
      </c>
      <c r="BF84" s="14">
        <f>IF(AND(BF$5-$A84&gt;=0,BF$5-$A84&lt;=19),INDEX(HU_ord,BF$5-$A84+1)*$B84,0)</f>
        <v>0.0</v>
      </c>
      <c r="BG84" s="14">
        <f>IF(AND(BG$5-$A84&gt;=0,BG$5-$A84&lt;=19),INDEX(HU_ord,BG$5-$A84+1)*$B84,0)</f>
        <v>0.0</v>
      </c>
      <c r="BH84" s="14">
        <f>IF(AND(BH$5-$A84&gt;=0,BH$5-$A84&lt;=19),INDEX(HU_ord,BH$5-$A84+1)*$B84,0)</f>
        <v>0.0</v>
      </c>
      <c r="BI84" s="14">
        <f>IF(AND(BI$5-$A84&gt;=0,BI$5-$A84&lt;=19),INDEX(HU_ord,BI$5-$A84+1)*$B84,0)</f>
        <v>0.0</v>
      </c>
      <c r="BJ84" s="14">
        <f>IF(AND(BJ$5-$A84&gt;=0,BJ$5-$A84&lt;=19),INDEX(HU_ord,BJ$5-$A84+1)*$B84,0)</f>
        <v>0.0</v>
      </c>
      <c r="BK84" s="14">
        <f>IF(AND(BK$5-$A84&gt;=0,BK$5-$A84&lt;=19),INDEX(HU_ord,BK$5-$A84+1)*$B84,0)</f>
        <v>0.0</v>
      </c>
      <c r="BL84" s="14">
        <f>IF(AND(BL$5-$A84&gt;=0,BL$5-$A84&lt;=19),INDEX(HU_ord,BL$5-$A84+1)*$B84,0)</f>
        <v>0.0</v>
      </c>
      <c r="BM84" s="14">
        <f>IF(AND(BM$5-$A84&gt;=0,BM$5-$A84&lt;=19),INDEX(HU_ord,BM$5-$A84+1)*$B84,0)</f>
        <v>0.0</v>
      </c>
      <c r="BN84" s="14">
        <f>IF(AND(BN$5-$A84&gt;=0,BN$5-$A84&lt;=19),INDEX(HU_ord,BN$5-$A84+1)*$B84,0)</f>
        <v>0.0</v>
      </c>
      <c r="BO84" s="14">
        <f>IF(AND(BO$5-$A84&gt;=0,BO$5-$A84&lt;=19),INDEX(HU_ord,BO$5-$A84+1)*$B84,0)</f>
        <v>0.0</v>
      </c>
      <c r="BP84" s="14">
        <f>IF(AND(BP$5-$A84&gt;=0,BP$5-$A84&lt;=19),INDEX(HU_ord,BP$5-$A84+1)*$B84,0)</f>
        <v>0.0</v>
      </c>
      <c r="BQ84" s="14">
        <f>IF(AND(BQ$5-$A84&gt;=0,BQ$5-$A84&lt;=19),INDEX(HU_ord,BQ$5-$A84+1)*$B84,0)</f>
        <v>0.0</v>
      </c>
      <c r="BR84" s="14">
        <f>IF(AND(BR$5-$A84&gt;=0,BR$5-$A84&lt;=19),INDEX(HU_ord,BR$5-$A84+1)*$B84,0)</f>
        <v>0.0</v>
      </c>
      <c r="BS84" s="14">
        <f>IF(AND(BS$5-$A84&gt;=0,BS$5-$A84&lt;=19),INDEX(HU_ord,BS$5-$A84+1)*$B84,0)</f>
        <v>0.0</v>
      </c>
      <c r="BT84" s="14">
        <f>IF(AND(BT$5-$A84&gt;=0,BT$5-$A84&lt;=19),INDEX(HU_ord,BT$5-$A84+1)*$B84,0)</f>
        <v>0.0</v>
      </c>
      <c r="BU84" s="14">
        <f>IF(AND(BU$5-$A84&gt;=0,BU$5-$A84&lt;=19),INDEX(HU_ord,BU$5-$A84+1)*$B84,0)</f>
        <v>0.0</v>
      </c>
      <c r="BV84" s="14">
        <f>IF(AND(BV$5-$A84&gt;=0,BV$5-$A84&lt;=19),INDEX(HU_ord,BV$5-$A84+1)*$B84,0)</f>
        <v>0.0</v>
      </c>
      <c r="BW84" s="14">
        <f>IF(AND(BW$5-$A84&gt;=0,BW$5-$A84&lt;=19),INDEX(HU_ord,BW$5-$A84+1)*$B84,0)</f>
        <v>0.0</v>
      </c>
      <c r="BX84" s="14">
        <f>IF(AND(BX$5-$A84&gt;=0,BX$5-$A84&lt;=19),INDEX(HU_ord,BX$5-$A84+1)*$B84,0)</f>
        <v>0.0</v>
      </c>
      <c r="BY84" s="14">
        <f>IF(AND(BY$5-$A84&gt;=0,BY$5-$A84&lt;=19),INDEX(HU_ord,BY$5-$A84+1)*$B84,0)</f>
        <v>0.0</v>
      </c>
      <c r="BZ84" s="14">
        <f>IF(AND(BZ$5-$A84&gt;=0,BZ$5-$A84&lt;=19),INDEX(HU_ord,BZ$5-$A84+1)*$B84,0)</f>
        <v>0.0</v>
      </c>
      <c r="CA84" s="14">
        <f>IF(AND(CA$5-$A84&gt;=0,CA$5-$A84&lt;=19),INDEX(HU_ord,CA$5-$A84+1)*$B84,0)</f>
        <v>0.0</v>
      </c>
      <c r="CB84" s="14">
        <f>IF(AND(CB$5-$A84&gt;=0,CB$5-$A84&lt;=19),INDEX(HU_ord,CB$5-$A84+1)*$B84,0)</f>
        <v>0.0</v>
      </c>
      <c r="CC84" s="14">
        <f>IF(AND(CC$5-$A84&gt;=0,CC$5-$A84&lt;=19),INDEX(HU_ord,CC$5-$A84+1)*$B84,0)</f>
        <v>0.0</v>
      </c>
      <c r="CD84" s="14">
        <f>IF(AND(CD$5-$A84&gt;=0,CD$5-$A84&lt;=19),INDEX(HU_ord,CD$5-$A84+1)*$B84,0)</f>
        <v>0.0</v>
      </c>
      <c r="CE84" s="14">
        <f>IF(AND(CE$5-$A84&gt;=0,CE$5-$A84&lt;=19),INDEX(HU_ord,CE$5-$A84+1)*$B84,0)</f>
        <v>0.0</v>
      </c>
      <c r="CF84" s="14">
        <f>IF(AND(CF$5-$A84&gt;=0,CF$5-$A84&lt;=19),INDEX(HU_ord,CF$5-$A84+1)*$B84,0)</f>
        <v>0.0</v>
      </c>
      <c r="CG84" s="14">
        <f>IF(AND(CG$5-$A84&gt;=0,CG$5-$A84&lt;=19),INDEX(HU_ord,CG$5-$A84+1)*$B84,0)</f>
        <v>0.0</v>
      </c>
      <c r="CH84" s="14">
        <f>IF(AND(CH$5-$A84&gt;=0,CH$5-$A84&lt;=19),INDEX(HU_ord,CH$5-$A84+1)*$B84,0)</f>
        <v>0.0</v>
      </c>
      <c r="CI84" s="14">
        <f>IF(AND(CI$5-$A84&gt;=0,CI$5-$A84&lt;=19),INDEX(HU_ord,CI$5-$A84+1)*$B84,0)</f>
        <v>0.0</v>
      </c>
      <c r="CJ84" s="14">
        <f>IF(AND(CJ$5-$A84&gt;=0,CJ$5-$A84&lt;=19),INDEX(HU_ord,CJ$5-$A84+1)*$B84,0)</f>
        <v>0.0</v>
      </c>
      <c r="CK84" s="14">
        <f>IF(AND(CK$5-$A84&gt;=0,CK$5-$A84&lt;=19),INDEX(HU_ord,CK$5-$A84+1)*$B84,0)</f>
        <v>0.0</v>
      </c>
      <c r="CL84" s="14">
        <f>IF(AND(CL$5-$A84&gt;=0,CL$5-$A84&lt;=19),INDEX(HU_ord,CL$5-$A84+1)*$B84,0)</f>
        <v>0.0</v>
      </c>
      <c r="CM84" s="14">
        <f>IF(AND(CM$5-$A84&gt;=0,CM$5-$A84&lt;=19),INDEX(HU_ord,CM$5-$A84+1)*$B84,0)</f>
        <v>0.0</v>
      </c>
      <c r="CN84" s="14">
        <f>IF(AND(CN$5-$A84&gt;=0,CN$5-$A84&lt;=19),INDEX(HU_ord,CN$5-$A84+1)*$B84,0)</f>
        <v>0.0</v>
      </c>
      <c r="CO84" s="14">
        <f>IF(AND(CO$5-$A84&gt;=0,CO$5-$A84&lt;=19),INDEX(HU_ord,CO$5-$A84+1)*$B84,0)</f>
        <v>0.0</v>
      </c>
      <c r="CP84" s="14">
        <f>IF(AND(CP$5-$A84&gt;=0,CP$5-$A84&lt;=19),INDEX(HU_ord,CP$5-$A84+1)*$B84,0)</f>
        <v>0.0</v>
      </c>
      <c r="CQ84" s="14">
        <f>IF(AND(CQ$5-$A84&gt;=0,CQ$5-$A84&lt;=19),INDEX(HU_ord,CQ$5-$A84+1)*$B84,0)</f>
        <v>0.0</v>
      </c>
      <c r="CR84" s="14">
        <f>IF(AND(CR$5-$A84&gt;=0,CR$5-$A84&lt;=19),INDEX(HU_ord,CR$5-$A84+1)*$B84,0)</f>
        <v>0.0</v>
      </c>
      <c r="CS84" s="14">
        <f>IF(AND(CS$5-$A84&gt;=0,CS$5-$A84&lt;=19),INDEX(HU_ord,CS$5-$A84+1)*$B84,0)</f>
        <v>0.0</v>
      </c>
      <c r="CT84" s="14">
        <f>IF(AND(CT$5-$A84&gt;=0,CT$5-$A84&lt;=19),INDEX(HU_ord,CT$5-$A84+1)*$B84,0)</f>
        <v>0.0</v>
      </c>
      <c r="CU84" s="14">
        <f>IF(AND(CU$5-$A84&gt;=0,CU$5-$A84&lt;=19),INDEX(HU_ord,CU$5-$A84+1)*$B84,0)</f>
        <v>0.0</v>
      </c>
      <c r="CV84" s="14">
        <f>IF(AND(CV$5-$A84&gt;=0,CV$5-$A84&lt;=19),INDEX(HU_ord,CV$5-$A84+1)*$B84,0)</f>
        <v>0.0</v>
      </c>
      <c r="CW84" s="14">
        <f>IF(AND(CW$5-$A84&gt;=0,CW$5-$A84&lt;=19),INDEX(HU_ord,CW$5-$A84+1)*$B84,0)</f>
        <v>0.0</v>
      </c>
      <c r="CX84" s="14">
        <f>IF(AND(CX$5-$A84&gt;=0,CX$5-$A84&lt;=19),INDEX(HU_ord,CX$5-$A84+1)*$B84,0)</f>
        <v>0.0</v>
      </c>
      <c r="CY84" s="14">
        <f>IF(AND(CY$5-$A84&gt;=0,CY$5-$A84&lt;=19),INDEX(HU_ord,CY$5-$A84+1)*$B84,0)</f>
        <v>0.0</v>
      </c>
      <c r="CZ84" s="14">
        <f>IF(AND(CZ$5-$A84&gt;=0,CZ$5-$A84&lt;=19),INDEX(HU_ord,CZ$5-$A84+1)*$B84,0)</f>
        <v>0.0</v>
      </c>
      <c r="DA84" s="14">
        <f>IF(AND(DA$5-$A84&gt;=0,DA$5-$A84&lt;=19),INDEX(HU_ord,DA$5-$A84+1)*$B84,0)</f>
        <v>0.0</v>
      </c>
      <c r="DB84" s="14">
        <f>IF(AND(DB$5-$A84&gt;=0,DB$5-$A84&lt;=19),INDEX(HU_ord,DB$5-$A84+1)*$B84,0)</f>
        <v>0.0</v>
      </c>
      <c r="DC84" s="14">
        <f>IF(AND(DC$5-$A84&gt;=0,DC$5-$A84&lt;=19),INDEX(HU_ord,DC$5-$A84+1)*$B84,0)</f>
        <v>0.0</v>
      </c>
      <c r="DD84" s="14">
        <f>IF(AND(DD$5-$A84&gt;=0,DD$5-$A84&lt;=19),INDEX(HU_ord,DD$5-$A84+1)*$B84,0)</f>
        <v>0.0</v>
      </c>
      <c r="DE84" s="14">
        <f>IF(AND(DE$5-$A84&gt;=0,DE$5-$A84&lt;=19),INDEX(HU_ord,DE$5-$A84+1)*$B84,0)</f>
        <v>0.0</v>
      </c>
      <c r="DF84" s="14">
        <f>IF(AND(DF$5-$A84&gt;=0,DF$5-$A84&lt;=19),INDEX(HU_ord,DF$5-$A84+1)*$B84,0)</f>
        <v>0.0</v>
      </c>
      <c r="DG84" s="14">
        <f>IF(AND(DG$5-$A84&gt;=0,DG$5-$A84&lt;=19),INDEX(HU_ord,DG$5-$A84+1)*$B84,0)</f>
        <v>0.0</v>
      </c>
      <c r="DH84" s="14">
        <f>IF(AND(DH$5-$A84&gt;=0,DH$5-$A84&lt;=19),INDEX(HU_ord,DH$5-$A84+1)*$B84,0)</f>
        <v>0.0</v>
      </c>
      <c r="DI84" s="14">
        <f>IF(AND(DI$5-$A84&gt;=0,DI$5-$A84&lt;=19),INDEX(HU_ord,DI$5-$A84+1)*$B84,0)</f>
        <v>0.0</v>
      </c>
    </row>
    <row r="85" spans="1:113">
      <c r="A85">
        <v>79</v>
      </c>
      <c r="B85" s="10">
        <f>Serie_horaria!N81</f>
        <v>0.0</v>
      </c>
      <c r="C85" s="14">
        <f>IF(AND(C$5-$A85&gt;=0,C$5-$A85&lt;=19),INDEX(HU_ord,C$5-$A85+1)*$B85,0)</f>
        <v>0.0</v>
      </c>
      <c r="D85" s="14">
        <f>IF(AND(D$5-$A85&gt;=0,D$5-$A85&lt;=19),INDEX(HU_ord,D$5-$A85+1)*$B85,0)</f>
        <v>0.0</v>
      </c>
      <c r="E85" s="14">
        <f>IF(AND(E$5-$A85&gt;=0,E$5-$A85&lt;=19),INDEX(HU_ord,E$5-$A85+1)*$B85,0)</f>
        <v>0.0</v>
      </c>
      <c r="F85" s="14">
        <f>IF(AND(F$5-$A85&gt;=0,F$5-$A85&lt;=19),INDEX(HU_ord,F$5-$A85+1)*$B85,0)</f>
        <v>0.0</v>
      </c>
      <c r="G85" s="14">
        <f>IF(AND(G$5-$A85&gt;=0,G$5-$A85&lt;=19),INDEX(HU_ord,G$5-$A85+1)*$B85,0)</f>
        <v>0.0</v>
      </c>
      <c r="H85" s="14">
        <f>IF(AND(H$5-$A85&gt;=0,H$5-$A85&lt;=19),INDEX(HU_ord,H$5-$A85+1)*$B85,0)</f>
        <v>0.0</v>
      </c>
      <c r="I85" s="14">
        <f>IF(AND(I$5-$A85&gt;=0,I$5-$A85&lt;=19),INDEX(HU_ord,I$5-$A85+1)*$B85,0)</f>
        <v>0.0</v>
      </c>
      <c r="J85" s="14">
        <f>IF(AND(J$5-$A85&gt;=0,J$5-$A85&lt;=19),INDEX(HU_ord,J$5-$A85+1)*$B85,0)</f>
        <v>0.0</v>
      </c>
      <c r="K85" s="14">
        <f>IF(AND(K$5-$A85&gt;=0,K$5-$A85&lt;=19),INDEX(HU_ord,K$5-$A85+1)*$B85,0)</f>
        <v>0.0</v>
      </c>
      <c r="L85" s="14">
        <f>IF(AND(L$5-$A85&gt;=0,L$5-$A85&lt;=19),INDEX(HU_ord,L$5-$A85+1)*$B85,0)</f>
        <v>0.0</v>
      </c>
      <c r="M85" s="14">
        <f>IF(AND(M$5-$A85&gt;=0,M$5-$A85&lt;=19),INDEX(HU_ord,M$5-$A85+1)*$B85,0)</f>
        <v>0.0</v>
      </c>
      <c r="N85" s="14">
        <f>IF(AND(N$5-$A85&gt;=0,N$5-$A85&lt;=19),INDEX(HU_ord,N$5-$A85+1)*$B85,0)</f>
        <v>0.0</v>
      </c>
      <c r="O85" s="14">
        <f>IF(AND(O$5-$A85&gt;=0,O$5-$A85&lt;=19),INDEX(HU_ord,O$5-$A85+1)*$B85,0)</f>
        <v>0.0</v>
      </c>
      <c r="P85" s="14">
        <f>IF(AND(P$5-$A85&gt;=0,P$5-$A85&lt;=19),INDEX(HU_ord,P$5-$A85+1)*$B85,0)</f>
        <v>0.0</v>
      </c>
      <c r="Q85" s="14">
        <f>IF(AND(Q$5-$A85&gt;=0,Q$5-$A85&lt;=19),INDEX(HU_ord,Q$5-$A85+1)*$B85,0)</f>
        <v>0.0</v>
      </c>
      <c r="R85" s="14">
        <f>IF(AND(R$5-$A85&gt;=0,R$5-$A85&lt;=19),INDEX(HU_ord,R$5-$A85+1)*$B85,0)</f>
        <v>0.0</v>
      </c>
      <c r="S85" s="14">
        <f>IF(AND(S$5-$A85&gt;=0,S$5-$A85&lt;=19),INDEX(HU_ord,S$5-$A85+1)*$B85,0)</f>
        <v>0.0</v>
      </c>
      <c r="T85" s="14">
        <f>IF(AND(T$5-$A85&gt;=0,T$5-$A85&lt;=19),INDEX(HU_ord,T$5-$A85+1)*$B85,0)</f>
        <v>0.0</v>
      </c>
      <c r="U85" s="14">
        <f>IF(AND(U$5-$A85&gt;=0,U$5-$A85&lt;=19),INDEX(HU_ord,U$5-$A85+1)*$B85,0)</f>
        <v>0.0</v>
      </c>
      <c r="V85" s="14">
        <f>IF(AND(V$5-$A85&gt;=0,V$5-$A85&lt;=19),INDEX(HU_ord,V$5-$A85+1)*$B85,0)</f>
        <v>0.0</v>
      </c>
      <c r="W85" s="14">
        <f>IF(AND(W$5-$A85&gt;=0,W$5-$A85&lt;=19),INDEX(HU_ord,W$5-$A85+1)*$B85,0)</f>
        <v>0.0</v>
      </c>
      <c r="X85" s="14">
        <f>IF(AND(X$5-$A85&gt;=0,X$5-$A85&lt;=19),INDEX(HU_ord,X$5-$A85+1)*$B85,0)</f>
        <v>0.0</v>
      </c>
      <c r="Y85" s="14">
        <f>IF(AND(Y$5-$A85&gt;=0,Y$5-$A85&lt;=19),INDEX(HU_ord,Y$5-$A85+1)*$B85,0)</f>
        <v>0.0</v>
      </c>
      <c r="Z85" s="14">
        <f>IF(AND(Z$5-$A85&gt;=0,Z$5-$A85&lt;=19),INDEX(HU_ord,Z$5-$A85+1)*$B85,0)</f>
        <v>0.0</v>
      </c>
      <c r="AA85" s="14">
        <f>IF(AND(AA$5-$A85&gt;=0,AA$5-$A85&lt;=19),INDEX(HU_ord,AA$5-$A85+1)*$B85,0)</f>
        <v>0.0</v>
      </c>
      <c r="AB85" s="14">
        <f>IF(AND(AB$5-$A85&gt;=0,AB$5-$A85&lt;=19),INDEX(HU_ord,AB$5-$A85+1)*$B85,0)</f>
        <v>0.0</v>
      </c>
      <c r="AC85" s="14">
        <f>IF(AND(AC$5-$A85&gt;=0,AC$5-$A85&lt;=19),INDEX(HU_ord,AC$5-$A85+1)*$B85,0)</f>
        <v>0.0</v>
      </c>
      <c r="AD85" s="14">
        <f>IF(AND(AD$5-$A85&gt;=0,AD$5-$A85&lt;=19),INDEX(HU_ord,AD$5-$A85+1)*$B85,0)</f>
        <v>0.0</v>
      </c>
      <c r="AE85" s="14">
        <f>IF(AND(AE$5-$A85&gt;=0,AE$5-$A85&lt;=19),INDEX(HU_ord,AE$5-$A85+1)*$B85,0)</f>
        <v>0.0</v>
      </c>
      <c r="AF85" s="14">
        <f>IF(AND(AF$5-$A85&gt;=0,AF$5-$A85&lt;=19),INDEX(HU_ord,AF$5-$A85+1)*$B85,0)</f>
        <v>0.0</v>
      </c>
      <c r="AG85" s="14">
        <f>IF(AND(AG$5-$A85&gt;=0,AG$5-$A85&lt;=19),INDEX(HU_ord,AG$5-$A85+1)*$B85,0)</f>
        <v>0.0</v>
      </c>
      <c r="AH85" s="14">
        <f>IF(AND(AH$5-$A85&gt;=0,AH$5-$A85&lt;=19),INDEX(HU_ord,AH$5-$A85+1)*$B85,0)</f>
        <v>0.0</v>
      </c>
      <c r="AI85" s="14">
        <f>IF(AND(AI$5-$A85&gt;=0,AI$5-$A85&lt;=19),INDEX(HU_ord,AI$5-$A85+1)*$B85,0)</f>
        <v>0.0</v>
      </c>
      <c r="AJ85" s="14">
        <f>IF(AND(AJ$5-$A85&gt;=0,AJ$5-$A85&lt;=19),INDEX(HU_ord,AJ$5-$A85+1)*$B85,0)</f>
        <v>0.0</v>
      </c>
      <c r="AK85" s="14">
        <f>IF(AND(AK$5-$A85&gt;=0,AK$5-$A85&lt;=19),INDEX(HU_ord,AK$5-$A85+1)*$B85,0)</f>
        <v>0.0</v>
      </c>
      <c r="AL85" s="14">
        <f>IF(AND(AL$5-$A85&gt;=0,AL$5-$A85&lt;=19),INDEX(HU_ord,AL$5-$A85+1)*$B85,0)</f>
        <v>0.0</v>
      </c>
      <c r="AM85" s="14">
        <f>IF(AND(AM$5-$A85&gt;=0,AM$5-$A85&lt;=19),INDEX(HU_ord,AM$5-$A85+1)*$B85,0)</f>
        <v>0.0</v>
      </c>
      <c r="AN85" s="14">
        <f>IF(AND(AN$5-$A85&gt;=0,AN$5-$A85&lt;=19),INDEX(HU_ord,AN$5-$A85+1)*$B85,0)</f>
        <v>0.0</v>
      </c>
      <c r="AO85" s="14">
        <f>IF(AND(AO$5-$A85&gt;=0,AO$5-$A85&lt;=19),INDEX(HU_ord,AO$5-$A85+1)*$B85,0)</f>
        <v>0.0</v>
      </c>
      <c r="AP85" s="14">
        <f>IF(AND(AP$5-$A85&gt;=0,AP$5-$A85&lt;=19),INDEX(HU_ord,AP$5-$A85+1)*$B85,0)</f>
        <v>0.0</v>
      </c>
      <c r="AQ85" s="14">
        <f>IF(AND(AQ$5-$A85&gt;=0,AQ$5-$A85&lt;=19),INDEX(HU_ord,AQ$5-$A85+1)*$B85,0)</f>
        <v>0.0</v>
      </c>
      <c r="AR85" s="14">
        <f>IF(AND(AR$5-$A85&gt;=0,AR$5-$A85&lt;=19),INDEX(HU_ord,AR$5-$A85+1)*$B85,0)</f>
        <v>0.0</v>
      </c>
      <c r="AS85" s="14">
        <f>IF(AND(AS$5-$A85&gt;=0,AS$5-$A85&lt;=19),INDEX(HU_ord,AS$5-$A85+1)*$B85,0)</f>
        <v>0.0</v>
      </c>
      <c r="AT85" s="14">
        <f>IF(AND(AT$5-$A85&gt;=0,AT$5-$A85&lt;=19),INDEX(HU_ord,AT$5-$A85+1)*$B85,0)</f>
        <v>0.0</v>
      </c>
      <c r="AU85" s="14">
        <f>IF(AND(AU$5-$A85&gt;=0,AU$5-$A85&lt;=19),INDEX(HU_ord,AU$5-$A85+1)*$B85,0)</f>
        <v>0.0</v>
      </c>
      <c r="AV85" s="14">
        <f>IF(AND(AV$5-$A85&gt;=0,AV$5-$A85&lt;=19),INDEX(HU_ord,AV$5-$A85+1)*$B85,0)</f>
        <v>0.0</v>
      </c>
      <c r="AW85" s="14">
        <f>IF(AND(AW$5-$A85&gt;=0,AW$5-$A85&lt;=19),INDEX(HU_ord,AW$5-$A85+1)*$B85,0)</f>
        <v>0.0</v>
      </c>
      <c r="AX85" s="14">
        <f>IF(AND(AX$5-$A85&gt;=0,AX$5-$A85&lt;=19),INDEX(HU_ord,AX$5-$A85+1)*$B85,0)</f>
        <v>0.0</v>
      </c>
      <c r="AY85" s="14">
        <f>IF(AND(AY$5-$A85&gt;=0,AY$5-$A85&lt;=19),INDEX(HU_ord,AY$5-$A85+1)*$B85,0)</f>
        <v>0.0</v>
      </c>
      <c r="AZ85" s="14">
        <f>IF(AND(AZ$5-$A85&gt;=0,AZ$5-$A85&lt;=19),INDEX(HU_ord,AZ$5-$A85+1)*$B85,0)</f>
        <v>0.0</v>
      </c>
      <c r="BA85" s="14">
        <f>IF(AND(BA$5-$A85&gt;=0,BA$5-$A85&lt;=19),INDEX(HU_ord,BA$5-$A85+1)*$B85,0)</f>
        <v>0.0</v>
      </c>
      <c r="BB85" s="14">
        <f>IF(AND(BB$5-$A85&gt;=0,BB$5-$A85&lt;=19),INDEX(HU_ord,BB$5-$A85+1)*$B85,0)</f>
        <v>0.0</v>
      </c>
      <c r="BC85" s="14">
        <f>IF(AND(BC$5-$A85&gt;=0,BC$5-$A85&lt;=19),INDEX(HU_ord,BC$5-$A85+1)*$B85,0)</f>
        <v>0.0</v>
      </c>
      <c r="BD85" s="14">
        <f>IF(AND(BD$5-$A85&gt;=0,BD$5-$A85&lt;=19),INDEX(HU_ord,BD$5-$A85+1)*$B85,0)</f>
        <v>0.0</v>
      </c>
      <c r="BE85" s="14">
        <f>IF(AND(BE$5-$A85&gt;=0,BE$5-$A85&lt;=19),INDEX(HU_ord,BE$5-$A85+1)*$B85,0)</f>
        <v>0.0</v>
      </c>
      <c r="BF85" s="14">
        <f>IF(AND(BF$5-$A85&gt;=0,BF$5-$A85&lt;=19),INDEX(HU_ord,BF$5-$A85+1)*$B85,0)</f>
        <v>0.0</v>
      </c>
      <c r="BG85" s="14">
        <f>IF(AND(BG$5-$A85&gt;=0,BG$5-$A85&lt;=19),INDEX(HU_ord,BG$5-$A85+1)*$B85,0)</f>
        <v>0.0</v>
      </c>
      <c r="BH85" s="14">
        <f>IF(AND(BH$5-$A85&gt;=0,BH$5-$A85&lt;=19),INDEX(HU_ord,BH$5-$A85+1)*$B85,0)</f>
        <v>0.0</v>
      </c>
      <c r="BI85" s="14">
        <f>IF(AND(BI$5-$A85&gt;=0,BI$5-$A85&lt;=19),INDEX(HU_ord,BI$5-$A85+1)*$B85,0)</f>
        <v>0.0</v>
      </c>
      <c r="BJ85" s="14">
        <f>IF(AND(BJ$5-$A85&gt;=0,BJ$5-$A85&lt;=19),INDEX(HU_ord,BJ$5-$A85+1)*$B85,0)</f>
        <v>0.0</v>
      </c>
      <c r="BK85" s="14">
        <f>IF(AND(BK$5-$A85&gt;=0,BK$5-$A85&lt;=19),INDEX(HU_ord,BK$5-$A85+1)*$B85,0)</f>
        <v>0.0</v>
      </c>
      <c r="BL85" s="14">
        <f>IF(AND(BL$5-$A85&gt;=0,BL$5-$A85&lt;=19),INDEX(HU_ord,BL$5-$A85+1)*$B85,0)</f>
        <v>0.0</v>
      </c>
      <c r="BM85" s="14">
        <f>IF(AND(BM$5-$A85&gt;=0,BM$5-$A85&lt;=19),INDEX(HU_ord,BM$5-$A85+1)*$B85,0)</f>
        <v>0.0</v>
      </c>
      <c r="BN85" s="14">
        <f>IF(AND(BN$5-$A85&gt;=0,BN$5-$A85&lt;=19),INDEX(HU_ord,BN$5-$A85+1)*$B85,0)</f>
        <v>0.0</v>
      </c>
      <c r="BO85" s="14">
        <f>IF(AND(BO$5-$A85&gt;=0,BO$5-$A85&lt;=19),INDEX(HU_ord,BO$5-$A85+1)*$B85,0)</f>
        <v>0.0</v>
      </c>
      <c r="BP85" s="14">
        <f>IF(AND(BP$5-$A85&gt;=0,BP$5-$A85&lt;=19),INDEX(HU_ord,BP$5-$A85+1)*$B85,0)</f>
        <v>0.0</v>
      </c>
      <c r="BQ85" s="14">
        <f>IF(AND(BQ$5-$A85&gt;=0,BQ$5-$A85&lt;=19),INDEX(HU_ord,BQ$5-$A85+1)*$B85,0)</f>
        <v>0.0</v>
      </c>
      <c r="BR85" s="14">
        <f>IF(AND(BR$5-$A85&gt;=0,BR$5-$A85&lt;=19),INDEX(HU_ord,BR$5-$A85+1)*$B85,0)</f>
        <v>0.0</v>
      </c>
      <c r="BS85" s="14">
        <f>IF(AND(BS$5-$A85&gt;=0,BS$5-$A85&lt;=19),INDEX(HU_ord,BS$5-$A85+1)*$B85,0)</f>
        <v>0.0</v>
      </c>
      <c r="BT85" s="14">
        <f>IF(AND(BT$5-$A85&gt;=0,BT$5-$A85&lt;=19),INDEX(HU_ord,BT$5-$A85+1)*$B85,0)</f>
        <v>0.0</v>
      </c>
      <c r="BU85" s="14">
        <f>IF(AND(BU$5-$A85&gt;=0,BU$5-$A85&lt;=19),INDEX(HU_ord,BU$5-$A85+1)*$B85,0)</f>
        <v>0.0</v>
      </c>
      <c r="BV85" s="14">
        <f>IF(AND(BV$5-$A85&gt;=0,BV$5-$A85&lt;=19),INDEX(HU_ord,BV$5-$A85+1)*$B85,0)</f>
        <v>0.0</v>
      </c>
      <c r="BW85" s="14">
        <f>IF(AND(BW$5-$A85&gt;=0,BW$5-$A85&lt;=19),INDEX(HU_ord,BW$5-$A85+1)*$B85,0)</f>
        <v>0.0</v>
      </c>
      <c r="BX85" s="14">
        <f>IF(AND(BX$5-$A85&gt;=0,BX$5-$A85&lt;=19),INDEX(HU_ord,BX$5-$A85+1)*$B85,0)</f>
        <v>0.0</v>
      </c>
      <c r="BY85" s="14">
        <f>IF(AND(BY$5-$A85&gt;=0,BY$5-$A85&lt;=19),INDEX(HU_ord,BY$5-$A85+1)*$B85,0)</f>
        <v>0.0</v>
      </c>
      <c r="BZ85" s="14">
        <f>IF(AND(BZ$5-$A85&gt;=0,BZ$5-$A85&lt;=19),INDEX(HU_ord,BZ$5-$A85+1)*$B85,0)</f>
        <v>0.0</v>
      </c>
      <c r="CA85" s="14">
        <f>IF(AND(CA$5-$A85&gt;=0,CA$5-$A85&lt;=19),INDEX(HU_ord,CA$5-$A85+1)*$B85,0)</f>
        <v>0.0</v>
      </c>
      <c r="CB85" s="14">
        <f>IF(AND(CB$5-$A85&gt;=0,CB$5-$A85&lt;=19),INDEX(HU_ord,CB$5-$A85+1)*$B85,0)</f>
        <v>0.0</v>
      </c>
      <c r="CC85" s="14">
        <f>IF(AND(CC$5-$A85&gt;=0,CC$5-$A85&lt;=19),INDEX(HU_ord,CC$5-$A85+1)*$B85,0)</f>
        <v>0.0</v>
      </c>
      <c r="CD85" s="14">
        <f>IF(AND(CD$5-$A85&gt;=0,CD$5-$A85&lt;=19),INDEX(HU_ord,CD$5-$A85+1)*$B85,0)</f>
        <v>0.0</v>
      </c>
      <c r="CE85" s="14">
        <f>IF(AND(CE$5-$A85&gt;=0,CE$5-$A85&lt;=19),INDEX(HU_ord,CE$5-$A85+1)*$B85,0)</f>
        <v>0.0</v>
      </c>
      <c r="CF85" s="14">
        <f>IF(AND(CF$5-$A85&gt;=0,CF$5-$A85&lt;=19),INDEX(HU_ord,CF$5-$A85+1)*$B85,0)</f>
        <v>0.0</v>
      </c>
      <c r="CG85" s="14">
        <f>IF(AND(CG$5-$A85&gt;=0,CG$5-$A85&lt;=19),INDEX(HU_ord,CG$5-$A85+1)*$B85,0)</f>
        <v>0.0</v>
      </c>
      <c r="CH85" s="14">
        <f>IF(AND(CH$5-$A85&gt;=0,CH$5-$A85&lt;=19),INDEX(HU_ord,CH$5-$A85+1)*$B85,0)</f>
        <v>0.0</v>
      </c>
      <c r="CI85" s="14">
        <f>IF(AND(CI$5-$A85&gt;=0,CI$5-$A85&lt;=19),INDEX(HU_ord,CI$5-$A85+1)*$B85,0)</f>
        <v>0.0</v>
      </c>
      <c r="CJ85" s="14">
        <f>IF(AND(CJ$5-$A85&gt;=0,CJ$5-$A85&lt;=19),INDEX(HU_ord,CJ$5-$A85+1)*$B85,0)</f>
        <v>0.0</v>
      </c>
      <c r="CK85" s="14">
        <f>IF(AND(CK$5-$A85&gt;=0,CK$5-$A85&lt;=19),INDEX(HU_ord,CK$5-$A85+1)*$B85,0)</f>
        <v>0.0</v>
      </c>
      <c r="CL85" s="14">
        <f>IF(AND(CL$5-$A85&gt;=0,CL$5-$A85&lt;=19),INDEX(HU_ord,CL$5-$A85+1)*$B85,0)</f>
        <v>0.0</v>
      </c>
      <c r="CM85" s="14">
        <f>IF(AND(CM$5-$A85&gt;=0,CM$5-$A85&lt;=19),INDEX(HU_ord,CM$5-$A85+1)*$B85,0)</f>
        <v>0.0</v>
      </c>
      <c r="CN85" s="14">
        <f>IF(AND(CN$5-$A85&gt;=0,CN$5-$A85&lt;=19),INDEX(HU_ord,CN$5-$A85+1)*$B85,0)</f>
        <v>0.0</v>
      </c>
      <c r="CO85" s="14">
        <f>IF(AND(CO$5-$A85&gt;=0,CO$5-$A85&lt;=19),INDEX(HU_ord,CO$5-$A85+1)*$B85,0)</f>
        <v>0.0</v>
      </c>
      <c r="CP85" s="14">
        <f>IF(AND(CP$5-$A85&gt;=0,CP$5-$A85&lt;=19),INDEX(HU_ord,CP$5-$A85+1)*$B85,0)</f>
        <v>0.0</v>
      </c>
      <c r="CQ85" s="14">
        <f>IF(AND(CQ$5-$A85&gt;=0,CQ$5-$A85&lt;=19),INDEX(HU_ord,CQ$5-$A85+1)*$B85,0)</f>
        <v>0.0</v>
      </c>
      <c r="CR85" s="14">
        <f>IF(AND(CR$5-$A85&gt;=0,CR$5-$A85&lt;=19),INDEX(HU_ord,CR$5-$A85+1)*$B85,0)</f>
        <v>0.0</v>
      </c>
      <c r="CS85" s="14">
        <f>IF(AND(CS$5-$A85&gt;=0,CS$5-$A85&lt;=19),INDEX(HU_ord,CS$5-$A85+1)*$B85,0)</f>
        <v>0.0</v>
      </c>
      <c r="CT85" s="14">
        <f>IF(AND(CT$5-$A85&gt;=0,CT$5-$A85&lt;=19),INDEX(HU_ord,CT$5-$A85+1)*$B85,0)</f>
        <v>0.0</v>
      </c>
      <c r="CU85" s="14">
        <f>IF(AND(CU$5-$A85&gt;=0,CU$5-$A85&lt;=19),INDEX(HU_ord,CU$5-$A85+1)*$B85,0)</f>
        <v>0.0</v>
      </c>
      <c r="CV85" s="14">
        <f>IF(AND(CV$5-$A85&gt;=0,CV$5-$A85&lt;=19),INDEX(HU_ord,CV$5-$A85+1)*$B85,0)</f>
        <v>0.0</v>
      </c>
      <c r="CW85" s="14">
        <f>IF(AND(CW$5-$A85&gt;=0,CW$5-$A85&lt;=19),INDEX(HU_ord,CW$5-$A85+1)*$B85,0)</f>
        <v>0.0</v>
      </c>
      <c r="CX85" s="14">
        <f>IF(AND(CX$5-$A85&gt;=0,CX$5-$A85&lt;=19),INDEX(HU_ord,CX$5-$A85+1)*$B85,0)</f>
        <v>0.0</v>
      </c>
      <c r="CY85" s="14">
        <f>IF(AND(CY$5-$A85&gt;=0,CY$5-$A85&lt;=19),INDEX(HU_ord,CY$5-$A85+1)*$B85,0)</f>
        <v>0.0</v>
      </c>
      <c r="CZ85" s="14">
        <f>IF(AND(CZ$5-$A85&gt;=0,CZ$5-$A85&lt;=19),INDEX(HU_ord,CZ$5-$A85+1)*$B85,0)</f>
        <v>0.0</v>
      </c>
      <c r="DA85" s="14">
        <f>IF(AND(DA$5-$A85&gt;=0,DA$5-$A85&lt;=19),INDEX(HU_ord,DA$5-$A85+1)*$B85,0)</f>
        <v>0.0</v>
      </c>
      <c r="DB85" s="14">
        <f>IF(AND(DB$5-$A85&gt;=0,DB$5-$A85&lt;=19),INDEX(HU_ord,DB$5-$A85+1)*$B85,0)</f>
        <v>0.0</v>
      </c>
      <c r="DC85" s="14">
        <f>IF(AND(DC$5-$A85&gt;=0,DC$5-$A85&lt;=19),INDEX(HU_ord,DC$5-$A85+1)*$B85,0)</f>
        <v>0.0</v>
      </c>
      <c r="DD85" s="14">
        <f>IF(AND(DD$5-$A85&gt;=0,DD$5-$A85&lt;=19),INDEX(HU_ord,DD$5-$A85+1)*$B85,0)</f>
        <v>0.0</v>
      </c>
      <c r="DE85" s="14">
        <f>IF(AND(DE$5-$A85&gt;=0,DE$5-$A85&lt;=19),INDEX(HU_ord,DE$5-$A85+1)*$B85,0)</f>
        <v>0.0</v>
      </c>
      <c r="DF85" s="14">
        <f>IF(AND(DF$5-$A85&gt;=0,DF$5-$A85&lt;=19),INDEX(HU_ord,DF$5-$A85+1)*$B85,0)</f>
        <v>0.0</v>
      </c>
      <c r="DG85" s="14">
        <f>IF(AND(DG$5-$A85&gt;=0,DG$5-$A85&lt;=19),INDEX(HU_ord,DG$5-$A85+1)*$B85,0)</f>
        <v>0.0</v>
      </c>
      <c r="DH85" s="14">
        <f>IF(AND(DH$5-$A85&gt;=0,DH$5-$A85&lt;=19),INDEX(HU_ord,DH$5-$A85+1)*$B85,0)</f>
        <v>0.0</v>
      </c>
      <c r="DI85" s="14">
        <f>IF(AND(DI$5-$A85&gt;=0,DI$5-$A85&lt;=19),INDEX(HU_ord,DI$5-$A85+1)*$B85,0)</f>
        <v>0.0</v>
      </c>
    </row>
    <row r="86" spans="1:113">
      <c r="A86">
        <v>80</v>
      </c>
      <c r="B86" s="10">
        <f>Serie_horaria!N82</f>
        <v>0.0</v>
      </c>
      <c r="C86" s="14">
        <f>IF(AND(C$5-$A86&gt;=0,C$5-$A86&lt;=19),INDEX(HU_ord,C$5-$A86+1)*$B86,0)</f>
        <v>0.0</v>
      </c>
      <c r="D86" s="14">
        <f>IF(AND(D$5-$A86&gt;=0,D$5-$A86&lt;=19),INDEX(HU_ord,D$5-$A86+1)*$B86,0)</f>
        <v>0.0</v>
      </c>
      <c r="E86" s="14">
        <f>IF(AND(E$5-$A86&gt;=0,E$5-$A86&lt;=19),INDEX(HU_ord,E$5-$A86+1)*$B86,0)</f>
        <v>0.0</v>
      </c>
      <c r="F86" s="14">
        <f>IF(AND(F$5-$A86&gt;=0,F$5-$A86&lt;=19),INDEX(HU_ord,F$5-$A86+1)*$B86,0)</f>
        <v>0.0</v>
      </c>
      <c r="G86" s="14">
        <f>IF(AND(G$5-$A86&gt;=0,G$5-$A86&lt;=19),INDEX(HU_ord,G$5-$A86+1)*$B86,0)</f>
        <v>0.0</v>
      </c>
      <c r="H86" s="14">
        <f>IF(AND(H$5-$A86&gt;=0,H$5-$A86&lt;=19),INDEX(HU_ord,H$5-$A86+1)*$B86,0)</f>
        <v>0.0</v>
      </c>
      <c r="I86" s="14">
        <f>IF(AND(I$5-$A86&gt;=0,I$5-$A86&lt;=19),INDEX(HU_ord,I$5-$A86+1)*$B86,0)</f>
        <v>0.0</v>
      </c>
      <c r="J86" s="14">
        <f>IF(AND(J$5-$A86&gt;=0,J$5-$A86&lt;=19),INDEX(HU_ord,J$5-$A86+1)*$B86,0)</f>
        <v>0.0</v>
      </c>
      <c r="K86" s="14">
        <f>IF(AND(K$5-$A86&gt;=0,K$5-$A86&lt;=19),INDEX(HU_ord,K$5-$A86+1)*$B86,0)</f>
        <v>0.0</v>
      </c>
      <c r="L86" s="14">
        <f>IF(AND(L$5-$A86&gt;=0,L$5-$A86&lt;=19),INDEX(HU_ord,L$5-$A86+1)*$B86,0)</f>
        <v>0.0</v>
      </c>
      <c r="M86" s="14">
        <f>IF(AND(M$5-$A86&gt;=0,M$5-$A86&lt;=19),INDEX(HU_ord,M$5-$A86+1)*$B86,0)</f>
        <v>0.0</v>
      </c>
      <c r="N86" s="14">
        <f>IF(AND(N$5-$A86&gt;=0,N$5-$A86&lt;=19),INDEX(HU_ord,N$5-$A86+1)*$B86,0)</f>
        <v>0.0</v>
      </c>
      <c r="O86" s="14">
        <f>IF(AND(O$5-$A86&gt;=0,O$5-$A86&lt;=19),INDEX(HU_ord,O$5-$A86+1)*$B86,0)</f>
        <v>0.0</v>
      </c>
      <c r="P86" s="14">
        <f>IF(AND(P$5-$A86&gt;=0,P$5-$A86&lt;=19),INDEX(HU_ord,P$5-$A86+1)*$B86,0)</f>
        <v>0.0</v>
      </c>
      <c r="Q86" s="14">
        <f>IF(AND(Q$5-$A86&gt;=0,Q$5-$A86&lt;=19),INDEX(HU_ord,Q$5-$A86+1)*$B86,0)</f>
        <v>0.0</v>
      </c>
      <c r="R86" s="14">
        <f>IF(AND(R$5-$A86&gt;=0,R$5-$A86&lt;=19),INDEX(HU_ord,R$5-$A86+1)*$B86,0)</f>
        <v>0.0</v>
      </c>
      <c r="S86" s="14">
        <f>IF(AND(S$5-$A86&gt;=0,S$5-$A86&lt;=19),INDEX(HU_ord,S$5-$A86+1)*$B86,0)</f>
        <v>0.0</v>
      </c>
      <c r="T86" s="14">
        <f>IF(AND(T$5-$A86&gt;=0,T$5-$A86&lt;=19),INDEX(HU_ord,T$5-$A86+1)*$B86,0)</f>
        <v>0.0</v>
      </c>
      <c r="U86" s="14">
        <f>IF(AND(U$5-$A86&gt;=0,U$5-$A86&lt;=19),INDEX(HU_ord,U$5-$A86+1)*$B86,0)</f>
        <v>0.0</v>
      </c>
      <c r="V86" s="14">
        <f>IF(AND(V$5-$A86&gt;=0,V$5-$A86&lt;=19),INDEX(HU_ord,V$5-$A86+1)*$B86,0)</f>
        <v>0.0</v>
      </c>
      <c r="W86" s="14">
        <f>IF(AND(W$5-$A86&gt;=0,W$5-$A86&lt;=19),INDEX(HU_ord,W$5-$A86+1)*$B86,0)</f>
        <v>0.0</v>
      </c>
      <c r="X86" s="14">
        <f>IF(AND(X$5-$A86&gt;=0,X$5-$A86&lt;=19),INDEX(HU_ord,X$5-$A86+1)*$B86,0)</f>
        <v>0.0</v>
      </c>
      <c r="Y86" s="14">
        <f>IF(AND(Y$5-$A86&gt;=0,Y$5-$A86&lt;=19),INDEX(HU_ord,Y$5-$A86+1)*$B86,0)</f>
        <v>0.0</v>
      </c>
      <c r="Z86" s="14">
        <f>IF(AND(Z$5-$A86&gt;=0,Z$5-$A86&lt;=19),INDEX(HU_ord,Z$5-$A86+1)*$B86,0)</f>
        <v>0.0</v>
      </c>
      <c r="AA86" s="14">
        <f>IF(AND(AA$5-$A86&gt;=0,AA$5-$A86&lt;=19),INDEX(HU_ord,AA$5-$A86+1)*$B86,0)</f>
        <v>0.0</v>
      </c>
      <c r="AB86" s="14">
        <f>IF(AND(AB$5-$A86&gt;=0,AB$5-$A86&lt;=19),INDEX(HU_ord,AB$5-$A86+1)*$B86,0)</f>
        <v>0.0</v>
      </c>
      <c r="AC86" s="14">
        <f>IF(AND(AC$5-$A86&gt;=0,AC$5-$A86&lt;=19),INDEX(HU_ord,AC$5-$A86+1)*$B86,0)</f>
        <v>0.0</v>
      </c>
      <c r="AD86" s="14">
        <f>IF(AND(AD$5-$A86&gt;=0,AD$5-$A86&lt;=19),INDEX(HU_ord,AD$5-$A86+1)*$B86,0)</f>
        <v>0.0</v>
      </c>
      <c r="AE86" s="14">
        <f>IF(AND(AE$5-$A86&gt;=0,AE$5-$A86&lt;=19),INDEX(HU_ord,AE$5-$A86+1)*$B86,0)</f>
        <v>0.0</v>
      </c>
      <c r="AF86" s="14">
        <f>IF(AND(AF$5-$A86&gt;=0,AF$5-$A86&lt;=19),INDEX(HU_ord,AF$5-$A86+1)*$B86,0)</f>
        <v>0.0</v>
      </c>
      <c r="AG86" s="14">
        <f>IF(AND(AG$5-$A86&gt;=0,AG$5-$A86&lt;=19),INDEX(HU_ord,AG$5-$A86+1)*$B86,0)</f>
        <v>0.0</v>
      </c>
      <c r="AH86" s="14">
        <f>IF(AND(AH$5-$A86&gt;=0,AH$5-$A86&lt;=19),INDEX(HU_ord,AH$5-$A86+1)*$B86,0)</f>
        <v>0.0</v>
      </c>
      <c r="AI86" s="14">
        <f>IF(AND(AI$5-$A86&gt;=0,AI$5-$A86&lt;=19),INDEX(HU_ord,AI$5-$A86+1)*$B86,0)</f>
        <v>0.0</v>
      </c>
      <c r="AJ86" s="14">
        <f>IF(AND(AJ$5-$A86&gt;=0,AJ$5-$A86&lt;=19),INDEX(HU_ord,AJ$5-$A86+1)*$B86,0)</f>
        <v>0.0</v>
      </c>
      <c r="AK86" s="14">
        <f>IF(AND(AK$5-$A86&gt;=0,AK$5-$A86&lt;=19),INDEX(HU_ord,AK$5-$A86+1)*$B86,0)</f>
        <v>0.0</v>
      </c>
      <c r="AL86" s="14">
        <f>IF(AND(AL$5-$A86&gt;=0,AL$5-$A86&lt;=19),INDEX(HU_ord,AL$5-$A86+1)*$B86,0)</f>
        <v>0.0</v>
      </c>
      <c r="AM86" s="14">
        <f>IF(AND(AM$5-$A86&gt;=0,AM$5-$A86&lt;=19),INDEX(HU_ord,AM$5-$A86+1)*$B86,0)</f>
        <v>0.0</v>
      </c>
      <c r="AN86" s="14">
        <f>IF(AND(AN$5-$A86&gt;=0,AN$5-$A86&lt;=19),INDEX(HU_ord,AN$5-$A86+1)*$B86,0)</f>
        <v>0.0</v>
      </c>
      <c r="AO86" s="14">
        <f>IF(AND(AO$5-$A86&gt;=0,AO$5-$A86&lt;=19),INDEX(HU_ord,AO$5-$A86+1)*$B86,0)</f>
        <v>0.0</v>
      </c>
      <c r="AP86" s="14">
        <f>IF(AND(AP$5-$A86&gt;=0,AP$5-$A86&lt;=19),INDEX(HU_ord,AP$5-$A86+1)*$B86,0)</f>
        <v>0.0</v>
      </c>
      <c r="AQ86" s="14">
        <f>IF(AND(AQ$5-$A86&gt;=0,AQ$5-$A86&lt;=19),INDEX(HU_ord,AQ$5-$A86+1)*$B86,0)</f>
        <v>0.0</v>
      </c>
      <c r="AR86" s="14">
        <f>IF(AND(AR$5-$A86&gt;=0,AR$5-$A86&lt;=19),INDEX(HU_ord,AR$5-$A86+1)*$B86,0)</f>
        <v>0.0</v>
      </c>
      <c r="AS86" s="14">
        <f>IF(AND(AS$5-$A86&gt;=0,AS$5-$A86&lt;=19),INDEX(HU_ord,AS$5-$A86+1)*$B86,0)</f>
        <v>0.0</v>
      </c>
      <c r="AT86" s="14">
        <f>IF(AND(AT$5-$A86&gt;=0,AT$5-$A86&lt;=19),INDEX(HU_ord,AT$5-$A86+1)*$B86,0)</f>
        <v>0.0</v>
      </c>
      <c r="AU86" s="14">
        <f>IF(AND(AU$5-$A86&gt;=0,AU$5-$A86&lt;=19),INDEX(HU_ord,AU$5-$A86+1)*$B86,0)</f>
        <v>0.0</v>
      </c>
      <c r="AV86" s="14">
        <f>IF(AND(AV$5-$A86&gt;=0,AV$5-$A86&lt;=19),INDEX(HU_ord,AV$5-$A86+1)*$B86,0)</f>
        <v>0.0</v>
      </c>
      <c r="AW86" s="14">
        <f>IF(AND(AW$5-$A86&gt;=0,AW$5-$A86&lt;=19),INDEX(HU_ord,AW$5-$A86+1)*$B86,0)</f>
        <v>0.0</v>
      </c>
      <c r="AX86" s="14">
        <f>IF(AND(AX$5-$A86&gt;=0,AX$5-$A86&lt;=19),INDEX(HU_ord,AX$5-$A86+1)*$B86,0)</f>
        <v>0.0</v>
      </c>
      <c r="AY86" s="14">
        <f>IF(AND(AY$5-$A86&gt;=0,AY$5-$A86&lt;=19),INDEX(HU_ord,AY$5-$A86+1)*$B86,0)</f>
        <v>0.0</v>
      </c>
      <c r="AZ86" s="14">
        <f>IF(AND(AZ$5-$A86&gt;=0,AZ$5-$A86&lt;=19),INDEX(HU_ord,AZ$5-$A86+1)*$B86,0)</f>
        <v>0.0</v>
      </c>
      <c r="BA86" s="14">
        <f>IF(AND(BA$5-$A86&gt;=0,BA$5-$A86&lt;=19),INDEX(HU_ord,BA$5-$A86+1)*$B86,0)</f>
        <v>0.0</v>
      </c>
      <c r="BB86" s="14">
        <f>IF(AND(BB$5-$A86&gt;=0,BB$5-$A86&lt;=19),INDEX(HU_ord,BB$5-$A86+1)*$B86,0)</f>
        <v>0.0</v>
      </c>
      <c r="BC86" s="14">
        <f>IF(AND(BC$5-$A86&gt;=0,BC$5-$A86&lt;=19),INDEX(HU_ord,BC$5-$A86+1)*$B86,0)</f>
        <v>0.0</v>
      </c>
      <c r="BD86" s="14">
        <f>IF(AND(BD$5-$A86&gt;=0,BD$5-$A86&lt;=19),INDEX(HU_ord,BD$5-$A86+1)*$B86,0)</f>
        <v>0.0</v>
      </c>
      <c r="BE86" s="14">
        <f>IF(AND(BE$5-$A86&gt;=0,BE$5-$A86&lt;=19),INDEX(HU_ord,BE$5-$A86+1)*$B86,0)</f>
        <v>0.0</v>
      </c>
      <c r="BF86" s="14">
        <f>IF(AND(BF$5-$A86&gt;=0,BF$5-$A86&lt;=19),INDEX(HU_ord,BF$5-$A86+1)*$B86,0)</f>
        <v>0.0</v>
      </c>
      <c r="BG86" s="14">
        <f>IF(AND(BG$5-$A86&gt;=0,BG$5-$A86&lt;=19),INDEX(HU_ord,BG$5-$A86+1)*$B86,0)</f>
        <v>0.0</v>
      </c>
      <c r="BH86" s="14">
        <f>IF(AND(BH$5-$A86&gt;=0,BH$5-$A86&lt;=19),INDEX(HU_ord,BH$5-$A86+1)*$B86,0)</f>
        <v>0.0</v>
      </c>
      <c r="BI86" s="14">
        <f>IF(AND(BI$5-$A86&gt;=0,BI$5-$A86&lt;=19),INDEX(HU_ord,BI$5-$A86+1)*$B86,0)</f>
        <v>0.0</v>
      </c>
      <c r="BJ86" s="14">
        <f>IF(AND(BJ$5-$A86&gt;=0,BJ$5-$A86&lt;=19),INDEX(HU_ord,BJ$5-$A86+1)*$B86,0)</f>
        <v>0.0</v>
      </c>
      <c r="BK86" s="14">
        <f>IF(AND(BK$5-$A86&gt;=0,BK$5-$A86&lt;=19),INDEX(HU_ord,BK$5-$A86+1)*$B86,0)</f>
        <v>0.0</v>
      </c>
      <c r="BL86" s="14">
        <f>IF(AND(BL$5-$A86&gt;=0,BL$5-$A86&lt;=19),INDEX(HU_ord,BL$5-$A86+1)*$B86,0)</f>
        <v>0.0</v>
      </c>
      <c r="BM86" s="14">
        <f>IF(AND(BM$5-$A86&gt;=0,BM$5-$A86&lt;=19),INDEX(HU_ord,BM$5-$A86+1)*$B86,0)</f>
        <v>0.0</v>
      </c>
      <c r="BN86" s="14">
        <f>IF(AND(BN$5-$A86&gt;=0,BN$5-$A86&lt;=19),INDEX(HU_ord,BN$5-$A86+1)*$B86,0)</f>
        <v>0.0</v>
      </c>
      <c r="BO86" s="14">
        <f>IF(AND(BO$5-$A86&gt;=0,BO$5-$A86&lt;=19),INDEX(HU_ord,BO$5-$A86+1)*$B86,0)</f>
        <v>0.0</v>
      </c>
      <c r="BP86" s="14">
        <f>IF(AND(BP$5-$A86&gt;=0,BP$5-$A86&lt;=19),INDEX(HU_ord,BP$5-$A86+1)*$B86,0)</f>
        <v>0.0</v>
      </c>
      <c r="BQ86" s="14">
        <f>IF(AND(BQ$5-$A86&gt;=0,BQ$5-$A86&lt;=19),INDEX(HU_ord,BQ$5-$A86+1)*$B86,0)</f>
        <v>0.0</v>
      </c>
      <c r="BR86" s="14">
        <f>IF(AND(BR$5-$A86&gt;=0,BR$5-$A86&lt;=19),INDEX(HU_ord,BR$5-$A86+1)*$B86,0)</f>
        <v>0.0</v>
      </c>
      <c r="BS86" s="14">
        <f>IF(AND(BS$5-$A86&gt;=0,BS$5-$A86&lt;=19),INDEX(HU_ord,BS$5-$A86+1)*$B86,0)</f>
        <v>0.0</v>
      </c>
      <c r="BT86" s="14">
        <f>IF(AND(BT$5-$A86&gt;=0,BT$5-$A86&lt;=19),INDEX(HU_ord,BT$5-$A86+1)*$B86,0)</f>
        <v>0.0</v>
      </c>
      <c r="BU86" s="14">
        <f>IF(AND(BU$5-$A86&gt;=0,BU$5-$A86&lt;=19),INDEX(HU_ord,BU$5-$A86+1)*$B86,0)</f>
        <v>0.0</v>
      </c>
      <c r="BV86" s="14">
        <f>IF(AND(BV$5-$A86&gt;=0,BV$5-$A86&lt;=19),INDEX(HU_ord,BV$5-$A86+1)*$B86,0)</f>
        <v>0.0</v>
      </c>
      <c r="BW86" s="14">
        <f>IF(AND(BW$5-$A86&gt;=0,BW$5-$A86&lt;=19),INDEX(HU_ord,BW$5-$A86+1)*$B86,0)</f>
        <v>0.0</v>
      </c>
      <c r="BX86" s="14">
        <f>IF(AND(BX$5-$A86&gt;=0,BX$5-$A86&lt;=19),INDEX(HU_ord,BX$5-$A86+1)*$B86,0)</f>
        <v>0.0</v>
      </c>
      <c r="BY86" s="14">
        <f>IF(AND(BY$5-$A86&gt;=0,BY$5-$A86&lt;=19),INDEX(HU_ord,BY$5-$A86+1)*$B86,0)</f>
        <v>0.0</v>
      </c>
      <c r="BZ86" s="14">
        <f>IF(AND(BZ$5-$A86&gt;=0,BZ$5-$A86&lt;=19),INDEX(HU_ord,BZ$5-$A86+1)*$B86,0)</f>
        <v>0.0</v>
      </c>
      <c r="CA86" s="14">
        <f>IF(AND(CA$5-$A86&gt;=0,CA$5-$A86&lt;=19),INDEX(HU_ord,CA$5-$A86+1)*$B86,0)</f>
        <v>0.0</v>
      </c>
      <c r="CB86" s="14">
        <f>IF(AND(CB$5-$A86&gt;=0,CB$5-$A86&lt;=19),INDEX(HU_ord,CB$5-$A86+1)*$B86,0)</f>
        <v>0.0</v>
      </c>
      <c r="CC86" s="14">
        <f>IF(AND(CC$5-$A86&gt;=0,CC$5-$A86&lt;=19),INDEX(HU_ord,CC$5-$A86+1)*$B86,0)</f>
        <v>0.0</v>
      </c>
      <c r="CD86" s="14">
        <f>IF(AND(CD$5-$A86&gt;=0,CD$5-$A86&lt;=19),INDEX(HU_ord,CD$5-$A86+1)*$B86,0)</f>
        <v>0.0</v>
      </c>
      <c r="CE86" s="14">
        <f>IF(AND(CE$5-$A86&gt;=0,CE$5-$A86&lt;=19),INDEX(HU_ord,CE$5-$A86+1)*$B86,0)</f>
        <v>0.0</v>
      </c>
      <c r="CF86" s="14">
        <f>IF(AND(CF$5-$A86&gt;=0,CF$5-$A86&lt;=19),INDEX(HU_ord,CF$5-$A86+1)*$B86,0)</f>
        <v>0.0</v>
      </c>
      <c r="CG86" s="14">
        <f>IF(AND(CG$5-$A86&gt;=0,CG$5-$A86&lt;=19),INDEX(HU_ord,CG$5-$A86+1)*$B86,0)</f>
        <v>0.0</v>
      </c>
      <c r="CH86" s="14">
        <f>IF(AND(CH$5-$A86&gt;=0,CH$5-$A86&lt;=19),INDEX(HU_ord,CH$5-$A86+1)*$B86,0)</f>
        <v>0.0</v>
      </c>
      <c r="CI86" s="14">
        <f>IF(AND(CI$5-$A86&gt;=0,CI$5-$A86&lt;=19),INDEX(HU_ord,CI$5-$A86+1)*$B86,0)</f>
        <v>0.0</v>
      </c>
      <c r="CJ86" s="14">
        <f>IF(AND(CJ$5-$A86&gt;=0,CJ$5-$A86&lt;=19),INDEX(HU_ord,CJ$5-$A86+1)*$B86,0)</f>
        <v>0.0</v>
      </c>
      <c r="CK86" s="14">
        <f>IF(AND(CK$5-$A86&gt;=0,CK$5-$A86&lt;=19),INDEX(HU_ord,CK$5-$A86+1)*$B86,0)</f>
        <v>0.0</v>
      </c>
      <c r="CL86" s="14">
        <f>IF(AND(CL$5-$A86&gt;=0,CL$5-$A86&lt;=19),INDEX(HU_ord,CL$5-$A86+1)*$B86,0)</f>
        <v>0.0</v>
      </c>
      <c r="CM86" s="14">
        <f>IF(AND(CM$5-$A86&gt;=0,CM$5-$A86&lt;=19),INDEX(HU_ord,CM$5-$A86+1)*$B86,0)</f>
        <v>0.0</v>
      </c>
      <c r="CN86" s="14">
        <f>IF(AND(CN$5-$A86&gt;=0,CN$5-$A86&lt;=19),INDEX(HU_ord,CN$5-$A86+1)*$B86,0)</f>
        <v>0.0</v>
      </c>
      <c r="CO86" s="14">
        <f>IF(AND(CO$5-$A86&gt;=0,CO$5-$A86&lt;=19),INDEX(HU_ord,CO$5-$A86+1)*$B86,0)</f>
        <v>0.0</v>
      </c>
      <c r="CP86" s="14">
        <f>IF(AND(CP$5-$A86&gt;=0,CP$5-$A86&lt;=19),INDEX(HU_ord,CP$5-$A86+1)*$B86,0)</f>
        <v>0.0</v>
      </c>
      <c r="CQ86" s="14">
        <f>IF(AND(CQ$5-$A86&gt;=0,CQ$5-$A86&lt;=19),INDEX(HU_ord,CQ$5-$A86+1)*$B86,0)</f>
        <v>0.0</v>
      </c>
      <c r="CR86" s="14">
        <f>IF(AND(CR$5-$A86&gt;=0,CR$5-$A86&lt;=19),INDEX(HU_ord,CR$5-$A86+1)*$B86,0)</f>
        <v>0.0</v>
      </c>
      <c r="CS86" s="14">
        <f>IF(AND(CS$5-$A86&gt;=0,CS$5-$A86&lt;=19),INDEX(HU_ord,CS$5-$A86+1)*$B86,0)</f>
        <v>0.0</v>
      </c>
      <c r="CT86" s="14">
        <f>IF(AND(CT$5-$A86&gt;=0,CT$5-$A86&lt;=19),INDEX(HU_ord,CT$5-$A86+1)*$B86,0)</f>
        <v>0.0</v>
      </c>
      <c r="CU86" s="14">
        <f>IF(AND(CU$5-$A86&gt;=0,CU$5-$A86&lt;=19),INDEX(HU_ord,CU$5-$A86+1)*$B86,0)</f>
        <v>0.0</v>
      </c>
      <c r="CV86" s="14">
        <f>IF(AND(CV$5-$A86&gt;=0,CV$5-$A86&lt;=19),INDEX(HU_ord,CV$5-$A86+1)*$B86,0)</f>
        <v>0.0</v>
      </c>
      <c r="CW86" s="14">
        <f>IF(AND(CW$5-$A86&gt;=0,CW$5-$A86&lt;=19),INDEX(HU_ord,CW$5-$A86+1)*$B86,0)</f>
        <v>0.0</v>
      </c>
      <c r="CX86" s="14">
        <f>IF(AND(CX$5-$A86&gt;=0,CX$5-$A86&lt;=19),INDEX(HU_ord,CX$5-$A86+1)*$B86,0)</f>
        <v>0.0</v>
      </c>
      <c r="CY86" s="14">
        <f>IF(AND(CY$5-$A86&gt;=0,CY$5-$A86&lt;=19),INDEX(HU_ord,CY$5-$A86+1)*$B86,0)</f>
        <v>0.0</v>
      </c>
      <c r="CZ86" s="14">
        <f>IF(AND(CZ$5-$A86&gt;=0,CZ$5-$A86&lt;=19),INDEX(HU_ord,CZ$5-$A86+1)*$B86,0)</f>
        <v>0.0</v>
      </c>
      <c r="DA86" s="14">
        <f>IF(AND(DA$5-$A86&gt;=0,DA$5-$A86&lt;=19),INDEX(HU_ord,DA$5-$A86+1)*$B86,0)</f>
        <v>0.0</v>
      </c>
      <c r="DB86" s="14">
        <f>IF(AND(DB$5-$A86&gt;=0,DB$5-$A86&lt;=19),INDEX(HU_ord,DB$5-$A86+1)*$B86,0)</f>
        <v>0.0</v>
      </c>
      <c r="DC86" s="14">
        <f>IF(AND(DC$5-$A86&gt;=0,DC$5-$A86&lt;=19),INDEX(HU_ord,DC$5-$A86+1)*$B86,0)</f>
        <v>0.0</v>
      </c>
      <c r="DD86" s="14">
        <f>IF(AND(DD$5-$A86&gt;=0,DD$5-$A86&lt;=19),INDEX(HU_ord,DD$5-$A86+1)*$B86,0)</f>
        <v>0.0</v>
      </c>
      <c r="DE86" s="14">
        <f>IF(AND(DE$5-$A86&gt;=0,DE$5-$A86&lt;=19),INDEX(HU_ord,DE$5-$A86+1)*$B86,0)</f>
        <v>0.0</v>
      </c>
      <c r="DF86" s="14">
        <f>IF(AND(DF$5-$A86&gt;=0,DF$5-$A86&lt;=19),INDEX(HU_ord,DF$5-$A86+1)*$B86,0)</f>
        <v>0.0</v>
      </c>
      <c r="DG86" s="14">
        <f>IF(AND(DG$5-$A86&gt;=0,DG$5-$A86&lt;=19),INDEX(HU_ord,DG$5-$A86+1)*$B86,0)</f>
        <v>0.0</v>
      </c>
      <c r="DH86" s="14">
        <f>IF(AND(DH$5-$A86&gt;=0,DH$5-$A86&lt;=19),INDEX(HU_ord,DH$5-$A86+1)*$B86,0)</f>
        <v>0.0</v>
      </c>
      <c r="DI86" s="14">
        <f>IF(AND(DI$5-$A86&gt;=0,DI$5-$A86&lt;=19),INDEX(HU_ord,DI$5-$A86+1)*$B86,0)</f>
        <v>0.0</v>
      </c>
    </row>
    <row r="87" spans="1:113">
      <c r="A87">
        <v>81</v>
      </c>
      <c r="B87" s="10">
        <f>Serie_horaria!N83</f>
        <v>0.0</v>
      </c>
      <c r="C87" s="14">
        <f>IF(AND(C$5-$A87&gt;=0,C$5-$A87&lt;=19),INDEX(HU_ord,C$5-$A87+1)*$B87,0)</f>
        <v>0.0</v>
      </c>
      <c r="D87" s="14">
        <f>IF(AND(D$5-$A87&gt;=0,D$5-$A87&lt;=19),INDEX(HU_ord,D$5-$A87+1)*$B87,0)</f>
        <v>0.0</v>
      </c>
      <c r="E87" s="14">
        <f>IF(AND(E$5-$A87&gt;=0,E$5-$A87&lt;=19),INDEX(HU_ord,E$5-$A87+1)*$B87,0)</f>
        <v>0.0</v>
      </c>
      <c r="F87" s="14">
        <f>IF(AND(F$5-$A87&gt;=0,F$5-$A87&lt;=19),INDEX(HU_ord,F$5-$A87+1)*$B87,0)</f>
        <v>0.0</v>
      </c>
      <c r="G87" s="14">
        <f>IF(AND(G$5-$A87&gt;=0,G$5-$A87&lt;=19),INDEX(HU_ord,G$5-$A87+1)*$B87,0)</f>
        <v>0.0</v>
      </c>
      <c r="H87" s="14">
        <f>IF(AND(H$5-$A87&gt;=0,H$5-$A87&lt;=19),INDEX(HU_ord,H$5-$A87+1)*$B87,0)</f>
        <v>0.0</v>
      </c>
      <c r="I87" s="14">
        <f>IF(AND(I$5-$A87&gt;=0,I$5-$A87&lt;=19),INDEX(HU_ord,I$5-$A87+1)*$B87,0)</f>
        <v>0.0</v>
      </c>
      <c r="J87" s="14">
        <f>IF(AND(J$5-$A87&gt;=0,J$5-$A87&lt;=19),INDEX(HU_ord,J$5-$A87+1)*$B87,0)</f>
        <v>0.0</v>
      </c>
      <c r="K87" s="14">
        <f>IF(AND(K$5-$A87&gt;=0,K$5-$A87&lt;=19),INDEX(HU_ord,K$5-$A87+1)*$B87,0)</f>
        <v>0.0</v>
      </c>
      <c r="L87" s="14">
        <f>IF(AND(L$5-$A87&gt;=0,L$5-$A87&lt;=19),INDEX(HU_ord,L$5-$A87+1)*$B87,0)</f>
        <v>0.0</v>
      </c>
      <c r="M87" s="14">
        <f>IF(AND(M$5-$A87&gt;=0,M$5-$A87&lt;=19),INDEX(HU_ord,M$5-$A87+1)*$B87,0)</f>
        <v>0.0</v>
      </c>
      <c r="N87" s="14">
        <f>IF(AND(N$5-$A87&gt;=0,N$5-$A87&lt;=19),INDEX(HU_ord,N$5-$A87+1)*$B87,0)</f>
        <v>0.0</v>
      </c>
      <c r="O87" s="14">
        <f>IF(AND(O$5-$A87&gt;=0,O$5-$A87&lt;=19),INDEX(HU_ord,O$5-$A87+1)*$B87,0)</f>
        <v>0.0</v>
      </c>
      <c r="P87" s="14">
        <f>IF(AND(P$5-$A87&gt;=0,P$5-$A87&lt;=19),INDEX(HU_ord,P$5-$A87+1)*$B87,0)</f>
        <v>0.0</v>
      </c>
      <c r="Q87" s="14">
        <f>IF(AND(Q$5-$A87&gt;=0,Q$5-$A87&lt;=19),INDEX(HU_ord,Q$5-$A87+1)*$B87,0)</f>
        <v>0.0</v>
      </c>
      <c r="R87" s="14">
        <f>IF(AND(R$5-$A87&gt;=0,R$5-$A87&lt;=19),INDEX(HU_ord,R$5-$A87+1)*$B87,0)</f>
        <v>0.0</v>
      </c>
      <c r="S87" s="14">
        <f>IF(AND(S$5-$A87&gt;=0,S$5-$A87&lt;=19),INDEX(HU_ord,S$5-$A87+1)*$B87,0)</f>
        <v>0.0</v>
      </c>
      <c r="T87" s="14">
        <f>IF(AND(T$5-$A87&gt;=0,T$5-$A87&lt;=19),INDEX(HU_ord,T$5-$A87+1)*$B87,0)</f>
        <v>0.0</v>
      </c>
      <c r="U87" s="14">
        <f>IF(AND(U$5-$A87&gt;=0,U$5-$A87&lt;=19),INDEX(HU_ord,U$5-$A87+1)*$B87,0)</f>
        <v>0.0</v>
      </c>
      <c r="V87" s="14">
        <f>IF(AND(V$5-$A87&gt;=0,V$5-$A87&lt;=19),INDEX(HU_ord,V$5-$A87+1)*$B87,0)</f>
        <v>0.0</v>
      </c>
      <c r="W87" s="14">
        <f>IF(AND(W$5-$A87&gt;=0,W$5-$A87&lt;=19),INDEX(HU_ord,W$5-$A87+1)*$B87,0)</f>
        <v>0.0</v>
      </c>
      <c r="X87" s="14">
        <f>IF(AND(X$5-$A87&gt;=0,X$5-$A87&lt;=19),INDEX(HU_ord,X$5-$A87+1)*$B87,0)</f>
        <v>0.0</v>
      </c>
      <c r="Y87" s="14">
        <f>IF(AND(Y$5-$A87&gt;=0,Y$5-$A87&lt;=19),INDEX(HU_ord,Y$5-$A87+1)*$B87,0)</f>
        <v>0.0</v>
      </c>
      <c r="Z87" s="14">
        <f>IF(AND(Z$5-$A87&gt;=0,Z$5-$A87&lt;=19),INDEX(HU_ord,Z$5-$A87+1)*$B87,0)</f>
        <v>0.0</v>
      </c>
      <c r="AA87" s="14">
        <f>IF(AND(AA$5-$A87&gt;=0,AA$5-$A87&lt;=19),INDEX(HU_ord,AA$5-$A87+1)*$B87,0)</f>
        <v>0.0</v>
      </c>
      <c r="AB87" s="14">
        <f>IF(AND(AB$5-$A87&gt;=0,AB$5-$A87&lt;=19),INDEX(HU_ord,AB$5-$A87+1)*$B87,0)</f>
        <v>0.0</v>
      </c>
      <c r="AC87" s="14">
        <f>IF(AND(AC$5-$A87&gt;=0,AC$5-$A87&lt;=19),INDEX(HU_ord,AC$5-$A87+1)*$B87,0)</f>
        <v>0.0</v>
      </c>
      <c r="AD87" s="14">
        <f>IF(AND(AD$5-$A87&gt;=0,AD$5-$A87&lt;=19),INDEX(HU_ord,AD$5-$A87+1)*$B87,0)</f>
        <v>0.0</v>
      </c>
      <c r="AE87" s="14">
        <f>IF(AND(AE$5-$A87&gt;=0,AE$5-$A87&lt;=19),INDEX(HU_ord,AE$5-$A87+1)*$B87,0)</f>
        <v>0.0</v>
      </c>
      <c r="AF87" s="14">
        <f>IF(AND(AF$5-$A87&gt;=0,AF$5-$A87&lt;=19),INDEX(HU_ord,AF$5-$A87+1)*$B87,0)</f>
        <v>0.0</v>
      </c>
      <c r="AG87" s="14">
        <f>IF(AND(AG$5-$A87&gt;=0,AG$5-$A87&lt;=19),INDEX(HU_ord,AG$5-$A87+1)*$B87,0)</f>
        <v>0.0</v>
      </c>
      <c r="AH87" s="14">
        <f>IF(AND(AH$5-$A87&gt;=0,AH$5-$A87&lt;=19),INDEX(HU_ord,AH$5-$A87+1)*$B87,0)</f>
        <v>0.0</v>
      </c>
      <c r="AI87" s="14">
        <f>IF(AND(AI$5-$A87&gt;=0,AI$5-$A87&lt;=19),INDEX(HU_ord,AI$5-$A87+1)*$B87,0)</f>
        <v>0.0</v>
      </c>
      <c r="AJ87" s="14">
        <f>IF(AND(AJ$5-$A87&gt;=0,AJ$5-$A87&lt;=19),INDEX(HU_ord,AJ$5-$A87+1)*$B87,0)</f>
        <v>0.0</v>
      </c>
      <c r="AK87" s="14">
        <f>IF(AND(AK$5-$A87&gt;=0,AK$5-$A87&lt;=19),INDEX(HU_ord,AK$5-$A87+1)*$B87,0)</f>
        <v>0.0</v>
      </c>
      <c r="AL87" s="14">
        <f>IF(AND(AL$5-$A87&gt;=0,AL$5-$A87&lt;=19),INDEX(HU_ord,AL$5-$A87+1)*$B87,0)</f>
        <v>0.0</v>
      </c>
      <c r="AM87" s="14">
        <f>IF(AND(AM$5-$A87&gt;=0,AM$5-$A87&lt;=19),INDEX(HU_ord,AM$5-$A87+1)*$B87,0)</f>
        <v>0.0</v>
      </c>
      <c r="AN87" s="14">
        <f>IF(AND(AN$5-$A87&gt;=0,AN$5-$A87&lt;=19),INDEX(HU_ord,AN$5-$A87+1)*$B87,0)</f>
        <v>0.0</v>
      </c>
      <c r="AO87" s="14">
        <f>IF(AND(AO$5-$A87&gt;=0,AO$5-$A87&lt;=19),INDEX(HU_ord,AO$5-$A87+1)*$B87,0)</f>
        <v>0.0</v>
      </c>
      <c r="AP87" s="14">
        <f>IF(AND(AP$5-$A87&gt;=0,AP$5-$A87&lt;=19),INDEX(HU_ord,AP$5-$A87+1)*$B87,0)</f>
        <v>0.0</v>
      </c>
      <c r="AQ87" s="14">
        <f>IF(AND(AQ$5-$A87&gt;=0,AQ$5-$A87&lt;=19),INDEX(HU_ord,AQ$5-$A87+1)*$B87,0)</f>
        <v>0.0</v>
      </c>
      <c r="AR87" s="14">
        <f>IF(AND(AR$5-$A87&gt;=0,AR$5-$A87&lt;=19),INDEX(HU_ord,AR$5-$A87+1)*$B87,0)</f>
        <v>0.0</v>
      </c>
      <c r="AS87" s="14">
        <f>IF(AND(AS$5-$A87&gt;=0,AS$5-$A87&lt;=19),INDEX(HU_ord,AS$5-$A87+1)*$B87,0)</f>
        <v>0.0</v>
      </c>
      <c r="AT87" s="14">
        <f>IF(AND(AT$5-$A87&gt;=0,AT$5-$A87&lt;=19),INDEX(HU_ord,AT$5-$A87+1)*$B87,0)</f>
        <v>0.0</v>
      </c>
      <c r="AU87" s="14">
        <f>IF(AND(AU$5-$A87&gt;=0,AU$5-$A87&lt;=19),INDEX(HU_ord,AU$5-$A87+1)*$B87,0)</f>
        <v>0.0</v>
      </c>
      <c r="AV87" s="14">
        <f>IF(AND(AV$5-$A87&gt;=0,AV$5-$A87&lt;=19),INDEX(HU_ord,AV$5-$A87+1)*$B87,0)</f>
        <v>0.0</v>
      </c>
      <c r="AW87" s="14">
        <f>IF(AND(AW$5-$A87&gt;=0,AW$5-$A87&lt;=19),INDEX(HU_ord,AW$5-$A87+1)*$B87,0)</f>
        <v>0.0</v>
      </c>
      <c r="AX87" s="14">
        <f>IF(AND(AX$5-$A87&gt;=0,AX$5-$A87&lt;=19),INDEX(HU_ord,AX$5-$A87+1)*$B87,0)</f>
        <v>0.0</v>
      </c>
      <c r="AY87" s="14">
        <f>IF(AND(AY$5-$A87&gt;=0,AY$5-$A87&lt;=19),INDEX(HU_ord,AY$5-$A87+1)*$B87,0)</f>
        <v>0.0</v>
      </c>
      <c r="AZ87" s="14">
        <f>IF(AND(AZ$5-$A87&gt;=0,AZ$5-$A87&lt;=19),INDEX(HU_ord,AZ$5-$A87+1)*$B87,0)</f>
        <v>0.0</v>
      </c>
      <c r="BA87" s="14">
        <f>IF(AND(BA$5-$A87&gt;=0,BA$5-$A87&lt;=19),INDEX(HU_ord,BA$5-$A87+1)*$B87,0)</f>
        <v>0.0</v>
      </c>
      <c r="BB87" s="14">
        <f>IF(AND(BB$5-$A87&gt;=0,BB$5-$A87&lt;=19),INDEX(HU_ord,BB$5-$A87+1)*$B87,0)</f>
        <v>0.0</v>
      </c>
      <c r="BC87" s="14">
        <f>IF(AND(BC$5-$A87&gt;=0,BC$5-$A87&lt;=19),INDEX(HU_ord,BC$5-$A87+1)*$B87,0)</f>
        <v>0.0</v>
      </c>
      <c r="BD87" s="14">
        <f>IF(AND(BD$5-$A87&gt;=0,BD$5-$A87&lt;=19),INDEX(HU_ord,BD$5-$A87+1)*$B87,0)</f>
        <v>0.0</v>
      </c>
      <c r="BE87" s="14">
        <f>IF(AND(BE$5-$A87&gt;=0,BE$5-$A87&lt;=19),INDEX(HU_ord,BE$5-$A87+1)*$B87,0)</f>
        <v>0.0</v>
      </c>
      <c r="BF87" s="14">
        <f>IF(AND(BF$5-$A87&gt;=0,BF$5-$A87&lt;=19),INDEX(HU_ord,BF$5-$A87+1)*$B87,0)</f>
        <v>0.0</v>
      </c>
      <c r="BG87" s="14">
        <f>IF(AND(BG$5-$A87&gt;=0,BG$5-$A87&lt;=19),INDEX(HU_ord,BG$5-$A87+1)*$B87,0)</f>
        <v>0.0</v>
      </c>
      <c r="BH87" s="14">
        <f>IF(AND(BH$5-$A87&gt;=0,BH$5-$A87&lt;=19),INDEX(HU_ord,BH$5-$A87+1)*$B87,0)</f>
        <v>0.0</v>
      </c>
      <c r="BI87" s="14">
        <f>IF(AND(BI$5-$A87&gt;=0,BI$5-$A87&lt;=19),INDEX(HU_ord,BI$5-$A87+1)*$B87,0)</f>
        <v>0.0</v>
      </c>
      <c r="BJ87" s="14">
        <f>IF(AND(BJ$5-$A87&gt;=0,BJ$5-$A87&lt;=19),INDEX(HU_ord,BJ$5-$A87+1)*$B87,0)</f>
        <v>0.0</v>
      </c>
      <c r="BK87" s="14">
        <f>IF(AND(BK$5-$A87&gt;=0,BK$5-$A87&lt;=19),INDEX(HU_ord,BK$5-$A87+1)*$B87,0)</f>
        <v>0.0</v>
      </c>
      <c r="BL87" s="14">
        <f>IF(AND(BL$5-$A87&gt;=0,BL$5-$A87&lt;=19),INDEX(HU_ord,BL$5-$A87+1)*$B87,0)</f>
        <v>0.0</v>
      </c>
      <c r="BM87" s="14">
        <f>IF(AND(BM$5-$A87&gt;=0,BM$5-$A87&lt;=19),INDEX(HU_ord,BM$5-$A87+1)*$B87,0)</f>
        <v>0.0</v>
      </c>
      <c r="BN87" s="14">
        <f>IF(AND(BN$5-$A87&gt;=0,BN$5-$A87&lt;=19),INDEX(HU_ord,BN$5-$A87+1)*$B87,0)</f>
        <v>0.0</v>
      </c>
      <c r="BO87" s="14">
        <f>IF(AND(BO$5-$A87&gt;=0,BO$5-$A87&lt;=19),INDEX(HU_ord,BO$5-$A87+1)*$B87,0)</f>
        <v>0.0</v>
      </c>
      <c r="BP87" s="14">
        <f>IF(AND(BP$5-$A87&gt;=0,BP$5-$A87&lt;=19),INDEX(HU_ord,BP$5-$A87+1)*$B87,0)</f>
        <v>0.0</v>
      </c>
      <c r="BQ87" s="14">
        <f>IF(AND(BQ$5-$A87&gt;=0,BQ$5-$A87&lt;=19),INDEX(HU_ord,BQ$5-$A87+1)*$B87,0)</f>
        <v>0.0</v>
      </c>
      <c r="BR87" s="14">
        <f>IF(AND(BR$5-$A87&gt;=0,BR$5-$A87&lt;=19),INDEX(HU_ord,BR$5-$A87+1)*$B87,0)</f>
        <v>0.0</v>
      </c>
      <c r="BS87" s="14">
        <f>IF(AND(BS$5-$A87&gt;=0,BS$5-$A87&lt;=19),INDEX(HU_ord,BS$5-$A87+1)*$B87,0)</f>
        <v>0.0</v>
      </c>
      <c r="BT87" s="14">
        <f>IF(AND(BT$5-$A87&gt;=0,BT$5-$A87&lt;=19),INDEX(HU_ord,BT$5-$A87+1)*$B87,0)</f>
        <v>0.0</v>
      </c>
      <c r="BU87" s="14">
        <f>IF(AND(BU$5-$A87&gt;=0,BU$5-$A87&lt;=19),INDEX(HU_ord,BU$5-$A87+1)*$B87,0)</f>
        <v>0.0</v>
      </c>
      <c r="BV87" s="14">
        <f>IF(AND(BV$5-$A87&gt;=0,BV$5-$A87&lt;=19),INDEX(HU_ord,BV$5-$A87+1)*$B87,0)</f>
        <v>0.0</v>
      </c>
      <c r="BW87" s="14">
        <f>IF(AND(BW$5-$A87&gt;=0,BW$5-$A87&lt;=19),INDEX(HU_ord,BW$5-$A87+1)*$B87,0)</f>
        <v>0.0</v>
      </c>
      <c r="BX87" s="14">
        <f>IF(AND(BX$5-$A87&gt;=0,BX$5-$A87&lt;=19),INDEX(HU_ord,BX$5-$A87+1)*$B87,0)</f>
        <v>0.0</v>
      </c>
      <c r="BY87" s="14">
        <f>IF(AND(BY$5-$A87&gt;=0,BY$5-$A87&lt;=19),INDEX(HU_ord,BY$5-$A87+1)*$B87,0)</f>
        <v>0.0</v>
      </c>
      <c r="BZ87" s="14">
        <f>IF(AND(BZ$5-$A87&gt;=0,BZ$5-$A87&lt;=19),INDEX(HU_ord,BZ$5-$A87+1)*$B87,0)</f>
        <v>0.0</v>
      </c>
      <c r="CA87" s="14">
        <f>IF(AND(CA$5-$A87&gt;=0,CA$5-$A87&lt;=19),INDEX(HU_ord,CA$5-$A87+1)*$B87,0)</f>
        <v>0.0</v>
      </c>
      <c r="CB87" s="14">
        <f>IF(AND(CB$5-$A87&gt;=0,CB$5-$A87&lt;=19),INDEX(HU_ord,CB$5-$A87+1)*$B87,0)</f>
        <v>0.0</v>
      </c>
      <c r="CC87" s="14">
        <f>IF(AND(CC$5-$A87&gt;=0,CC$5-$A87&lt;=19),INDEX(HU_ord,CC$5-$A87+1)*$B87,0)</f>
        <v>0.0</v>
      </c>
      <c r="CD87" s="14">
        <f>IF(AND(CD$5-$A87&gt;=0,CD$5-$A87&lt;=19),INDEX(HU_ord,CD$5-$A87+1)*$B87,0)</f>
        <v>0.0</v>
      </c>
      <c r="CE87" s="14">
        <f>IF(AND(CE$5-$A87&gt;=0,CE$5-$A87&lt;=19),INDEX(HU_ord,CE$5-$A87+1)*$B87,0)</f>
        <v>0.0</v>
      </c>
      <c r="CF87" s="14">
        <f>IF(AND(CF$5-$A87&gt;=0,CF$5-$A87&lt;=19),INDEX(HU_ord,CF$5-$A87+1)*$B87,0)</f>
        <v>0.0</v>
      </c>
      <c r="CG87" s="14">
        <f>IF(AND(CG$5-$A87&gt;=0,CG$5-$A87&lt;=19),INDEX(HU_ord,CG$5-$A87+1)*$B87,0)</f>
        <v>0.0</v>
      </c>
      <c r="CH87" s="14">
        <f>IF(AND(CH$5-$A87&gt;=0,CH$5-$A87&lt;=19),INDEX(HU_ord,CH$5-$A87+1)*$B87,0)</f>
        <v>0.0</v>
      </c>
      <c r="CI87" s="14">
        <f>IF(AND(CI$5-$A87&gt;=0,CI$5-$A87&lt;=19),INDEX(HU_ord,CI$5-$A87+1)*$B87,0)</f>
        <v>0.0</v>
      </c>
      <c r="CJ87" s="14">
        <f>IF(AND(CJ$5-$A87&gt;=0,CJ$5-$A87&lt;=19),INDEX(HU_ord,CJ$5-$A87+1)*$B87,0)</f>
        <v>0.0</v>
      </c>
      <c r="CK87" s="14">
        <f>IF(AND(CK$5-$A87&gt;=0,CK$5-$A87&lt;=19),INDEX(HU_ord,CK$5-$A87+1)*$B87,0)</f>
        <v>0.0</v>
      </c>
      <c r="CL87" s="14">
        <f>IF(AND(CL$5-$A87&gt;=0,CL$5-$A87&lt;=19),INDEX(HU_ord,CL$5-$A87+1)*$B87,0)</f>
        <v>0.0</v>
      </c>
      <c r="CM87" s="14">
        <f>IF(AND(CM$5-$A87&gt;=0,CM$5-$A87&lt;=19),INDEX(HU_ord,CM$5-$A87+1)*$B87,0)</f>
        <v>0.0</v>
      </c>
      <c r="CN87" s="14">
        <f>IF(AND(CN$5-$A87&gt;=0,CN$5-$A87&lt;=19),INDEX(HU_ord,CN$5-$A87+1)*$B87,0)</f>
        <v>0.0</v>
      </c>
      <c r="CO87" s="14">
        <f>IF(AND(CO$5-$A87&gt;=0,CO$5-$A87&lt;=19),INDEX(HU_ord,CO$5-$A87+1)*$B87,0)</f>
        <v>0.0</v>
      </c>
      <c r="CP87" s="14">
        <f>IF(AND(CP$5-$A87&gt;=0,CP$5-$A87&lt;=19),INDEX(HU_ord,CP$5-$A87+1)*$B87,0)</f>
        <v>0.0</v>
      </c>
      <c r="CQ87" s="14">
        <f>IF(AND(CQ$5-$A87&gt;=0,CQ$5-$A87&lt;=19),INDEX(HU_ord,CQ$5-$A87+1)*$B87,0)</f>
        <v>0.0</v>
      </c>
      <c r="CR87" s="14">
        <f>IF(AND(CR$5-$A87&gt;=0,CR$5-$A87&lt;=19),INDEX(HU_ord,CR$5-$A87+1)*$B87,0)</f>
        <v>0.0</v>
      </c>
      <c r="CS87" s="14">
        <f>IF(AND(CS$5-$A87&gt;=0,CS$5-$A87&lt;=19),INDEX(HU_ord,CS$5-$A87+1)*$B87,0)</f>
        <v>0.0</v>
      </c>
      <c r="CT87" s="14">
        <f>IF(AND(CT$5-$A87&gt;=0,CT$5-$A87&lt;=19),INDEX(HU_ord,CT$5-$A87+1)*$B87,0)</f>
        <v>0.0</v>
      </c>
      <c r="CU87" s="14">
        <f>IF(AND(CU$5-$A87&gt;=0,CU$5-$A87&lt;=19),INDEX(HU_ord,CU$5-$A87+1)*$B87,0)</f>
        <v>0.0</v>
      </c>
      <c r="CV87" s="14">
        <f>IF(AND(CV$5-$A87&gt;=0,CV$5-$A87&lt;=19),INDEX(HU_ord,CV$5-$A87+1)*$B87,0)</f>
        <v>0.0</v>
      </c>
      <c r="CW87" s="14">
        <f>IF(AND(CW$5-$A87&gt;=0,CW$5-$A87&lt;=19),INDEX(HU_ord,CW$5-$A87+1)*$B87,0)</f>
        <v>0.0</v>
      </c>
      <c r="CX87" s="14">
        <f>IF(AND(CX$5-$A87&gt;=0,CX$5-$A87&lt;=19),INDEX(HU_ord,CX$5-$A87+1)*$B87,0)</f>
        <v>0.0</v>
      </c>
      <c r="CY87" s="14">
        <f>IF(AND(CY$5-$A87&gt;=0,CY$5-$A87&lt;=19),INDEX(HU_ord,CY$5-$A87+1)*$B87,0)</f>
        <v>0.0</v>
      </c>
      <c r="CZ87" s="14">
        <f>IF(AND(CZ$5-$A87&gt;=0,CZ$5-$A87&lt;=19),INDEX(HU_ord,CZ$5-$A87+1)*$B87,0)</f>
        <v>0.0</v>
      </c>
      <c r="DA87" s="14">
        <f>IF(AND(DA$5-$A87&gt;=0,DA$5-$A87&lt;=19),INDEX(HU_ord,DA$5-$A87+1)*$B87,0)</f>
        <v>0.0</v>
      </c>
      <c r="DB87" s="14">
        <f>IF(AND(DB$5-$A87&gt;=0,DB$5-$A87&lt;=19),INDEX(HU_ord,DB$5-$A87+1)*$B87,0)</f>
        <v>0.0</v>
      </c>
      <c r="DC87" s="14">
        <f>IF(AND(DC$5-$A87&gt;=0,DC$5-$A87&lt;=19),INDEX(HU_ord,DC$5-$A87+1)*$B87,0)</f>
        <v>0.0</v>
      </c>
      <c r="DD87" s="14">
        <f>IF(AND(DD$5-$A87&gt;=0,DD$5-$A87&lt;=19),INDEX(HU_ord,DD$5-$A87+1)*$B87,0)</f>
        <v>0.0</v>
      </c>
      <c r="DE87" s="14">
        <f>IF(AND(DE$5-$A87&gt;=0,DE$5-$A87&lt;=19),INDEX(HU_ord,DE$5-$A87+1)*$B87,0)</f>
        <v>0.0</v>
      </c>
      <c r="DF87" s="14">
        <f>IF(AND(DF$5-$A87&gt;=0,DF$5-$A87&lt;=19),INDEX(HU_ord,DF$5-$A87+1)*$B87,0)</f>
        <v>0.0</v>
      </c>
      <c r="DG87" s="14">
        <f>IF(AND(DG$5-$A87&gt;=0,DG$5-$A87&lt;=19),INDEX(HU_ord,DG$5-$A87+1)*$B87,0)</f>
        <v>0.0</v>
      </c>
      <c r="DH87" s="14">
        <f>IF(AND(DH$5-$A87&gt;=0,DH$5-$A87&lt;=19),INDEX(HU_ord,DH$5-$A87+1)*$B87,0)</f>
        <v>0.0</v>
      </c>
      <c r="DI87" s="14">
        <f>IF(AND(DI$5-$A87&gt;=0,DI$5-$A87&lt;=19),INDEX(HU_ord,DI$5-$A87+1)*$B87,0)</f>
        <v>0.0</v>
      </c>
    </row>
    <row r="88" spans="1:113">
      <c r="A88">
        <v>82</v>
      </c>
      <c r="B88" s="10">
        <f>Serie_horaria!N84</f>
        <v>0.0</v>
      </c>
      <c r="C88" s="14">
        <f>IF(AND(C$5-$A88&gt;=0,C$5-$A88&lt;=19),INDEX(HU_ord,C$5-$A88+1)*$B88,0)</f>
        <v>0.0</v>
      </c>
      <c r="D88" s="14">
        <f>IF(AND(D$5-$A88&gt;=0,D$5-$A88&lt;=19),INDEX(HU_ord,D$5-$A88+1)*$B88,0)</f>
        <v>0.0</v>
      </c>
      <c r="E88" s="14">
        <f>IF(AND(E$5-$A88&gt;=0,E$5-$A88&lt;=19),INDEX(HU_ord,E$5-$A88+1)*$B88,0)</f>
        <v>0.0</v>
      </c>
      <c r="F88" s="14">
        <f>IF(AND(F$5-$A88&gt;=0,F$5-$A88&lt;=19),INDEX(HU_ord,F$5-$A88+1)*$B88,0)</f>
        <v>0.0</v>
      </c>
      <c r="G88" s="14">
        <f>IF(AND(G$5-$A88&gt;=0,G$5-$A88&lt;=19),INDEX(HU_ord,G$5-$A88+1)*$B88,0)</f>
        <v>0.0</v>
      </c>
      <c r="H88" s="14">
        <f>IF(AND(H$5-$A88&gt;=0,H$5-$A88&lt;=19),INDEX(HU_ord,H$5-$A88+1)*$B88,0)</f>
        <v>0.0</v>
      </c>
      <c r="I88" s="14">
        <f>IF(AND(I$5-$A88&gt;=0,I$5-$A88&lt;=19),INDEX(HU_ord,I$5-$A88+1)*$B88,0)</f>
        <v>0.0</v>
      </c>
      <c r="J88" s="14">
        <f>IF(AND(J$5-$A88&gt;=0,J$5-$A88&lt;=19),INDEX(HU_ord,J$5-$A88+1)*$B88,0)</f>
        <v>0.0</v>
      </c>
      <c r="K88" s="14">
        <f>IF(AND(K$5-$A88&gt;=0,K$5-$A88&lt;=19),INDEX(HU_ord,K$5-$A88+1)*$B88,0)</f>
        <v>0.0</v>
      </c>
      <c r="L88" s="14">
        <f>IF(AND(L$5-$A88&gt;=0,L$5-$A88&lt;=19),INDEX(HU_ord,L$5-$A88+1)*$B88,0)</f>
        <v>0.0</v>
      </c>
      <c r="M88" s="14">
        <f>IF(AND(M$5-$A88&gt;=0,M$5-$A88&lt;=19),INDEX(HU_ord,M$5-$A88+1)*$B88,0)</f>
        <v>0.0</v>
      </c>
      <c r="N88" s="14">
        <f>IF(AND(N$5-$A88&gt;=0,N$5-$A88&lt;=19),INDEX(HU_ord,N$5-$A88+1)*$B88,0)</f>
        <v>0.0</v>
      </c>
      <c r="O88" s="14">
        <f>IF(AND(O$5-$A88&gt;=0,O$5-$A88&lt;=19),INDEX(HU_ord,O$5-$A88+1)*$B88,0)</f>
        <v>0.0</v>
      </c>
      <c r="P88" s="14">
        <f>IF(AND(P$5-$A88&gt;=0,P$5-$A88&lt;=19),INDEX(HU_ord,P$5-$A88+1)*$B88,0)</f>
        <v>0.0</v>
      </c>
      <c r="Q88" s="14">
        <f>IF(AND(Q$5-$A88&gt;=0,Q$5-$A88&lt;=19),INDEX(HU_ord,Q$5-$A88+1)*$B88,0)</f>
        <v>0.0</v>
      </c>
      <c r="R88" s="14">
        <f>IF(AND(R$5-$A88&gt;=0,R$5-$A88&lt;=19),INDEX(HU_ord,R$5-$A88+1)*$B88,0)</f>
        <v>0.0</v>
      </c>
      <c r="S88" s="14">
        <f>IF(AND(S$5-$A88&gt;=0,S$5-$A88&lt;=19),INDEX(HU_ord,S$5-$A88+1)*$B88,0)</f>
        <v>0.0</v>
      </c>
      <c r="T88" s="14">
        <f>IF(AND(T$5-$A88&gt;=0,T$5-$A88&lt;=19),INDEX(HU_ord,T$5-$A88+1)*$B88,0)</f>
        <v>0.0</v>
      </c>
      <c r="U88" s="14">
        <f>IF(AND(U$5-$A88&gt;=0,U$5-$A88&lt;=19),INDEX(HU_ord,U$5-$A88+1)*$B88,0)</f>
        <v>0.0</v>
      </c>
      <c r="V88" s="14">
        <f>IF(AND(V$5-$A88&gt;=0,V$5-$A88&lt;=19),INDEX(HU_ord,V$5-$A88+1)*$B88,0)</f>
        <v>0.0</v>
      </c>
      <c r="W88" s="14">
        <f>IF(AND(W$5-$A88&gt;=0,W$5-$A88&lt;=19),INDEX(HU_ord,W$5-$A88+1)*$B88,0)</f>
        <v>0.0</v>
      </c>
      <c r="X88" s="14">
        <f>IF(AND(X$5-$A88&gt;=0,X$5-$A88&lt;=19),INDEX(HU_ord,X$5-$A88+1)*$B88,0)</f>
        <v>0.0</v>
      </c>
      <c r="Y88" s="14">
        <f>IF(AND(Y$5-$A88&gt;=0,Y$5-$A88&lt;=19),INDEX(HU_ord,Y$5-$A88+1)*$B88,0)</f>
        <v>0.0</v>
      </c>
      <c r="Z88" s="14">
        <f>IF(AND(Z$5-$A88&gt;=0,Z$5-$A88&lt;=19),INDEX(HU_ord,Z$5-$A88+1)*$B88,0)</f>
        <v>0.0</v>
      </c>
      <c r="AA88" s="14">
        <f>IF(AND(AA$5-$A88&gt;=0,AA$5-$A88&lt;=19),INDEX(HU_ord,AA$5-$A88+1)*$B88,0)</f>
        <v>0.0</v>
      </c>
      <c r="AB88" s="14">
        <f>IF(AND(AB$5-$A88&gt;=0,AB$5-$A88&lt;=19),INDEX(HU_ord,AB$5-$A88+1)*$B88,0)</f>
        <v>0.0</v>
      </c>
      <c r="AC88" s="14">
        <f>IF(AND(AC$5-$A88&gt;=0,AC$5-$A88&lt;=19),INDEX(HU_ord,AC$5-$A88+1)*$B88,0)</f>
        <v>0.0</v>
      </c>
      <c r="AD88" s="14">
        <f>IF(AND(AD$5-$A88&gt;=0,AD$5-$A88&lt;=19),INDEX(HU_ord,AD$5-$A88+1)*$B88,0)</f>
        <v>0.0</v>
      </c>
      <c r="AE88" s="14">
        <f>IF(AND(AE$5-$A88&gt;=0,AE$5-$A88&lt;=19),INDEX(HU_ord,AE$5-$A88+1)*$B88,0)</f>
        <v>0.0</v>
      </c>
      <c r="AF88" s="14">
        <f>IF(AND(AF$5-$A88&gt;=0,AF$5-$A88&lt;=19),INDEX(HU_ord,AF$5-$A88+1)*$B88,0)</f>
        <v>0.0</v>
      </c>
      <c r="AG88" s="14">
        <f>IF(AND(AG$5-$A88&gt;=0,AG$5-$A88&lt;=19),INDEX(HU_ord,AG$5-$A88+1)*$B88,0)</f>
        <v>0.0</v>
      </c>
      <c r="AH88" s="14">
        <f>IF(AND(AH$5-$A88&gt;=0,AH$5-$A88&lt;=19),INDEX(HU_ord,AH$5-$A88+1)*$B88,0)</f>
        <v>0.0</v>
      </c>
      <c r="AI88" s="14">
        <f>IF(AND(AI$5-$A88&gt;=0,AI$5-$A88&lt;=19),INDEX(HU_ord,AI$5-$A88+1)*$B88,0)</f>
        <v>0.0</v>
      </c>
      <c r="AJ88" s="14">
        <f>IF(AND(AJ$5-$A88&gt;=0,AJ$5-$A88&lt;=19),INDEX(HU_ord,AJ$5-$A88+1)*$B88,0)</f>
        <v>0.0</v>
      </c>
      <c r="AK88" s="14">
        <f>IF(AND(AK$5-$A88&gt;=0,AK$5-$A88&lt;=19),INDEX(HU_ord,AK$5-$A88+1)*$B88,0)</f>
        <v>0.0</v>
      </c>
      <c r="AL88" s="14">
        <f>IF(AND(AL$5-$A88&gt;=0,AL$5-$A88&lt;=19),INDEX(HU_ord,AL$5-$A88+1)*$B88,0)</f>
        <v>0.0</v>
      </c>
      <c r="AM88" s="14">
        <f>IF(AND(AM$5-$A88&gt;=0,AM$5-$A88&lt;=19),INDEX(HU_ord,AM$5-$A88+1)*$B88,0)</f>
        <v>0.0</v>
      </c>
      <c r="AN88" s="14">
        <f>IF(AND(AN$5-$A88&gt;=0,AN$5-$A88&lt;=19),INDEX(HU_ord,AN$5-$A88+1)*$B88,0)</f>
        <v>0.0</v>
      </c>
      <c r="AO88" s="14">
        <f>IF(AND(AO$5-$A88&gt;=0,AO$5-$A88&lt;=19),INDEX(HU_ord,AO$5-$A88+1)*$B88,0)</f>
        <v>0.0</v>
      </c>
      <c r="AP88" s="14">
        <f>IF(AND(AP$5-$A88&gt;=0,AP$5-$A88&lt;=19),INDEX(HU_ord,AP$5-$A88+1)*$B88,0)</f>
        <v>0.0</v>
      </c>
      <c r="AQ88" s="14">
        <f>IF(AND(AQ$5-$A88&gt;=0,AQ$5-$A88&lt;=19),INDEX(HU_ord,AQ$5-$A88+1)*$B88,0)</f>
        <v>0.0</v>
      </c>
      <c r="AR88" s="14">
        <f>IF(AND(AR$5-$A88&gt;=0,AR$5-$A88&lt;=19),INDEX(HU_ord,AR$5-$A88+1)*$B88,0)</f>
        <v>0.0</v>
      </c>
      <c r="AS88" s="14">
        <f>IF(AND(AS$5-$A88&gt;=0,AS$5-$A88&lt;=19),INDEX(HU_ord,AS$5-$A88+1)*$B88,0)</f>
        <v>0.0</v>
      </c>
      <c r="AT88" s="14">
        <f>IF(AND(AT$5-$A88&gt;=0,AT$5-$A88&lt;=19),INDEX(HU_ord,AT$5-$A88+1)*$B88,0)</f>
        <v>0.0</v>
      </c>
      <c r="AU88" s="14">
        <f>IF(AND(AU$5-$A88&gt;=0,AU$5-$A88&lt;=19),INDEX(HU_ord,AU$5-$A88+1)*$B88,0)</f>
        <v>0.0</v>
      </c>
      <c r="AV88" s="14">
        <f>IF(AND(AV$5-$A88&gt;=0,AV$5-$A88&lt;=19),INDEX(HU_ord,AV$5-$A88+1)*$B88,0)</f>
        <v>0.0</v>
      </c>
      <c r="AW88" s="14">
        <f>IF(AND(AW$5-$A88&gt;=0,AW$5-$A88&lt;=19),INDEX(HU_ord,AW$5-$A88+1)*$B88,0)</f>
        <v>0.0</v>
      </c>
      <c r="AX88" s="14">
        <f>IF(AND(AX$5-$A88&gt;=0,AX$5-$A88&lt;=19),INDEX(HU_ord,AX$5-$A88+1)*$B88,0)</f>
        <v>0.0</v>
      </c>
      <c r="AY88" s="14">
        <f>IF(AND(AY$5-$A88&gt;=0,AY$5-$A88&lt;=19),INDEX(HU_ord,AY$5-$A88+1)*$B88,0)</f>
        <v>0.0</v>
      </c>
      <c r="AZ88" s="14">
        <f>IF(AND(AZ$5-$A88&gt;=0,AZ$5-$A88&lt;=19),INDEX(HU_ord,AZ$5-$A88+1)*$B88,0)</f>
        <v>0.0</v>
      </c>
      <c r="BA88" s="14">
        <f>IF(AND(BA$5-$A88&gt;=0,BA$5-$A88&lt;=19),INDEX(HU_ord,BA$5-$A88+1)*$B88,0)</f>
        <v>0.0</v>
      </c>
      <c r="BB88" s="14">
        <f>IF(AND(BB$5-$A88&gt;=0,BB$5-$A88&lt;=19),INDEX(HU_ord,BB$5-$A88+1)*$B88,0)</f>
        <v>0.0</v>
      </c>
      <c r="BC88" s="14">
        <f>IF(AND(BC$5-$A88&gt;=0,BC$5-$A88&lt;=19),INDEX(HU_ord,BC$5-$A88+1)*$B88,0)</f>
        <v>0.0</v>
      </c>
      <c r="BD88" s="14">
        <f>IF(AND(BD$5-$A88&gt;=0,BD$5-$A88&lt;=19),INDEX(HU_ord,BD$5-$A88+1)*$B88,0)</f>
        <v>0.0</v>
      </c>
      <c r="BE88" s="14">
        <f>IF(AND(BE$5-$A88&gt;=0,BE$5-$A88&lt;=19),INDEX(HU_ord,BE$5-$A88+1)*$B88,0)</f>
        <v>0.0</v>
      </c>
      <c r="BF88" s="14">
        <f>IF(AND(BF$5-$A88&gt;=0,BF$5-$A88&lt;=19),INDEX(HU_ord,BF$5-$A88+1)*$B88,0)</f>
        <v>0.0</v>
      </c>
      <c r="BG88" s="14">
        <f>IF(AND(BG$5-$A88&gt;=0,BG$5-$A88&lt;=19),INDEX(HU_ord,BG$5-$A88+1)*$B88,0)</f>
        <v>0.0</v>
      </c>
      <c r="BH88" s="14">
        <f>IF(AND(BH$5-$A88&gt;=0,BH$5-$A88&lt;=19),INDEX(HU_ord,BH$5-$A88+1)*$B88,0)</f>
        <v>0.0</v>
      </c>
      <c r="BI88" s="14">
        <f>IF(AND(BI$5-$A88&gt;=0,BI$5-$A88&lt;=19),INDEX(HU_ord,BI$5-$A88+1)*$B88,0)</f>
        <v>0.0</v>
      </c>
      <c r="BJ88" s="14">
        <f>IF(AND(BJ$5-$A88&gt;=0,BJ$5-$A88&lt;=19),INDEX(HU_ord,BJ$5-$A88+1)*$B88,0)</f>
        <v>0.0</v>
      </c>
      <c r="BK88" s="14">
        <f>IF(AND(BK$5-$A88&gt;=0,BK$5-$A88&lt;=19),INDEX(HU_ord,BK$5-$A88+1)*$B88,0)</f>
        <v>0.0</v>
      </c>
      <c r="BL88" s="14">
        <f>IF(AND(BL$5-$A88&gt;=0,BL$5-$A88&lt;=19),INDEX(HU_ord,BL$5-$A88+1)*$B88,0)</f>
        <v>0.0</v>
      </c>
      <c r="BM88" s="14">
        <f>IF(AND(BM$5-$A88&gt;=0,BM$5-$A88&lt;=19),INDEX(HU_ord,BM$5-$A88+1)*$B88,0)</f>
        <v>0.0</v>
      </c>
      <c r="BN88" s="14">
        <f>IF(AND(BN$5-$A88&gt;=0,BN$5-$A88&lt;=19),INDEX(HU_ord,BN$5-$A88+1)*$B88,0)</f>
        <v>0.0</v>
      </c>
      <c r="BO88" s="14">
        <f>IF(AND(BO$5-$A88&gt;=0,BO$5-$A88&lt;=19),INDEX(HU_ord,BO$5-$A88+1)*$B88,0)</f>
        <v>0.0</v>
      </c>
      <c r="BP88" s="14">
        <f>IF(AND(BP$5-$A88&gt;=0,BP$5-$A88&lt;=19),INDEX(HU_ord,BP$5-$A88+1)*$B88,0)</f>
        <v>0.0</v>
      </c>
      <c r="BQ88" s="14">
        <f>IF(AND(BQ$5-$A88&gt;=0,BQ$5-$A88&lt;=19),INDEX(HU_ord,BQ$5-$A88+1)*$B88,0)</f>
        <v>0.0</v>
      </c>
      <c r="BR88" s="14">
        <f>IF(AND(BR$5-$A88&gt;=0,BR$5-$A88&lt;=19),INDEX(HU_ord,BR$5-$A88+1)*$B88,0)</f>
        <v>0.0</v>
      </c>
      <c r="BS88" s="14">
        <f>IF(AND(BS$5-$A88&gt;=0,BS$5-$A88&lt;=19),INDEX(HU_ord,BS$5-$A88+1)*$B88,0)</f>
        <v>0.0</v>
      </c>
      <c r="BT88" s="14">
        <f>IF(AND(BT$5-$A88&gt;=0,BT$5-$A88&lt;=19),INDEX(HU_ord,BT$5-$A88+1)*$B88,0)</f>
        <v>0.0</v>
      </c>
      <c r="BU88" s="14">
        <f>IF(AND(BU$5-$A88&gt;=0,BU$5-$A88&lt;=19),INDEX(HU_ord,BU$5-$A88+1)*$B88,0)</f>
        <v>0.0</v>
      </c>
      <c r="BV88" s="14">
        <f>IF(AND(BV$5-$A88&gt;=0,BV$5-$A88&lt;=19),INDEX(HU_ord,BV$5-$A88+1)*$B88,0)</f>
        <v>0.0</v>
      </c>
      <c r="BW88" s="14">
        <f>IF(AND(BW$5-$A88&gt;=0,BW$5-$A88&lt;=19),INDEX(HU_ord,BW$5-$A88+1)*$B88,0)</f>
        <v>0.0</v>
      </c>
      <c r="BX88" s="14">
        <f>IF(AND(BX$5-$A88&gt;=0,BX$5-$A88&lt;=19),INDEX(HU_ord,BX$5-$A88+1)*$B88,0)</f>
        <v>0.0</v>
      </c>
      <c r="BY88" s="14">
        <f>IF(AND(BY$5-$A88&gt;=0,BY$5-$A88&lt;=19),INDEX(HU_ord,BY$5-$A88+1)*$B88,0)</f>
        <v>0.0</v>
      </c>
      <c r="BZ88" s="14">
        <f>IF(AND(BZ$5-$A88&gt;=0,BZ$5-$A88&lt;=19),INDEX(HU_ord,BZ$5-$A88+1)*$B88,0)</f>
        <v>0.0</v>
      </c>
      <c r="CA88" s="14">
        <f>IF(AND(CA$5-$A88&gt;=0,CA$5-$A88&lt;=19),INDEX(HU_ord,CA$5-$A88+1)*$B88,0)</f>
        <v>0.0</v>
      </c>
      <c r="CB88" s="14">
        <f>IF(AND(CB$5-$A88&gt;=0,CB$5-$A88&lt;=19),INDEX(HU_ord,CB$5-$A88+1)*$B88,0)</f>
        <v>0.0</v>
      </c>
      <c r="CC88" s="14">
        <f>IF(AND(CC$5-$A88&gt;=0,CC$5-$A88&lt;=19),INDEX(HU_ord,CC$5-$A88+1)*$B88,0)</f>
        <v>0.0</v>
      </c>
      <c r="CD88" s="14">
        <f>IF(AND(CD$5-$A88&gt;=0,CD$5-$A88&lt;=19),INDEX(HU_ord,CD$5-$A88+1)*$B88,0)</f>
        <v>0.0</v>
      </c>
      <c r="CE88" s="14">
        <f>IF(AND(CE$5-$A88&gt;=0,CE$5-$A88&lt;=19),INDEX(HU_ord,CE$5-$A88+1)*$B88,0)</f>
        <v>0.0</v>
      </c>
      <c r="CF88" s="14">
        <f>IF(AND(CF$5-$A88&gt;=0,CF$5-$A88&lt;=19),INDEX(HU_ord,CF$5-$A88+1)*$B88,0)</f>
        <v>0.0</v>
      </c>
      <c r="CG88" s="14">
        <f>IF(AND(CG$5-$A88&gt;=0,CG$5-$A88&lt;=19),INDEX(HU_ord,CG$5-$A88+1)*$B88,0)</f>
        <v>0.0</v>
      </c>
      <c r="CH88" s="14">
        <f>IF(AND(CH$5-$A88&gt;=0,CH$5-$A88&lt;=19),INDEX(HU_ord,CH$5-$A88+1)*$B88,0)</f>
        <v>0.0</v>
      </c>
      <c r="CI88" s="14">
        <f>IF(AND(CI$5-$A88&gt;=0,CI$5-$A88&lt;=19),INDEX(HU_ord,CI$5-$A88+1)*$B88,0)</f>
        <v>0.0</v>
      </c>
      <c r="CJ88" s="14">
        <f>IF(AND(CJ$5-$A88&gt;=0,CJ$5-$A88&lt;=19),INDEX(HU_ord,CJ$5-$A88+1)*$B88,0)</f>
        <v>0.0</v>
      </c>
      <c r="CK88" s="14">
        <f>IF(AND(CK$5-$A88&gt;=0,CK$5-$A88&lt;=19),INDEX(HU_ord,CK$5-$A88+1)*$B88,0)</f>
        <v>0.0</v>
      </c>
      <c r="CL88" s="14">
        <f>IF(AND(CL$5-$A88&gt;=0,CL$5-$A88&lt;=19),INDEX(HU_ord,CL$5-$A88+1)*$B88,0)</f>
        <v>0.0</v>
      </c>
      <c r="CM88" s="14">
        <f>IF(AND(CM$5-$A88&gt;=0,CM$5-$A88&lt;=19),INDEX(HU_ord,CM$5-$A88+1)*$B88,0)</f>
        <v>0.0</v>
      </c>
      <c r="CN88" s="14">
        <f>IF(AND(CN$5-$A88&gt;=0,CN$5-$A88&lt;=19),INDEX(HU_ord,CN$5-$A88+1)*$B88,0)</f>
        <v>0.0</v>
      </c>
      <c r="CO88" s="14">
        <f>IF(AND(CO$5-$A88&gt;=0,CO$5-$A88&lt;=19),INDEX(HU_ord,CO$5-$A88+1)*$B88,0)</f>
        <v>0.0</v>
      </c>
      <c r="CP88" s="14">
        <f>IF(AND(CP$5-$A88&gt;=0,CP$5-$A88&lt;=19),INDEX(HU_ord,CP$5-$A88+1)*$B88,0)</f>
        <v>0.0</v>
      </c>
      <c r="CQ88" s="14">
        <f>IF(AND(CQ$5-$A88&gt;=0,CQ$5-$A88&lt;=19),INDEX(HU_ord,CQ$5-$A88+1)*$B88,0)</f>
        <v>0.0</v>
      </c>
      <c r="CR88" s="14">
        <f>IF(AND(CR$5-$A88&gt;=0,CR$5-$A88&lt;=19),INDEX(HU_ord,CR$5-$A88+1)*$B88,0)</f>
        <v>0.0</v>
      </c>
      <c r="CS88" s="14">
        <f>IF(AND(CS$5-$A88&gt;=0,CS$5-$A88&lt;=19),INDEX(HU_ord,CS$5-$A88+1)*$B88,0)</f>
        <v>0.0</v>
      </c>
      <c r="CT88" s="14">
        <f>IF(AND(CT$5-$A88&gt;=0,CT$5-$A88&lt;=19),INDEX(HU_ord,CT$5-$A88+1)*$B88,0)</f>
        <v>0.0</v>
      </c>
      <c r="CU88" s="14">
        <f>IF(AND(CU$5-$A88&gt;=0,CU$5-$A88&lt;=19),INDEX(HU_ord,CU$5-$A88+1)*$B88,0)</f>
        <v>0.0</v>
      </c>
      <c r="CV88" s="14">
        <f>IF(AND(CV$5-$A88&gt;=0,CV$5-$A88&lt;=19),INDEX(HU_ord,CV$5-$A88+1)*$B88,0)</f>
        <v>0.0</v>
      </c>
      <c r="CW88" s="14">
        <f>IF(AND(CW$5-$A88&gt;=0,CW$5-$A88&lt;=19),INDEX(HU_ord,CW$5-$A88+1)*$B88,0)</f>
        <v>0.0</v>
      </c>
      <c r="CX88" s="14">
        <f>IF(AND(CX$5-$A88&gt;=0,CX$5-$A88&lt;=19),INDEX(HU_ord,CX$5-$A88+1)*$B88,0)</f>
        <v>0.0</v>
      </c>
      <c r="CY88" s="14">
        <f>IF(AND(CY$5-$A88&gt;=0,CY$5-$A88&lt;=19),INDEX(HU_ord,CY$5-$A88+1)*$B88,0)</f>
        <v>0.0</v>
      </c>
      <c r="CZ88" s="14">
        <f>IF(AND(CZ$5-$A88&gt;=0,CZ$5-$A88&lt;=19),INDEX(HU_ord,CZ$5-$A88+1)*$B88,0)</f>
        <v>0.0</v>
      </c>
      <c r="DA88" s="14">
        <f>IF(AND(DA$5-$A88&gt;=0,DA$5-$A88&lt;=19),INDEX(HU_ord,DA$5-$A88+1)*$B88,0)</f>
        <v>0.0</v>
      </c>
      <c r="DB88" s="14">
        <f>IF(AND(DB$5-$A88&gt;=0,DB$5-$A88&lt;=19),INDEX(HU_ord,DB$5-$A88+1)*$B88,0)</f>
        <v>0.0</v>
      </c>
      <c r="DC88" s="14">
        <f>IF(AND(DC$5-$A88&gt;=0,DC$5-$A88&lt;=19),INDEX(HU_ord,DC$5-$A88+1)*$B88,0)</f>
        <v>0.0</v>
      </c>
      <c r="DD88" s="14">
        <f>IF(AND(DD$5-$A88&gt;=0,DD$5-$A88&lt;=19),INDEX(HU_ord,DD$5-$A88+1)*$B88,0)</f>
        <v>0.0</v>
      </c>
      <c r="DE88" s="14">
        <f>IF(AND(DE$5-$A88&gt;=0,DE$5-$A88&lt;=19),INDEX(HU_ord,DE$5-$A88+1)*$B88,0)</f>
        <v>0.0</v>
      </c>
      <c r="DF88" s="14">
        <f>IF(AND(DF$5-$A88&gt;=0,DF$5-$A88&lt;=19),INDEX(HU_ord,DF$5-$A88+1)*$B88,0)</f>
        <v>0.0</v>
      </c>
      <c r="DG88" s="14">
        <f>IF(AND(DG$5-$A88&gt;=0,DG$5-$A88&lt;=19),INDEX(HU_ord,DG$5-$A88+1)*$B88,0)</f>
        <v>0.0</v>
      </c>
      <c r="DH88" s="14">
        <f>IF(AND(DH$5-$A88&gt;=0,DH$5-$A88&lt;=19),INDEX(HU_ord,DH$5-$A88+1)*$B88,0)</f>
        <v>0.0</v>
      </c>
      <c r="DI88" s="14">
        <f>IF(AND(DI$5-$A88&gt;=0,DI$5-$A88&lt;=19),INDEX(HU_ord,DI$5-$A88+1)*$B88,0)</f>
        <v>0.0</v>
      </c>
    </row>
    <row r="89" spans="1:113">
      <c r="A89">
        <v>83</v>
      </c>
      <c r="B89" s="10">
        <f>Serie_horaria!N85</f>
        <v>0.0</v>
      </c>
      <c r="C89" s="14">
        <f>IF(AND(C$5-$A89&gt;=0,C$5-$A89&lt;=19),INDEX(HU_ord,C$5-$A89+1)*$B89,0)</f>
        <v>0.0</v>
      </c>
      <c r="D89" s="14">
        <f>IF(AND(D$5-$A89&gt;=0,D$5-$A89&lt;=19),INDEX(HU_ord,D$5-$A89+1)*$B89,0)</f>
        <v>0.0</v>
      </c>
      <c r="E89" s="14">
        <f>IF(AND(E$5-$A89&gt;=0,E$5-$A89&lt;=19),INDEX(HU_ord,E$5-$A89+1)*$B89,0)</f>
        <v>0.0</v>
      </c>
      <c r="F89" s="14">
        <f>IF(AND(F$5-$A89&gt;=0,F$5-$A89&lt;=19),INDEX(HU_ord,F$5-$A89+1)*$B89,0)</f>
        <v>0.0</v>
      </c>
      <c r="G89" s="14">
        <f>IF(AND(G$5-$A89&gt;=0,G$5-$A89&lt;=19),INDEX(HU_ord,G$5-$A89+1)*$B89,0)</f>
        <v>0.0</v>
      </c>
      <c r="H89" s="14">
        <f>IF(AND(H$5-$A89&gt;=0,H$5-$A89&lt;=19),INDEX(HU_ord,H$5-$A89+1)*$B89,0)</f>
        <v>0.0</v>
      </c>
      <c r="I89" s="14">
        <f>IF(AND(I$5-$A89&gt;=0,I$5-$A89&lt;=19),INDEX(HU_ord,I$5-$A89+1)*$B89,0)</f>
        <v>0.0</v>
      </c>
      <c r="J89" s="14">
        <f>IF(AND(J$5-$A89&gt;=0,J$5-$A89&lt;=19),INDEX(HU_ord,J$5-$A89+1)*$B89,0)</f>
        <v>0.0</v>
      </c>
      <c r="K89" s="14">
        <f>IF(AND(K$5-$A89&gt;=0,K$5-$A89&lt;=19),INDEX(HU_ord,K$5-$A89+1)*$B89,0)</f>
        <v>0.0</v>
      </c>
      <c r="L89" s="14">
        <f>IF(AND(L$5-$A89&gt;=0,L$5-$A89&lt;=19),INDEX(HU_ord,L$5-$A89+1)*$B89,0)</f>
        <v>0.0</v>
      </c>
      <c r="M89" s="14">
        <f>IF(AND(M$5-$A89&gt;=0,M$5-$A89&lt;=19),INDEX(HU_ord,M$5-$A89+1)*$B89,0)</f>
        <v>0.0</v>
      </c>
      <c r="N89" s="14">
        <f>IF(AND(N$5-$A89&gt;=0,N$5-$A89&lt;=19),INDEX(HU_ord,N$5-$A89+1)*$B89,0)</f>
        <v>0.0</v>
      </c>
      <c r="O89" s="14">
        <f>IF(AND(O$5-$A89&gt;=0,O$5-$A89&lt;=19),INDEX(HU_ord,O$5-$A89+1)*$B89,0)</f>
        <v>0.0</v>
      </c>
      <c r="P89" s="14">
        <f>IF(AND(P$5-$A89&gt;=0,P$5-$A89&lt;=19),INDEX(HU_ord,P$5-$A89+1)*$B89,0)</f>
        <v>0.0</v>
      </c>
      <c r="Q89" s="14">
        <f>IF(AND(Q$5-$A89&gt;=0,Q$5-$A89&lt;=19),INDEX(HU_ord,Q$5-$A89+1)*$B89,0)</f>
        <v>0.0</v>
      </c>
      <c r="R89" s="14">
        <f>IF(AND(R$5-$A89&gt;=0,R$5-$A89&lt;=19),INDEX(HU_ord,R$5-$A89+1)*$B89,0)</f>
        <v>0.0</v>
      </c>
      <c r="S89" s="14">
        <f>IF(AND(S$5-$A89&gt;=0,S$5-$A89&lt;=19),INDEX(HU_ord,S$5-$A89+1)*$B89,0)</f>
        <v>0.0</v>
      </c>
      <c r="T89" s="14">
        <f>IF(AND(T$5-$A89&gt;=0,T$5-$A89&lt;=19),INDEX(HU_ord,T$5-$A89+1)*$B89,0)</f>
        <v>0.0</v>
      </c>
      <c r="U89" s="14">
        <f>IF(AND(U$5-$A89&gt;=0,U$5-$A89&lt;=19),INDEX(HU_ord,U$5-$A89+1)*$B89,0)</f>
        <v>0.0</v>
      </c>
      <c r="V89" s="14">
        <f>IF(AND(V$5-$A89&gt;=0,V$5-$A89&lt;=19),INDEX(HU_ord,V$5-$A89+1)*$B89,0)</f>
        <v>0.0</v>
      </c>
      <c r="W89" s="14">
        <f>IF(AND(W$5-$A89&gt;=0,W$5-$A89&lt;=19),INDEX(HU_ord,W$5-$A89+1)*$B89,0)</f>
        <v>0.0</v>
      </c>
      <c r="X89" s="14">
        <f>IF(AND(X$5-$A89&gt;=0,X$5-$A89&lt;=19),INDEX(HU_ord,X$5-$A89+1)*$B89,0)</f>
        <v>0.0</v>
      </c>
      <c r="Y89" s="14">
        <f>IF(AND(Y$5-$A89&gt;=0,Y$5-$A89&lt;=19),INDEX(HU_ord,Y$5-$A89+1)*$B89,0)</f>
        <v>0.0</v>
      </c>
      <c r="Z89" s="14">
        <f>IF(AND(Z$5-$A89&gt;=0,Z$5-$A89&lt;=19),INDEX(HU_ord,Z$5-$A89+1)*$B89,0)</f>
        <v>0.0</v>
      </c>
      <c r="AA89" s="14">
        <f>IF(AND(AA$5-$A89&gt;=0,AA$5-$A89&lt;=19),INDEX(HU_ord,AA$5-$A89+1)*$B89,0)</f>
        <v>0.0</v>
      </c>
      <c r="AB89" s="14">
        <f>IF(AND(AB$5-$A89&gt;=0,AB$5-$A89&lt;=19),INDEX(HU_ord,AB$5-$A89+1)*$B89,0)</f>
        <v>0.0</v>
      </c>
      <c r="AC89" s="14">
        <f>IF(AND(AC$5-$A89&gt;=0,AC$5-$A89&lt;=19),INDEX(HU_ord,AC$5-$A89+1)*$B89,0)</f>
        <v>0.0</v>
      </c>
      <c r="AD89" s="14">
        <f>IF(AND(AD$5-$A89&gt;=0,AD$5-$A89&lt;=19),INDEX(HU_ord,AD$5-$A89+1)*$B89,0)</f>
        <v>0.0</v>
      </c>
      <c r="AE89" s="14">
        <f>IF(AND(AE$5-$A89&gt;=0,AE$5-$A89&lt;=19),INDEX(HU_ord,AE$5-$A89+1)*$B89,0)</f>
        <v>0.0</v>
      </c>
      <c r="AF89" s="14">
        <f>IF(AND(AF$5-$A89&gt;=0,AF$5-$A89&lt;=19),INDEX(HU_ord,AF$5-$A89+1)*$B89,0)</f>
        <v>0.0</v>
      </c>
      <c r="AG89" s="14">
        <f>IF(AND(AG$5-$A89&gt;=0,AG$5-$A89&lt;=19),INDEX(HU_ord,AG$5-$A89+1)*$B89,0)</f>
        <v>0.0</v>
      </c>
      <c r="AH89" s="14">
        <f>IF(AND(AH$5-$A89&gt;=0,AH$5-$A89&lt;=19),INDEX(HU_ord,AH$5-$A89+1)*$B89,0)</f>
        <v>0.0</v>
      </c>
      <c r="AI89" s="14">
        <f>IF(AND(AI$5-$A89&gt;=0,AI$5-$A89&lt;=19),INDEX(HU_ord,AI$5-$A89+1)*$B89,0)</f>
        <v>0.0</v>
      </c>
      <c r="AJ89" s="14">
        <f>IF(AND(AJ$5-$A89&gt;=0,AJ$5-$A89&lt;=19),INDEX(HU_ord,AJ$5-$A89+1)*$B89,0)</f>
        <v>0.0</v>
      </c>
      <c r="AK89" s="14">
        <f>IF(AND(AK$5-$A89&gt;=0,AK$5-$A89&lt;=19),INDEX(HU_ord,AK$5-$A89+1)*$B89,0)</f>
        <v>0.0</v>
      </c>
      <c r="AL89" s="14">
        <f>IF(AND(AL$5-$A89&gt;=0,AL$5-$A89&lt;=19),INDEX(HU_ord,AL$5-$A89+1)*$B89,0)</f>
        <v>0.0</v>
      </c>
      <c r="AM89" s="14">
        <f>IF(AND(AM$5-$A89&gt;=0,AM$5-$A89&lt;=19),INDEX(HU_ord,AM$5-$A89+1)*$B89,0)</f>
        <v>0.0</v>
      </c>
      <c r="AN89" s="14">
        <f>IF(AND(AN$5-$A89&gt;=0,AN$5-$A89&lt;=19),INDEX(HU_ord,AN$5-$A89+1)*$B89,0)</f>
        <v>0.0</v>
      </c>
      <c r="AO89" s="14">
        <f>IF(AND(AO$5-$A89&gt;=0,AO$5-$A89&lt;=19),INDEX(HU_ord,AO$5-$A89+1)*$B89,0)</f>
        <v>0.0</v>
      </c>
      <c r="AP89" s="14">
        <f>IF(AND(AP$5-$A89&gt;=0,AP$5-$A89&lt;=19),INDEX(HU_ord,AP$5-$A89+1)*$B89,0)</f>
        <v>0.0</v>
      </c>
      <c r="AQ89" s="14">
        <f>IF(AND(AQ$5-$A89&gt;=0,AQ$5-$A89&lt;=19),INDEX(HU_ord,AQ$5-$A89+1)*$B89,0)</f>
        <v>0.0</v>
      </c>
      <c r="AR89" s="14">
        <f>IF(AND(AR$5-$A89&gt;=0,AR$5-$A89&lt;=19),INDEX(HU_ord,AR$5-$A89+1)*$B89,0)</f>
        <v>0.0</v>
      </c>
      <c r="AS89" s="14">
        <f>IF(AND(AS$5-$A89&gt;=0,AS$5-$A89&lt;=19),INDEX(HU_ord,AS$5-$A89+1)*$B89,0)</f>
        <v>0.0</v>
      </c>
      <c r="AT89" s="14">
        <f>IF(AND(AT$5-$A89&gt;=0,AT$5-$A89&lt;=19),INDEX(HU_ord,AT$5-$A89+1)*$B89,0)</f>
        <v>0.0</v>
      </c>
      <c r="AU89" s="14">
        <f>IF(AND(AU$5-$A89&gt;=0,AU$5-$A89&lt;=19),INDEX(HU_ord,AU$5-$A89+1)*$B89,0)</f>
        <v>0.0</v>
      </c>
      <c r="AV89" s="14">
        <f>IF(AND(AV$5-$A89&gt;=0,AV$5-$A89&lt;=19),INDEX(HU_ord,AV$5-$A89+1)*$B89,0)</f>
        <v>0.0</v>
      </c>
      <c r="AW89" s="14">
        <f>IF(AND(AW$5-$A89&gt;=0,AW$5-$A89&lt;=19),INDEX(HU_ord,AW$5-$A89+1)*$B89,0)</f>
        <v>0.0</v>
      </c>
      <c r="AX89" s="14">
        <f>IF(AND(AX$5-$A89&gt;=0,AX$5-$A89&lt;=19),INDEX(HU_ord,AX$5-$A89+1)*$B89,0)</f>
        <v>0.0</v>
      </c>
      <c r="AY89" s="14">
        <f>IF(AND(AY$5-$A89&gt;=0,AY$5-$A89&lt;=19),INDEX(HU_ord,AY$5-$A89+1)*$B89,0)</f>
        <v>0.0</v>
      </c>
      <c r="AZ89" s="14">
        <f>IF(AND(AZ$5-$A89&gt;=0,AZ$5-$A89&lt;=19),INDEX(HU_ord,AZ$5-$A89+1)*$B89,0)</f>
        <v>0.0</v>
      </c>
      <c r="BA89" s="14">
        <f>IF(AND(BA$5-$A89&gt;=0,BA$5-$A89&lt;=19),INDEX(HU_ord,BA$5-$A89+1)*$B89,0)</f>
        <v>0.0</v>
      </c>
      <c r="BB89" s="14">
        <f>IF(AND(BB$5-$A89&gt;=0,BB$5-$A89&lt;=19),INDEX(HU_ord,BB$5-$A89+1)*$B89,0)</f>
        <v>0.0</v>
      </c>
      <c r="BC89" s="14">
        <f>IF(AND(BC$5-$A89&gt;=0,BC$5-$A89&lt;=19),INDEX(HU_ord,BC$5-$A89+1)*$B89,0)</f>
        <v>0.0</v>
      </c>
      <c r="BD89" s="14">
        <f>IF(AND(BD$5-$A89&gt;=0,BD$5-$A89&lt;=19),INDEX(HU_ord,BD$5-$A89+1)*$B89,0)</f>
        <v>0.0</v>
      </c>
      <c r="BE89" s="14">
        <f>IF(AND(BE$5-$A89&gt;=0,BE$5-$A89&lt;=19),INDEX(HU_ord,BE$5-$A89+1)*$B89,0)</f>
        <v>0.0</v>
      </c>
      <c r="BF89" s="14">
        <f>IF(AND(BF$5-$A89&gt;=0,BF$5-$A89&lt;=19),INDEX(HU_ord,BF$5-$A89+1)*$B89,0)</f>
        <v>0.0</v>
      </c>
      <c r="BG89" s="14">
        <f>IF(AND(BG$5-$A89&gt;=0,BG$5-$A89&lt;=19),INDEX(HU_ord,BG$5-$A89+1)*$B89,0)</f>
        <v>0.0</v>
      </c>
      <c r="BH89" s="14">
        <f>IF(AND(BH$5-$A89&gt;=0,BH$5-$A89&lt;=19),INDEX(HU_ord,BH$5-$A89+1)*$B89,0)</f>
        <v>0.0</v>
      </c>
      <c r="BI89" s="14">
        <f>IF(AND(BI$5-$A89&gt;=0,BI$5-$A89&lt;=19),INDEX(HU_ord,BI$5-$A89+1)*$B89,0)</f>
        <v>0.0</v>
      </c>
      <c r="BJ89" s="14">
        <f>IF(AND(BJ$5-$A89&gt;=0,BJ$5-$A89&lt;=19),INDEX(HU_ord,BJ$5-$A89+1)*$B89,0)</f>
        <v>0.0</v>
      </c>
      <c r="BK89" s="14">
        <f>IF(AND(BK$5-$A89&gt;=0,BK$5-$A89&lt;=19),INDEX(HU_ord,BK$5-$A89+1)*$B89,0)</f>
        <v>0.0</v>
      </c>
      <c r="BL89" s="14">
        <f>IF(AND(BL$5-$A89&gt;=0,BL$5-$A89&lt;=19),INDEX(HU_ord,BL$5-$A89+1)*$B89,0)</f>
        <v>0.0</v>
      </c>
      <c r="BM89" s="14">
        <f>IF(AND(BM$5-$A89&gt;=0,BM$5-$A89&lt;=19),INDEX(HU_ord,BM$5-$A89+1)*$B89,0)</f>
        <v>0.0</v>
      </c>
      <c r="BN89" s="14">
        <f>IF(AND(BN$5-$A89&gt;=0,BN$5-$A89&lt;=19),INDEX(HU_ord,BN$5-$A89+1)*$B89,0)</f>
        <v>0.0</v>
      </c>
      <c r="BO89" s="14">
        <f>IF(AND(BO$5-$A89&gt;=0,BO$5-$A89&lt;=19),INDEX(HU_ord,BO$5-$A89+1)*$B89,0)</f>
        <v>0.0</v>
      </c>
      <c r="BP89" s="14">
        <f>IF(AND(BP$5-$A89&gt;=0,BP$5-$A89&lt;=19),INDEX(HU_ord,BP$5-$A89+1)*$B89,0)</f>
        <v>0.0</v>
      </c>
      <c r="BQ89" s="14">
        <f>IF(AND(BQ$5-$A89&gt;=0,BQ$5-$A89&lt;=19),INDEX(HU_ord,BQ$5-$A89+1)*$B89,0)</f>
        <v>0.0</v>
      </c>
      <c r="BR89" s="14">
        <f>IF(AND(BR$5-$A89&gt;=0,BR$5-$A89&lt;=19),INDEX(HU_ord,BR$5-$A89+1)*$B89,0)</f>
        <v>0.0</v>
      </c>
      <c r="BS89" s="14">
        <f>IF(AND(BS$5-$A89&gt;=0,BS$5-$A89&lt;=19),INDEX(HU_ord,BS$5-$A89+1)*$B89,0)</f>
        <v>0.0</v>
      </c>
      <c r="BT89" s="14">
        <f>IF(AND(BT$5-$A89&gt;=0,BT$5-$A89&lt;=19),INDEX(HU_ord,BT$5-$A89+1)*$B89,0)</f>
        <v>0.0</v>
      </c>
      <c r="BU89" s="14">
        <f>IF(AND(BU$5-$A89&gt;=0,BU$5-$A89&lt;=19),INDEX(HU_ord,BU$5-$A89+1)*$B89,0)</f>
        <v>0.0</v>
      </c>
      <c r="BV89" s="14">
        <f>IF(AND(BV$5-$A89&gt;=0,BV$5-$A89&lt;=19),INDEX(HU_ord,BV$5-$A89+1)*$B89,0)</f>
        <v>0.0</v>
      </c>
      <c r="BW89" s="14">
        <f>IF(AND(BW$5-$A89&gt;=0,BW$5-$A89&lt;=19),INDEX(HU_ord,BW$5-$A89+1)*$B89,0)</f>
        <v>0.0</v>
      </c>
      <c r="BX89" s="14">
        <f>IF(AND(BX$5-$A89&gt;=0,BX$5-$A89&lt;=19),INDEX(HU_ord,BX$5-$A89+1)*$B89,0)</f>
        <v>0.0</v>
      </c>
      <c r="BY89" s="14">
        <f>IF(AND(BY$5-$A89&gt;=0,BY$5-$A89&lt;=19),INDEX(HU_ord,BY$5-$A89+1)*$B89,0)</f>
        <v>0.0</v>
      </c>
      <c r="BZ89" s="14">
        <f>IF(AND(BZ$5-$A89&gt;=0,BZ$5-$A89&lt;=19),INDEX(HU_ord,BZ$5-$A89+1)*$B89,0)</f>
        <v>0.0</v>
      </c>
      <c r="CA89" s="14">
        <f>IF(AND(CA$5-$A89&gt;=0,CA$5-$A89&lt;=19),INDEX(HU_ord,CA$5-$A89+1)*$B89,0)</f>
        <v>0.0</v>
      </c>
      <c r="CB89" s="14">
        <f>IF(AND(CB$5-$A89&gt;=0,CB$5-$A89&lt;=19),INDEX(HU_ord,CB$5-$A89+1)*$B89,0)</f>
        <v>0.0</v>
      </c>
      <c r="CC89" s="14">
        <f>IF(AND(CC$5-$A89&gt;=0,CC$5-$A89&lt;=19),INDEX(HU_ord,CC$5-$A89+1)*$B89,0)</f>
        <v>0.0</v>
      </c>
      <c r="CD89" s="14">
        <f>IF(AND(CD$5-$A89&gt;=0,CD$5-$A89&lt;=19),INDEX(HU_ord,CD$5-$A89+1)*$B89,0)</f>
        <v>0.0</v>
      </c>
      <c r="CE89" s="14">
        <f>IF(AND(CE$5-$A89&gt;=0,CE$5-$A89&lt;=19),INDEX(HU_ord,CE$5-$A89+1)*$B89,0)</f>
        <v>0.0</v>
      </c>
      <c r="CF89" s="14">
        <f>IF(AND(CF$5-$A89&gt;=0,CF$5-$A89&lt;=19),INDEX(HU_ord,CF$5-$A89+1)*$B89,0)</f>
        <v>0.0</v>
      </c>
      <c r="CG89" s="14">
        <f>IF(AND(CG$5-$A89&gt;=0,CG$5-$A89&lt;=19),INDEX(HU_ord,CG$5-$A89+1)*$B89,0)</f>
        <v>0.0</v>
      </c>
      <c r="CH89" s="14">
        <f>IF(AND(CH$5-$A89&gt;=0,CH$5-$A89&lt;=19),INDEX(HU_ord,CH$5-$A89+1)*$B89,0)</f>
        <v>0.0</v>
      </c>
      <c r="CI89" s="14">
        <f>IF(AND(CI$5-$A89&gt;=0,CI$5-$A89&lt;=19),INDEX(HU_ord,CI$5-$A89+1)*$B89,0)</f>
        <v>0.0</v>
      </c>
      <c r="CJ89" s="14">
        <f>IF(AND(CJ$5-$A89&gt;=0,CJ$5-$A89&lt;=19),INDEX(HU_ord,CJ$5-$A89+1)*$B89,0)</f>
        <v>0.0</v>
      </c>
      <c r="CK89" s="14">
        <f>IF(AND(CK$5-$A89&gt;=0,CK$5-$A89&lt;=19),INDEX(HU_ord,CK$5-$A89+1)*$B89,0)</f>
        <v>0.0</v>
      </c>
      <c r="CL89" s="14">
        <f>IF(AND(CL$5-$A89&gt;=0,CL$5-$A89&lt;=19),INDEX(HU_ord,CL$5-$A89+1)*$B89,0)</f>
        <v>0.0</v>
      </c>
      <c r="CM89" s="14">
        <f>IF(AND(CM$5-$A89&gt;=0,CM$5-$A89&lt;=19),INDEX(HU_ord,CM$5-$A89+1)*$B89,0)</f>
        <v>0.0</v>
      </c>
      <c r="CN89" s="14">
        <f>IF(AND(CN$5-$A89&gt;=0,CN$5-$A89&lt;=19),INDEX(HU_ord,CN$5-$A89+1)*$B89,0)</f>
        <v>0.0</v>
      </c>
      <c r="CO89" s="14">
        <f>IF(AND(CO$5-$A89&gt;=0,CO$5-$A89&lt;=19),INDEX(HU_ord,CO$5-$A89+1)*$B89,0)</f>
        <v>0.0</v>
      </c>
      <c r="CP89" s="14">
        <f>IF(AND(CP$5-$A89&gt;=0,CP$5-$A89&lt;=19),INDEX(HU_ord,CP$5-$A89+1)*$B89,0)</f>
        <v>0.0</v>
      </c>
      <c r="CQ89" s="14">
        <f>IF(AND(CQ$5-$A89&gt;=0,CQ$5-$A89&lt;=19),INDEX(HU_ord,CQ$5-$A89+1)*$B89,0)</f>
        <v>0.0</v>
      </c>
      <c r="CR89" s="14">
        <f>IF(AND(CR$5-$A89&gt;=0,CR$5-$A89&lt;=19),INDEX(HU_ord,CR$5-$A89+1)*$B89,0)</f>
        <v>0.0</v>
      </c>
      <c r="CS89" s="14">
        <f>IF(AND(CS$5-$A89&gt;=0,CS$5-$A89&lt;=19),INDEX(HU_ord,CS$5-$A89+1)*$B89,0)</f>
        <v>0.0</v>
      </c>
      <c r="CT89" s="14">
        <f>IF(AND(CT$5-$A89&gt;=0,CT$5-$A89&lt;=19),INDEX(HU_ord,CT$5-$A89+1)*$B89,0)</f>
        <v>0.0</v>
      </c>
      <c r="CU89" s="14">
        <f>IF(AND(CU$5-$A89&gt;=0,CU$5-$A89&lt;=19),INDEX(HU_ord,CU$5-$A89+1)*$B89,0)</f>
        <v>0.0</v>
      </c>
      <c r="CV89" s="14">
        <f>IF(AND(CV$5-$A89&gt;=0,CV$5-$A89&lt;=19),INDEX(HU_ord,CV$5-$A89+1)*$B89,0)</f>
        <v>0.0</v>
      </c>
      <c r="CW89" s="14">
        <f>IF(AND(CW$5-$A89&gt;=0,CW$5-$A89&lt;=19),INDEX(HU_ord,CW$5-$A89+1)*$B89,0)</f>
        <v>0.0</v>
      </c>
      <c r="CX89" s="14">
        <f>IF(AND(CX$5-$A89&gt;=0,CX$5-$A89&lt;=19),INDEX(HU_ord,CX$5-$A89+1)*$B89,0)</f>
        <v>0.0</v>
      </c>
      <c r="CY89" s="14">
        <f>IF(AND(CY$5-$A89&gt;=0,CY$5-$A89&lt;=19),INDEX(HU_ord,CY$5-$A89+1)*$B89,0)</f>
        <v>0.0</v>
      </c>
      <c r="CZ89" s="14">
        <f>IF(AND(CZ$5-$A89&gt;=0,CZ$5-$A89&lt;=19),INDEX(HU_ord,CZ$5-$A89+1)*$B89,0)</f>
        <v>0.0</v>
      </c>
      <c r="DA89" s="14">
        <f>IF(AND(DA$5-$A89&gt;=0,DA$5-$A89&lt;=19),INDEX(HU_ord,DA$5-$A89+1)*$B89,0)</f>
        <v>0.0</v>
      </c>
      <c r="DB89" s="14">
        <f>IF(AND(DB$5-$A89&gt;=0,DB$5-$A89&lt;=19),INDEX(HU_ord,DB$5-$A89+1)*$B89,0)</f>
        <v>0.0</v>
      </c>
      <c r="DC89" s="14">
        <f>IF(AND(DC$5-$A89&gt;=0,DC$5-$A89&lt;=19),INDEX(HU_ord,DC$5-$A89+1)*$B89,0)</f>
        <v>0.0</v>
      </c>
      <c r="DD89" s="14">
        <f>IF(AND(DD$5-$A89&gt;=0,DD$5-$A89&lt;=19),INDEX(HU_ord,DD$5-$A89+1)*$B89,0)</f>
        <v>0.0</v>
      </c>
      <c r="DE89" s="14">
        <f>IF(AND(DE$5-$A89&gt;=0,DE$5-$A89&lt;=19),INDEX(HU_ord,DE$5-$A89+1)*$B89,0)</f>
        <v>0.0</v>
      </c>
      <c r="DF89" s="14">
        <f>IF(AND(DF$5-$A89&gt;=0,DF$5-$A89&lt;=19),INDEX(HU_ord,DF$5-$A89+1)*$B89,0)</f>
        <v>0.0</v>
      </c>
      <c r="DG89" s="14">
        <f>IF(AND(DG$5-$A89&gt;=0,DG$5-$A89&lt;=19),INDEX(HU_ord,DG$5-$A89+1)*$B89,0)</f>
        <v>0.0</v>
      </c>
      <c r="DH89" s="14">
        <f>IF(AND(DH$5-$A89&gt;=0,DH$5-$A89&lt;=19),INDEX(HU_ord,DH$5-$A89+1)*$B89,0)</f>
        <v>0.0</v>
      </c>
      <c r="DI89" s="14">
        <f>IF(AND(DI$5-$A89&gt;=0,DI$5-$A89&lt;=19),INDEX(HU_ord,DI$5-$A89+1)*$B89,0)</f>
        <v>0.0</v>
      </c>
    </row>
    <row r="90" spans="1:113">
      <c r="A90">
        <v>84</v>
      </c>
      <c r="B90" s="10">
        <f>Serie_horaria!N86</f>
        <v>0.0</v>
      </c>
      <c r="C90" s="14">
        <f>IF(AND(C$5-$A90&gt;=0,C$5-$A90&lt;=19),INDEX(HU_ord,C$5-$A90+1)*$B90,0)</f>
        <v>0.0</v>
      </c>
      <c r="D90" s="14">
        <f>IF(AND(D$5-$A90&gt;=0,D$5-$A90&lt;=19),INDEX(HU_ord,D$5-$A90+1)*$B90,0)</f>
        <v>0.0</v>
      </c>
      <c r="E90" s="14">
        <f>IF(AND(E$5-$A90&gt;=0,E$5-$A90&lt;=19),INDEX(HU_ord,E$5-$A90+1)*$B90,0)</f>
        <v>0.0</v>
      </c>
      <c r="F90" s="14">
        <f>IF(AND(F$5-$A90&gt;=0,F$5-$A90&lt;=19),INDEX(HU_ord,F$5-$A90+1)*$B90,0)</f>
        <v>0.0</v>
      </c>
      <c r="G90" s="14">
        <f>IF(AND(G$5-$A90&gt;=0,G$5-$A90&lt;=19),INDEX(HU_ord,G$5-$A90+1)*$B90,0)</f>
        <v>0.0</v>
      </c>
      <c r="H90" s="14">
        <f>IF(AND(H$5-$A90&gt;=0,H$5-$A90&lt;=19),INDEX(HU_ord,H$5-$A90+1)*$B90,0)</f>
        <v>0.0</v>
      </c>
      <c r="I90" s="14">
        <f>IF(AND(I$5-$A90&gt;=0,I$5-$A90&lt;=19),INDEX(HU_ord,I$5-$A90+1)*$B90,0)</f>
        <v>0.0</v>
      </c>
      <c r="J90" s="14">
        <f>IF(AND(J$5-$A90&gt;=0,J$5-$A90&lt;=19),INDEX(HU_ord,J$5-$A90+1)*$B90,0)</f>
        <v>0.0</v>
      </c>
      <c r="K90" s="14">
        <f>IF(AND(K$5-$A90&gt;=0,K$5-$A90&lt;=19),INDEX(HU_ord,K$5-$A90+1)*$B90,0)</f>
        <v>0.0</v>
      </c>
      <c r="L90" s="14">
        <f>IF(AND(L$5-$A90&gt;=0,L$5-$A90&lt;=19),INDEX(HU_ord,L$5-$A90+1)*$B90,0)</f>
        <v>0.0</v>
      </c>
      <c r="M90" s="14">
        <f>IF(AND(M$5-$A90&gt;=0,M$5-$A90&lt;=19),INDEX(HU_ord,M$5-$A90+1)*$B90,0)</f>
        <v>0.0</v>
      </c>
      <c r="N90" s="14">
        <f>IF(AND(N$5-$A90&gt;=0,N$5-$A90&lt;=19),INDEX(HU_ord,N$5-$A90+1)*$B90,0)</f>
        <v>0.0</v>
      </c>
      <c r="O90" s="14">
        <f>IF(AND(O$5-$A90&gt;=0,O$5-$A90&lt;=19),INDEX(HU_ord,O$5-$A90+1)*$B90,0)</f>
        <v>0.0</v>
      </c>
      <c r="P90" s="14">
        <f>IF(AND(P$5-$A90&gt;=0,P$5-$A90&lt;=19),INDEX(HU_ord,P$5-$A90+1)*$B90,0)</f>
        <v>0.0</v>
      </c>
      <c r="Q90" s="14">
        <f>IF(AND(Q$5-$A90&gt;=0,Q$5-$A90&lt;=19),INDEX(HU_ord,Q$5-$A90+1)*$B90,0)</f>
        <v>0.0</v>
      </c>
      <c r="R90" s="14">
        <f>IF(AND(R$5-$A90&gt;=0,R$5-$A90&lt;=19),INDEX(HU_ord,R$5-$A90+1)*$B90,0)</f>
        <v>0.0</v>
      </c>
      <c r="S90" s="14">
        <f>IF(AND(S$5-$A90&gt;=0,S$5-$A90&lt;=19),INDEX(HU_ord,S$5-$A90+1)*$B90,0)</f>
        <v>0.0</v>
      </c>
      <c r="T90" s="14">
        <f>IF(AND(T$5-$A90&gt;=0,T$5-$A90&lt;=19),INDEX(HU_ord,T$5-$A90+1)*$B90,0)</f>
        <v>0.0</v>
      </c>
      <c r="U90" s="14">
        <f>IF(AND(U$5-$A90&gt;=0,U$5-$A90&lt;=19),INDEX(HU_ord,U$5-$A90+1)*$B90,0)</f>
        <v>0.0</v>
      </c>
      <c r="V90" s="14">
        <f>IF(AND(V$5-$A90&gt;=0,V$5-$A90&lt;=19),INDEX(HU_ord,V$5-$A90+1)*$B90,0)</f>
        <v>0.0</v>
      </c>
      <c r="W90" s="14">
        <f>IF(AND(W$5-$A90&gt;=0,W$5-$A90&lt;=19),INDEX(HU_ord,W$5-$A90+1)*$B90,0)</f>
        <v>0.0</v>
      </c>
      <c r="X90" s="14">
        <f>IF(AND(X$5-$A90&gt;=0,X$5-$A90&lt;=19),INDEX(HU_ord,X$5-$A90+1)*$B90,0)</f>
        <v>0.0</v>
      </c>
      <c r="Y90" s="14">
        <f>IF(AND(Y$5-$A90&gt;=0,Y$5-$A90&lt;=19),INDEX(HU_ord,Y$5-$A90+1)*$B90,0)</f>
        <v>0.0</v>
      </c>
      <c r="Z90" s="14">
        <f>IF(AND(Z$5-$A90&gt;=0,Z$5-$A90&lt;=19),INDEX(HU_ord,Z$5-$A90+1)*$B90,0)</f>
        <v>0.0</v>
      </c>
      <c r="AA90" s="14">
        <f>IF(AND(AA$5-$A90&gt;=0,AA$5-$A90&lt;=19),INDEX(HU_ord,AA$5-$A90+1)*$B90,0)</f>
        <v>0.0</v>
      </c>
      <c r="AB90" s="14">
        <f>IF(AND(AB$5-$A90&gt;=0,AB$5-$A90&lt;=19),INDEX(HU_ord,AB$5-$A90+1)*$B90,0)</f>
        <v>0.0</v>
      </c>
      <c r="AC90" s="14">
        <f>IF(AND(AC$5-$A90&gt;=0,AC$5-$A90&lt;=19),INDEX(HU_ord,AC$5-$A90+1)*$B90,0)</f>
        <v>0.0</v>
      </c>
      <c r="AD90" s="14">
        <f>IF(AND(AD$5-$A90&gt;=0,AD$5-$A90&lt;=19),INDEX(HU_ord,AD$5-$A90+1)*$B90,0)</f>
        <v>0.0</v>
      </c>
      <c r="AE90" s="14">
        <f>IF(AND(AE$5-$A90&gt;=0,AE$5-$A90&lt;=19),INDEX(HU_ord,AE$5-$A90+1)*$B90,0)</f>
        <v>0.0</v>
      </c>
      <c r="AF90" s="14">
        <f>IF(AND(AF$5-$A90&gt;=0,AF$5-$A90&lt;=19),INDEX(HU_ord,AF$5-$A90+1)*$B90,0)</f>
        <v>0.0</v>
      </c>
      <c r="AG90" s="14">
        <f>IF(AND(AG$5-$A90&gt;=0,AG$5-$A90&lt;=19),INDEX(HU_ord,AG$5-$A90+1)*$B90,0)</f>
        <v>0.0</v>
      </c>
      <c r="AH90" s="14">
        <f>IF(AND(AH$5-$A90&gt;=0,AH$5-$A90&lt;=19),INDEX(HU_ord,AH$5-$A90+1)*$B90,0)</f>
        <v>0.0</v>
      </c>
      <c r="AI90" s="14">
        <f>IF(AND(AI$5-$A90&gt;=0,AI$5-$A90&lt;=19),INDEX(HU_ord,AI$5-$A90+1)*$B90,0)</f>
        <v>0.0</v>
      </c>
      <c r="AJ90" s="14">
        <f>IF(AND(AJ$5-$A90&gt;=0,AJ$5-$A90&lt;=19),INDEX(HU_ord,AJ$5-$A90+1)*$B90,0)</f>
        <v>0.0</v>
      </c>
      <c r="AK90" s="14">
        <f>IF(AND(AK$5-$A90&gt;=0,AK$5-$A90&lt;=19),INDEX(HU_ord,AK$5-$A90+1)*$B90,0)</f>
        <v>0.0</v>
      </c>
      <c r="AL90" s="14">
        <f>IF(AND(AL$5-$A90&gt;=0,AL$5-$A90&lt;=19),INDEX(HU_ord,AL$5-$A90+1)*$B90,0)</f>
        <v>0.0</v>
      </c>
      <c r="AM90" s="14">
        <f>IF(AND(AM$5-$A90&gt;=0,AM$5-$A90&lt;=19),INDEX(HU_ord,AM$5-$A90+1)*$B90,0)</f>
        <v>0.0</v>
      </c>
      <c r="AN90" s="14">
        <f>IF(AND(AN$5-$A90&gt;=0,AN$5-$A90&lt;=19),INDEX(HU_ord,AN$5-$A90+1)*$B90,0)</f>
        <v>0.0</v>
      </c>
      <c r="AO90" s="14">
        <f>IF(AND(AO$5-$A90&gt;=0,AO$5-$A90&lt;=19),INDEX(HU_ord,AO$5-$A90+1)*$B90,0)</f>
        <v>0.0</v>
      </c>
      <c r="AP90" s="14">
        <f>IF(AND(AP$5-$A90&gt;=0,AP$5-$A90&lt;=19),INDEX(HU_ord,AP$5-$A90+1)*$B90,0)</f>
        <v>0.0</v>
      </c>
      <c r="AQ90" s="14">
        <f>IF(AND(AQ$5-$A90&gt;=0,AQ$5-$A90&lt;=19),INDEX(HU_ord,AQ$5-$A90+1)*$B90,0)</f>
        <v>0.0</v>
      </c>
      <c r="AR90" s="14">
        <f>IF(AND(AR$5-$A90&gt;=0,AR$5-$A90&lt;=19),INDEX(HU_ord,AR$5-$A90+1)*$B90,0)</f>
        <v>0.0</v>
      </c>
      <c r="AS90" s="14">
        <f>IF(AND(AS$5-$A90&gt;=0,AS$5-$A90&lt;=19),INDEX(HU_ord,AS$5-$A90+1)*$B90,0)</f>
        <v>0.0</v>
      </c>
      <c r="AT90" s="14">
        <f>IF(AND(AT$5-$A90&gt;=0,AT$5-$A90&lt;=19),INDEX(HU_ord,AT$5-$A90+1)*$B90,0)</f>
        <v>0.0</v>
      </c>
      <c r="AU90" s="14">
        <f>IF(AND(AU$5-$A90&gt;=0,AU$5-$A90&lt;=19),INDEX(HU_ord,AU$5-$A90+1)*$B90,0)</f>
        <v>0.0</v>
      </c>
      <c r="AV90" s="14">
        <f>IF(AND(AV$5-$A90&gt;=0,AV$5-$A90&lt;=19),INDEX(HU_ord,AV$5-$A90+1)*$B90,0)</f>
        <v>0.0</v>
      </c>
      <c r="AW90" s="14">
        <f>IF(AND(AW$5-$A90&gt;=0,AW$5-$A90&lt;=19),INDEX(HU_ord,AW$5-$A90+1)*$B90,0)</f>
        <v>0.0</v>
      </c>
      <c r="AX90" s="14">
        <f>IF(AND(AX$5-$A90&gt;=0,AX$5-$A90&lt;=19),INDEX(HU_ord,AX$5-$A90+1)*$B90,0)</f>
        <v>0.0</v>
      </c>
      <c r="AY90" s="14">
        <f>IF(AND(AY$5-$A90&gt;=0,AY$5-$A90&lt;=19),INDEX(HU_ord,AY$5-$A90+1)*$B90,0)</f>
        <v>0.0</v>
      </c>
      <c r="AZ90" s="14">
        <f>IF(AND(AZ$5-$A90&gt;=0,AZ$5-$A90&lt;=19),INDEX(HU_ord,AZ$5-$A90+1)*$B90,0)</f>
        <v>0.0</v>
      </c>
      <c r="BA90" s="14">
        <f>IF(AND(BA$5-$A90&gt;=0,BA$5-$A90&lt;=19),INDEX(HU_ord,BA$5-$A90+1)*$B90,0)</f>
        <v>0.0</v>
      </c>
      <c r="BB90" s="14">
        <f>IF(AND(BB$5-$A90&gt;=0,BB$5-$A90&lt;=19),INDEX(HU_ord,BB$5-$A90+1)*$B90,0)</f>
        <v>0.0</v>
      </c>
      <c r="BC90" s="14">
        <f>IF(AND(BC$5-$A90&gt;=0,BC$5-$A90&lt;=19),INDEX(HU_ord,BC$5-$A90+1)*$B90,0)</f>
        <v>0.0</v>
      </c>
      <c r="BD90" s="14">
        <f>IF(AND(BD$5-$A90&gt;=0,BD$5-$A90&lt;=19),INDEX(HU_ord,BD$5-$A90+1)*$B90,0)</f>
        <v>0.0</v>
      </c>
      <c r="BE90" s="14">
        <f>IF(AND(BE$5-$A90&gt;=0,BE$5-$A90&lt;=19),INDEX(HU_ord,BE$5-$A90+1)*$B90,0)</f>
        <v>0.0</v>
      </c>
      <c r="BF90" s="14">
        <f>IF(AND(BF$5-$A90&gt;=0,BF$5-$A90&lt;=19),INDEX(HU_ord,BF$5-$A90+1)*$B90,0)</f>
        <v>0.0</v>
      </c>
      <c r="BG90" s="14">
        <f>IF(AND(BG$5-$A90&gt;=0,BG$5-$A90&lt;=19),INDEX(HU_ord,BG$5-$A90+1)*$B90,0)</f>
        <v>0.0</v>
      </c>
      <c r="BH90" s="14">
        <f>IF(AND(BH$5-$A90&gt;=0,BH$5-$A90&lt;=19),INDEX(HU_ord,BH$5-$A90+1)*$B90,0)</f>
        <v>0.0</v>
      </c>
      <c r="BI90" s="14">
        <f>IF(AND(BI$5-$A90&gt;=0,BI$5-$A90&lt;=19),INDEX(HU_ord,BI$5-$A90+1)*$B90,0)</f>
        <v>0.0</v>
      </c>
      <c r="BJ90" s="14">
        <f>IF(AND(BJ$5-$A90&gt;=0,BJ$5-$A90&lt;=19),INDEX(HU_ord,BJ$5-$A90+1)*$B90,0)</f>
        <v>0.0</v>
      </c>
      <c r="BK90" s="14">
        <f>IF(AND(BK$5-$A90&gt;=0,BK$5-$A90&lt;=19),INDEX(HU_ord,BK$5-$A90+1)*$B90,0)</f>
        <v>0.0</v>
      </c>
      <c r="BL90" s="14">
        <f>IF(AND(BL$5-$A90&gt;=0,BL$5-$A90&lt;=19),INDEX(HU_ord,BL$5-$A90+1)*$B90,0)</f>
        <v>0.0</v>
      </c>
      <c r="BM90" s="14">
        <f>IF(AND(BM$5-$A90&gt;=0,BM$5-$A90&lt;=19),INDEX(HU_ord,BM$5-$A90+1)*$B90,0)</f>
        <v>0.0</v>
      </c>
      <c r="BN90" s="14">
        <f>IF(AND(BN$5-$A90&gt;=0,BN$5-$A90&lt;=19),INDEX(HU_ord,BN$5-$A90+1)*$B90,0)</f>
        <v>0.0</v>
      </c>
      <c r="BO90" s="14">
        <f>IF(AND(BO$5-$A90&gt;=0,BO$5-$A90&lt;=19),INDEX(HU_ord,BO$5-$A90+1)*$B90,0)</f>
        <v>0.0</v>
      </c>
      <c r="BP90" s="14">
        <f>IF(AND(BP$5-$A90&gt;=0,BP$5-$A90&lt;=19),INDEX(HU_ord,BP$5-$A90+1)*$B90,0)</f>
        <v>0.0</v>
      </c>
      <c r="BQ90" s="14">
        <f>IF(AND(BQ$5-$A90&gt;=0,BQ$5-$A90&lt;=19),INDEX(HU_ord,BQ$5-$A90+1)*$B90,0)</f>
        <v>0.0</v>
      </c>
      <c r="BR90" s="14">
        <f>IF(AND(BR$5-$A90&gt;=0,BR$5-$A90&lt;=19),INDEX(HU_ord,BR$5-$A90+1)*$B90,0)</f>
        <v>0.0</v>
      </c>
      <c r="BS90" s="14">
        <f>IF(AND(BS$5-$A90&gt;=0,BS$5-$A90&lt;=19),INDEX(HU_ord,BS$5-$A90+1)*$B90,0)</f>
        <v>0.0</v>
      </c>
      <c r="BT90" s="14">
        <f>IF(AND(BT$5-$A90&gt;=0,BT$5-$A90&lt;=19),INDEX(HU_ord,BT$5-$A90+1)*$B90,0)</f>
        <v>0.0</v>
      </c>
      <c r="BU90" s="14">
        <f>IF(AND(BU$5-$A90&gt;=0,BU$5-$A90&lt;=19),INDEX(HU_ord,BU$5-$A90+1)*$B90,0)</f>
        <v>0.0</v>
      </c>
      <c r="BV90" s="14">
        <f>IF(AND(BV$5-$A90&gt;=0,BV$5-$A90&lt;=19),INDEX(HU_ord,BV$5-$A90+1)*$B90,0)</f>
        <v>0.0</v>
      </c>
      <c r="BW90" s="14">
        <f>IF(AND(BW$5-$A90&gt;=0,BW$5-$A90&lt;=19),INDEX(HU_ord,BW$5-$A90+1)*$B90,0)</f>
        <v>0.0</v>
      </c>
      <c r="BX90" s="14">
        <f>IF(AND(BX$5-$A90&gt;=0,BX$5-$A90&lt;=19),INDEX(HU_ord,BX$5-$A90+1)*$B90,0)</f>
        <v>0.0</v>
      </c>
      <c r="BY90" s="14">
        <f>IF(AND(BY$5-$A90&gt;=0,BY$5-$A90&lt;=19),INDEX(HU_ord,BY$5-$A90+1)*$B90,0)</f>
        <v>0.0</v>
      </c>
      <c r="BZ90" s="14">
        <f>IF(AND(BZ$5-$A90&gt;=0,BZ$5-$A90&lt;=19),INDEX(HU_ord,BZ$5-$A90+1)*$B90,0)</f>
        <v>0.0</v>
      </c>
      <c r="CA90" s="14">
        <f>IF(AND(CA$5-$A90&gt;=0,CA$5-$A90&lt;=19),INDEX(HU_ord,CA$5-$A90+1)*$B90,0)</f>
        <v>0.0</v>
      </c>
      <c r="CB90" s="14">
        <f>IF(AND(CB$5-$A90&gt;=0,CB$5-$A90&lt;=19),INDEX(HU_ord,CB$5-$A90+1)*$B90,0)</f>
        <v>0.0</v>
      </c>
      <c r="CC90" s="14">
        <f>IF(AND(CC$5-$A90&gt;=0,CC$5-$A90&lt;=19),INDEX(HU_ord,CC$5-$A90+1)*$B90,0)</f>
        <v>0.0</v>
      </c>
      <c r="CD90" s="14">
        <f>IF(AND(CD$5-$A90&gt;=0,CD$5-$A90&lt;=19),INDEX(HU_ord,CD$5-$A90+1)*$B90,0)</f>
        <v>0.0</v>
      </c>
      <c r="CE90" s="14">
        <f>IF(AND(CE$5-$A90&gt;=0,CE$5-$A90&lt;=19),INDEX(HU_ord,CE$5-$A90+1)*$B90,0)</f>
        <v>0.0</v>
      </c>
      <c r="CF90" s="14">
        <f>IF(AND(CF$5-$A90&gt;=0,CF$5-$A90&lt;=19),INDEX(HU_ord,CF$5-$A90+1)*$B90,0)</f>
        <v>0.0</v>
      </c>
      <c r="CG90" s="14">
        <f>IF(AND(CG$5-$A90&gt;=0,CG$5-$A90&lt;=19),INDEX(HU_ord,CG$5-$A90+1)*$B90,0)</f>
        <v>0.0</v>
      </c>
      <c r="CH90" s="14">
        <f>IF(AND(CH$5-$A90&gt;=0,CH$5-$A90&lt;=19),INDEX(HU_ord,CH$5-$A90+1)*$B90,0)</f>
        <v>0.0</v>
      </c>
      <c r="CI90" s="14">
        <f>IF(AND(CI$5-$A90&gt;=0,CI$5-$A90&lt;=19),INDEX(HU_ord,CI$5-$A90+1)*$B90,0)</f>
        <v>0.0</v>
      </c>
      <c r="CJ90" s="14">
        <f>IF(AND(CJ$5-$A90&gt;=0,CJ$5-$A90&lt;=19),INDEX(HU_ord,CJ$5-$A90+1)*$B90,0)</f>
        <v>0.0</v>
      </c>
      <c r="CK90" s="14">
        <f>IF(AND(CK$5-$A90&gt;=0,CK$5-$A90&lt;=19),INDEX(HU_ord,CK$5-$A90+1)*$B90,0)</f>
        <v>0.0</v>
      </c>
      <c r="CL90" s="14">
        <f>IF(AND(CL$5-$A90&gt;=0,CL$5-$A90&lt;=19),INDEX(HU_ord,CL$5-$A90+1)*$B90,0)</f>
        <v>0.0</v>
      </c>
      <c r="CM90" s="14">
        <f>IF(AND(CM$5-$A90&gt;=0,CM$5-$A90&lt;=19),INDEX(HU_ord,CM$5-$A90+1)*$B90,0)</f>
        <v>0.0</v>
      </c>
      <c r="CN90" s="14">
        <f>IF(AND(CN$5-$A90&gt;=0,CN$5-$A90&lt;=19),INDEX(HU_ord,CN$5-$A90+1)*$B90,0)</f>
        <v>0.0</v>
      </c>
      <c r="CO90" s="14">
        <f>IF(AND(CO$5-$A90&gt;=0,CO$5-$A90&lt;=19),INDEX(HU_ord,CO$5-$A90+1)*$B90,0)</f>
        <v>0.0</v>
      </c>
      <c r="CP90" s="14">
        <f>IF(AND(CP$5-$A90&gt;=0,CP$5-$A90&lt;=19),INDEX(HU_ord,CP$5-$A90+1)*$B90,0)</f>
        <v>0.0</v>
      </c>
      <c r="CQ90" s="14">
        <f>IF(AND(CQ$5-$A90&gt;=0,CQ$5-$A90&lt;=19),INDEX(HU_ord,CQ$5-$A90+1)*$B90,0)</f>
        <v>0.0</v>
      </c>
      <c r="CR90" s="14">
        <f>IF(AND(CR$5-$A90&gt;=0,CR$5-$A90&lt;=19),INDEX(HU_ord,CR$5-$A90+1)*$B90,0)</f>
        <v>0.0</v>
      </c>
      <c r="CS90" s="14">
        <f>IF(AND(CS$5-$A90&gt;=0,CS$5-$A90&lt;=19),INDEX(HU_ord,CS$5-$A90+1)*$B90,0)</f>
        <v>0.0</v>
      </c>
      <c r="CT90" s="14">
        <f>IF(AND(CT$5-$A90&gt;=0,CT$5-$A90&lt;=19),INDEX(HU_ord,CT$5-$A90+1)*$B90,0)</f>
        <v>0.0</v>
      </c>
      <c r="CU90" s="14">
        <f>IF(AND(CU$5-$A90&gt;=0,CU$5-$A90&lt;=19),INDEX(HU_ord,CU$5-$A90+1)*$B90,0)</f>
        <v>0.0</v>
      </c>
      <c r="CV90" s="14">
        <f>IF(AND(CV$5-$A90&gt;=0,CV$5-$A90&lt;=19),INDEX(HU_ord,CV$5-$A90+1)*$B90,0)</f>
        <v>0.0</v>
      </c>
      <c r="CW90" s="14">
        <f>IF(AND(CW$5-$A90&gt;=0,CW$5-$A90&lt;=19),INDEX(HU_ord,CW$5-$A90+1)*$B90,0)</f>
        <v>0.0</v>
      </c>
      <c r="CX90" s="14">
        <f>IF(AND(CX$5-$A90&gt;=0,CX$5-$A90&lt;=19),INDEX(HU_ord,CX$5-$A90+1)*$B90,0)</f>
        <v>0.0</v>
      </c>
      <c r="CY90" s="14">
        <f>IF(AND(CY$5-$A90&gt;=0,CY$5-$A90&lt;=19),INDEX(HU_ord,CY$5-$A90+1)*$B90,0)</f>
        <v>0.0</v>
      </c>
      <c r="CZ90" s="14">
        <f>IF(AND(CZ$5-$A90&gt;=0,CZ$5-$A90&lt;=19),INDEX(HU_ord,CZ$5-$A90+1)*$B90,0)</f>
        <v>0.0</v>
      </c>
      <c r="DA90" s="14">
        <f>IF(AND(DA$5-$A90&gt;=0,DA$5-$A90&lt;=19),INDEX(HU_ord,DA$5-$A90+1)*$B90,0)</f>
        <v>0.0</v>
      </c>
      <c r="DB90" s="14">
        <f>IF(AND(DB$5-$A90&gt;=0,DB$5-$A90&lt;=19),INDEX(HU_ord,DB$5-$A90+1)*$B90,0)</f>
        <v>0.0</v>
      </c>
      <c r="DC90" s="14">
        <f>IF(AND(DC$5-$A90&gt;=0,DC$5-$A90&lt;=19),INDEX(HU_ord,DC$5-$A90+1)*$B90,0)</f>
        <v>0.0</v>
      </c>
      <c r="DD90" s="14">
        <f>IF(AND(DD$5-$A90&gt;=0,DD$5-$A90&lt;=19),INDEX(HU_ord,DD$5-$A90+1)*$B90,0)</f>
        <v>0.0</v>
      </c>
      <c r="DE90" s="14">
        <f>IF(AND(DE$5-$A90&gt;=0,DE$5-$A90&lt;=19),INDEX(HU_ord,DE$5-$A90+1)*$B90,0)</f>
        <v>0.0</v>
      </c>
      <c r="DF90" s="14">
        <f>IF(AND(DF$5-$A90&gt;=0,DF$5-$A90&lt;=19),INDEX(HU_ord,DF$5-$A90+1)*$B90,0)</f>
        <v>0.0</v>
      </c>
      <c r="DG90" s="14">
        <f>IF(AND(DG$5-$A90&gt;=0,DG$5-$A90&lt;=19),INDEX(HU_ord,DG$5-$A90+1)*$B90,0)</f>
        <v>0.0</v>
      </c>
      <c r="DH90" s="14">
        <f>IF(AND(DH$5-$A90&gt;=0,DH$5-$A90&lt;=19),INDEX(HU_ord,DH$5-$A90+1)*$B90,0)</f>
        <v>0.0</v>
      </c>
      <c r="DI90" s="14">
        <f>IF(AND(DI$5-$A90&gt;=0,DI$5-$A90&lt;=19),INDEX(HU_ord,DI$5-$A90+1)*$B90,0)</f>
        <v>0.0</v>
      </c>
    </row>
    <row r="91" spans="1:113">
      <c r="A91">
        <v>85</v>
      </c>
      <c r="B91" s="10">
        <f>Serie_horaria!N87</f>
        <v>0.0</v>
      </c>
      <c r="C91" s="14">
        <f>IF(AND(C$5-$A91&gt;=0,C$5-$A91&lt;=19),INDEX(HU_ord,C$5-$A91+1)*$B91,0)</f>
        <v>0.0</v>
      </c>
      <c r="D91" s="14">
        <f>IF(AND(D$5-$A91&gt;=0,D$5-$A91&lt;=19),INDEX(HU_ord,D$5-$A91+1)*$B91,0)</f>
        <v>0.0</v>
      </c>
      <c r="E91" s="14">
        <f>IF(AND(E$5-$A91&gt;=0,E$5-$A91&lt;=19),INDEX(HU_ord,E$5-$A91+1)*$B91,0)</f>
        <v>0.0</v>
      </c>
      <c r="F91" s="14">
        <f>IF(AND(F$5-$A91&gt;=0,F$5-$A91&lt;=19),INDEX(HU_ord,F$5-$A91+1)*$B91,0)</f>
        <v>0.0</v>
      </c>
      <c r="G91" s="14">
        <f>IF(AND(G$5-$A91&gt;=0,G$5-$A91&lt;=19),INDEX(HU_ord,G$5-$A91+1)*$B91,0)</f>
        <v>0.0</v>
      </c>
      <c r="H91" s="14">
        <f>IF(AND(H$5-$A91&gt;=0,H$5-$A91&lt;=19),INDEX(HU_ord,H$5-$A91+1)*$B91,0)</f>
        <v>0.0</v>
      </c>
      <c r="I91" s="14">
        <f>IF(AND(I$5-$A91&gt;=0,I$5-$A91&lt;=19),INDEX(HU_ord,I$5-$A91+1)*$B91,0)</f>
        <v>0.0</v>
      </c>
      <c r="J91" s="14">
        <f>IF(AND(J$5-$A91&gt;=0,J$5-$A91&lt;=19),INDEX(HU_ord,J$5-$A91+1)*$B91,0)</f>
        <v>0.0</v>
      </c>
      <c r="K91" s="14">
        <f>IF(AND(K$5-$A91&gt;=0,K$5-$A91&lt;=19),INDEX(HU_ord,K$5-$A91+1)*$B91,0)</f>
        <v>0.0</v>
      </c>
      <c r="L91" s="14">
        <f>IF(AND(L$5-$A91&gt;=0,L$5-$A91&lt;=19),INDEX(HU_ord,L$5-$A91+1)*$B91,0)</f>
        <v>0.0</v>
      </c>
      <c r="M91" s="14">
        <f>IF(AND(M$5-$A91&gt;=0,M$5-$A91&lt;=19),INDEX(HU_ord,M$5-$A91+1)*$B91,0)</f>
        <v>0.0</v>
      </c>
      <c r="N91" s="14">
        <f>IF(AND(N$5-$A91&gt;=0,N$5-$A91&lt;=19),INDEX(HU_ord,N$5-$A91+1)*$B91,0)</f>
        <v>0.0</v>
      </c>
      <c r="O91" s="14">
        <f>IF(AND(O$5-$A91&gt;=0,O$5-$A91&lt;=19),INDEX(HU_ord,O$5-$A91+1)*$B91,0)</f>
        <v>0.0</v>
      </c>
      <c r="P91" s="14">
        <f>IF(AND(P$5-$A91&gt;=0,P$5-$A91&lt;=19),INDEX(HU_ord,P$5-$A91+1)*$B91,0)</f>
        <v>0.0</v>
      </c>
      <c r="Q91" s="14">
        <f>IF(AND(Q$5-$A91&gt;=0,Q$5-$A91&lt;=19),INDEX(HU_ord,Q$5-$A91+1)*$B91,0)</f>
        <v>0.0</v>
      </c>
      <c r="R91" s="14">
        <f>IF(AND(R$5-$A91&gt;=0,R$5-$A91&lt;=19),INDEX(HU_ord,R$5-$A91+1)*$B91,0)</f>
        <v>0.0</v>
      </c>
      <c r="S91" s="14">
        <f>IF(AND(S$5-$A91&gt;=0,S$5-$A91&lt;=19),INDEX(HU_ord,S$5-$A91+1)*$B91,0)</f>
        <v>0.0</v>
      </c>
      <c r="T91" s="14">
        <f>IF(AND(T$5-$A91&gt;=0,T$5-$A91&lt;=19),INDEX(HU_ord,T$5-$A91+1)*$B91,0)</f>
        <v>0.0</v>
      </c>
      <c r="U91" s="14">
        <f>IF(AND(U$5-$A91&gt;=0,U$5-$A91&lt;=19),INDEX(HU_ord,U$5-$A91+1)*$B91,0)</f>
        <v>0.0</v>
      </c>
      <c r="V91" s="14">
        <f>IF(AND(V$5-$A91&gt;=0,V$5-$A91&lt;=19),INDEX(HU_ord,V$5-$A91+1)*$B91,0)</f>
        <v>0.0</v>
      </c>
      <c r="W91" s="14">
        <f>IF(AND(W$5-$A91&gt;=0,W$5-$A91&lt;=19),INDEX(HU_ord,W$5-$A91+1)*$B91,0)</f>
        <v>0.0</v>
      </c>
      <c r="X91" s="14">
        <f>IF(AND(X$5-$A91&gt;=0,X$5-$A91&lt;=19),INDEX(HU_ord,X$5-$A91+1)*$B91,0)</f>
        <v>0.0</v>
      </c>
      <c r="Y91" s="14">
        <f>IF(AND(Y$5-$A91&gt;=0,Y$5-$A91&lt;=19),INDEX(HU_ord,Y$5-$A91+1)*$B91,0)</f>
        <v>0.0</v>
      </c>
      <c r="Z91" s="14">
        <f>IF(AND(Z$5-$A91&gt;=0,Z$5-$A91&lt;=19),INDEX(HU_ord,Z$5-$A91+1)*$B91,0)</f>
        <v>0.0</v>
      </c>
      <c r="AA91" s="14">
        <f>IF(AND(AA$5-$A91&gt;=0,AA$5-$A91&lt;=19),INDEX(HU_ord,AA$5-$A91+1)*$B91,0)</f>
        <v>0.0</v>
      </c>
      <c r="AB91" s="14">
        <f>IF(AND(AB$5-$A91&gt;=0,AB$5-$A91&lt;=19),INDEX(HU_ord,AB$5-$A91+1)*$B91,0)</f>
        <v>0.0</v>
      </c>
      <c r="AC91" s="14">
        <f>IF(AND(AC$5-$A91&gt;=0,AC$5-$A91&lt;=19),INDEX(HU_ord,AC$5-$A91+1)*$B91,0)</f>
        <v>0.0</v>
      </c>
      <c r="AD91" s="14">
        <f>IF(AND(AD$5-$A91&gt;=0,AD$5-$A91&lt;=19),INDEX(HU_ord,AD$5-$A91+1)*$B91,0)</f>
        <v>0.0</v>
      </c>
      <c r="AE91" s="14">
        <f>IF(AND(AE$5-$A91&gt;=0,AE$5-$A91&lt;=19),INDEX(HU_ord,AE$5-$A91+1)*$B91,0)</f>
        <v>0.0</v>
      </c>
      <c r="AF91" s="14">
        <f>IF(AND(AF$5-$A91&gt;=0,AF$5-$A91&lt;=19),INDEX(HU_ord,AF$5-$A91+1)*$B91,0)</f>
        <v>0.0</v>
      </c>
      <c r="AG91" s="14">
        <f>IF(AND(AG$5-$A91&gt;=0,AG$5-$A91&lt;=19),INDEX(HU_ord,AG$5-$A91+1)*$B91,0)</f>
        <v>0.0</v>
      </c>
      <c r="AH91" s="14">
        <f>IF(AND(AH$5-$A91&gt;=0,AH$5-$A91&lt;=19),INDEX(HU_ord,AH$5-$A91+1)*$B91,0)</f>
        <v>0.0</v>
      </c>
      <c r="AI91" s="14">
        <f>IF(AND(AI$5-$A91&gt;=0,AI$5-$A91&lt;=19),INDEX(HU_ord,AI$5-$A91+1)*$B91,0)</f>
        <v>0.0</v>
      </c>
      <c r="AJ91" s="14">
        <f>IF(AND(AJ$5-$A91&gt;=0,AJ$5-$A91&lt;=19),INDEX(HU_ord,AJ$5-$A91+1)*$B91,0)</f>
        <v>0.0</v>
      </c>
      <c r="AK91" s="14">
        <f>IF(AND(AK$5-$A91&gt;=0,AK$5-$A91&lt;=19),INDEX(HU_ord,AK$5-$A91+1)*$B91,0)</f>
        <v>0.0</v>
      </c>
      <c r="AL91" s="14">
        <f>IF(AND(AL$5-$A91&gt;=0,AL$5-$A91&lt;=19),INDEX(HU_ord,AL$5-$A91+1)*$B91,0)</f>
        <v>0.0</v>
      </c>
      <c r="AM91" s="14">
        <f>IF(AND(AM$5-$A91&gt;=0,AM$5-$A91&lt;=19),INDEX(HU_ord,AM$5-$A91+1)*$B91,0)</f>
        <v>0.0</v>
      </c>
      <c r="AN91" s="14">
        <f>IF(AND(AN$5-$A91&gt;=0,AN$5-$A91&lt;=19),INDEX(HU_ord,AN$5-$A91+1)*$B91,0)</f>
        <v>0.0</v>
      </c>
      <c r="AO91" s="14">
        <f>IF(AND(AO$5-$A91&gt;=0,AO$5-$A91&lt;=19),INDEX(HU_ord,AO$5-$A91+1)*$B91,0)</f>
        <v>0.0</v>
      </c>
      <c r="AP91" s="14">
        <f>IF(AND(AP$5-$A91&gt;=0,AP$5-$A91&lt;=19),INDEX(HU_ord,AP$5-$A91+1)*$B91,0)</f>
        <v>0.0</v>
      </c>
      <c r="AQ91" s="14">
        <f>IF(AND(AQ$5-$A91&gt;=0,AQ$5-$A91&lt;=19),INDEX(HU_ord,AQ$5-$A91+1)*$B91,0)</f>
        <v>0.0</v>
      </c>
      <c r="AR91" s="14">
        <f>IF(AND(AR$5-$A91&gt;=0,AR$5-$A91&lt;=19),INDEX(HU_ord,AR$5-$A91+1)*$B91,0)</f>
        <v>0.0</v>
      </c>
      <c r="AS91" s="14">
        <f>IF(AND(AS$5-$A91&gt;=0,AS$5-$A91&lt;=19),INDEX(HU_ord,AS$5-$A91+1)*$B91,0)</f>
        <v>0.0</v>
      </c>
      <c r="AT91" s="14">
        <f>IF(AND(AT$5-$A91&gt;=0,AT$5-$A91&lt;=19),INDEX(HU_ord,AT$5-$A91+1)*$B91,0)</f>
        <v>0.0</v>
      </c>
      <c r="AU91" s="14">
        <f>IF(AND(AU$5-$A91&gt;=0,AU$5-$A91&lt;=19),INDEX(HU_ord,AU$5-$A91+1)*$B91,0)</f>
        <v>0.0</v>
      </c>
      <c r="AV91" s="14">
        <f>IF(AND(AV$5-$A91&gt;=0,AV$5-$A91&lt;=19),INDEX(HU_ord,AV$5-$A91+1)*$B91,0)</f>
        <v>0.0</v>
      </c>
      <c r="AW91" s="14">
        <f>IF(AND(AW$5-$A91&gt;=0,AW$5-$A91&lt;=19),INDEX(HU_ord,AW$5-$A91+1)*$B91,0)</f>
        <v>0.0</v>
      </c>
      <c r="AX91" s="14">
        <f>IF(AND(AX$5-$A91&gt;=0,AX$5-$A91&lt;=19),INDEX(HU_ord,AX$5-$A91+1)*$B91,0)</f>
        <v>0.0</v>
      </c>
      <c r="AY91" s="14">
        <f>IF(AND(AY$5-$A91&gt;=0,AY$5-$A91&lt;=19),INDEX(HU_ord,AY$5-$A91+1)*$B91,0)</f>
        <v>0.0</v>
      </c>
      <c r="AZ91" s="14">
        <f>IF(AND(AZ$5-$A91&gt;=0,AZ$5-$A91&lt;=19),INDEX(HU_ord,AZ$5-$A91+1)*$B91,0)</f>
        <v>0.0</v>
      </c>
      <c r="BA91" s="14">
        <f>IF(AND(BA$5-$A91&gt;=0,BA$5-$A91&lt;=19),INDEX(HU_ord,BA$5-$A91+1)*$B91,0)</f>
        <v>0.0</v>
      </c>
      <c r="BB91" s="14">
        <f>IF(AND(BB$5-$A91&gt;=0,BB$5-$A91&lt;=19),INDEX(HU_ord,BB$5-$A91+1)*$B91,0)</f>
        <v>0.0</v>
      </c>
      <c r="BC91" s="14">
        <f>IF(AND(BC$5-$A91&gt;=0,BC$5-$A91&lt;=19),INDEX(HU_ord,BC$5-$A91+1)*$B91,0)</f>
        <v>0.0</v>
      </c>
      <c r="BD91" s="14">
        <f>IF(AND(BD$5-$A91&gt;=0,BD$5-$A91&lt;=19),INDEX(HU_ord,BD$5-$A91+1)*$B91,0)</f>
        <v>0.0</v>
      </c>
      <c r="BE91" s="14">
        <f>IF(AND(BE$5-$A91&gt;=0,BE$5-$A91&lt;=19),INDEX(HU_ord,BE$5-$A91+1)*$B91,0)</f>
        <v>0.0</v>
      </c>
      <c r="BF91" s="14">
        <f>IF(AND(BF$5-$A91&gt;=0,BF$5-$A91&lt;=19),INDEX(HU_ord,BF$5-$A91+1)*$B91,0)</f>
        <v>0.0</v>
      </c>
      <c r="BG91" s="14">
        <f>IF(AND(BG$5-$A91&gt;=0,BG$5-$A91&lt;=19),INDEX(HU_ord,BG$5-$A91+1)*$B91,0)</f>
        <v>0.0</v>
      </c>
      <c r="BH91" s="14">
        <f>IF(AND(BH$5-$A91&gt;=0,BH$5-$A91&lt;=19),INDEX(HU_ord,BH$5-$A91+1)*$B91,0)</f>
        <v>0.0</v>
      </c>
      <c r="BI91" s="14">
        <f>IF(AND(BI$5-$A91&gt;=0,BI$5-$A91&lt;=19),INDEX(HU_ord,BI$5-$A91+1)*$B91,0)</f>
        <v>0.0</v>
      </c>
      <c r="BJ91" s="14">
        <f>IF(AND(BJ$5-$A91&gt;=0,BJ$5-$A91&lt;=19),INDEX(HU_ord,BJ$5-$A91+1)*$B91,0)</f>
        <v>0.0</v>
      </c>
      <c r="BK91" s="14">
        <f>IF(AND(BK$5-$A91&gt;=0,BK$5-$A91&lt;=19),INDEX(HU_ord,BK$5-$A91+1)*$B91,0)</f>
        <v>0.0</v>
      </c>
      <c r="BL91" s="14">
        <f>IF(AND(BL$5-$A91&gt;=0,BL$5-$A91&lt;=19),INDEX(HU_ord,BL$5-$A91+1)*$B91,0)</f>
        <v>0.0</v>
      </c>
      <c r="BM91" s="14">
        <f>IF(AND(BM$5-$A91&gt;=0,BM$5-$A91&lt;=19),INDEX(HU_ord,BM$5-$A91+1)*$B91,0)</f>
        <v>0.0</v>
      </c>
      <c r="BN91" s="14">
        <f>IF(AND(BN$5-$A91&gt;=0,BN$5-$A91&lt;=19),INDEX(HU_ord,BN$5-$A91+1)*$B91,0)</f>
        <v>0.0</v>
      </c>
      <c r="BO91" s="14">
        <f>IF(AND(BO$5-$A91&gt;=0,BO$5-$A91&lt;=19),INDEX(HU_ord,BO$5-$A91+1)*$B91,0)</f>
        <v>0.0</v>
      </c>
      <c r="BP91" s="14">
        <f>IF(AND(BP$5-$A91&gt;=0,BP$5-$A91&lt;=19),INDEX(HU_ord,BP$5-$A91+1)*$B91,0)</f>
        <v>0.0</v>
      </c>
      <c r="BQ91" s="14">
        <f>IF(AND(BQ$5-$A91&gt;=0,BQ$5-$A91&lt;=19),INDEX(HU_ord,BQ$5-$A91+1)*$B91,0)</f>
        <v>0.0</v>
      </c>
      <c r="BR91" s="14">
        <f>IF(AND(BR$5-$A91&gt;=0,BR$5-$A91&lt;=19),INDEX(HU_ord,BR$5-$A91+1)*$B91,0)</f>
        <v>0.0</v>
      </c>
      <c r="BS91" s="14">
        <f>IF(AND(BS$5-$A91&gt;=0,BS$5-$A91&lt;=19),INDEX(HU_ord,BS$5-$A91+1)*$B91,0)</f>
        <v>0.0</v>
      </c>
      <c r="BT91" s="14">
        <f>IF(AND(BT$5-$A91&gt;=0,BT$5-$A91&lt;=19),INDEX(HU_ord,BT$5-$A91+1)*$B91,0)</f>
        <v>0.0</v>
      </c>
      <c r="BU91" s="14">
        <f>IF(AND(BU$5-$A91&gt;=0,BU$5-$A91&lt;=19),INDEX(HU_ord,BU$5-$A91+1)*$B91,0)</f>
        <v>0.0</v>
      </c>
      <c r="BV91" s="14">
        <f>IF(AND(BV$5-$A91&gt;=0,BV$5-$A91&lt;=19),INDEX(HU_ord,BV$5-$A91+1)*$B91,0)</f>
        <v>0.0</v>
      </c>
      <c r="BW91" s="14">
        <f>IF(AND(BW$5-$A91&gt;=0,BW$5-$A91&lt;=19),INDEX(HU_ord,BW$5-$A91+1)*$B91,0)</f>
        <v>0.0</v>
      </c>
      <c r="BX91" s="14">
        <f>IF(AND(BX$5-$A91&gt;=0,BX$5-$A91&lt;=19),INDEX(HU_ord,BX$5-$A91+1)*$B91,0)</f>
        <v>0.0</v>
      </c>
      <c r="BY91" s="14">
        <f>IF(AND(BY$5-$A91&gt;=0,BY$5-$A91&lt;=19),INDEX(HU_ord,BY$5-$A91+1)*$B91,0)</f>
        <v>0.0</v>
      </c>
      <c r="BZ91" s="14">
        <f>IF(AND(BZ$5-$A91&gt;=0,BZ$5-$A91&lt;=19),INDEX(HU_ord,BZ$5-$A91+1)*$B91,0)</f>
        <v>0.0</v>
      </c>
      <c r="CA91" s="14">
        <f>IF(AND(CA$5-$A91&gt;=0,CA$5-$A91&lt;=19),INDEX(HU_ord,CA$5-$A91+1)*$B91,0)</f>
        <v>0.0</v>
      </c>
      <c r="CB91" s="14">
        <f>IF(AND(CB$5-$A91&gt;=0,CB$5-$A91&lt;=19),INDEX(HU_ord,CB$5-$A91+1)*$B91,0)</f>
        <v>0.0</v>
      </c>
      <c r="CC91" s="14">
        <f>IF(AND(CC$5-$A91&gt;=0,CC$5-$A91&lt;=19),INDEX(HU_ord,CC$5-$A91+1)*$B91,0)</f>
        <v>0.0</v>
      </c>
      <c r="CD91" s="14">
        <f>IF(AND(CD$5-$A91&gt;=0,CD$5-$A91&lt;=19),INDEX(HU_ord,CD$5-$A91+1)*$B91,0)</f>
        <v>0.0</v>
      </c>
      <c r="CE91" s="14">
        <f>IF(AND(CE$5-$A91&gt;=0,CE$5-$A91&lt;=19),INDEX(HU_ord,CE$5-$A91+1)*$B91,0)</f>
        <v>0.0</v>
      </c>
      <c r="CF91" s="14">
        <f>IF(AND(CF$5-$A91&gt;=0,CF$5-$A91&lt;=19),INDEX(HU_ord,CF$5-$A91+1)*$B91,0)</f>
        <v>0.0</v>
      </c>
      <c r="CG91" s="14">
        <f>IF(AND(CG$5-$A91&gt;=0,CG$5-$A91&lt;=19),INDEX(HU_ord,CG$5-$A91+1)*$B91,0)</f>
        <v>0.0</v>
      </c>
      <c r="CH91" s="14">
        <f>IF(AND(CH$5-$A91&gt;=0,CH$5-$A91&lt;=19),INDEX(HU_ord,CH$5-$A91+1)*$B91,0)</f>
        <v>0.0</v>
      </c>
      <c r="CI91" s="14">
        <f>IF(AND(CI$5-$A91&gt;=0,CI$5-$A91&lt;=19),INDEX(HU_ord,CI$5-$A91+1)*$B91,0)</f>
        <v>0.0</v>
      </c>
      <c r="CJ91" s="14">
        <f>IF(AND(CJ$5-$A91&gt;=0,CJ$5-$A91&lt;=19),INDEX(HU_ord,CJ$5-$A91+1)*$B91,0)</f>
        <v>0.0</v>
      </c>
      <c r="CK91" s="14">
        <f>IF(AND(CK$5-$A91&gt;=0,CK$5-$A91&lt;=19),INDEX(HU_ord,CK$5-$A91+1)*$B91,0)</f>
        <v>0.0</v>
      </c>
      <c r="CL91" s="14">
        <f>IF(AND(CL$5-$A91&gt;=0,CL$5-$A91&lt;=19),INDEX(HU_ord,CL$5-$A91+1)*$B91,0)</f>
        <v>0.0</v>
      </c>
      <c r="CM91" s="14">
        <f>IF(AND(CM$5-$A91&gt;=0,CM$5-$A91&lt;=19),INDEX(HU_ord,CM$5-$A91+1)*$B91,0)</f>
        <v>0.0</v>
      </c>
      <c r="CN91" s="14">
        <f>IF(AND(CN$5-$A91&gt;=0,CN$5-$A91&lt;=19),INDEX(HU_ord,CN$5-$A91+1)*$B91,0)</f>
        <v>0.0</v>
      </c>
      <c r="CO91" s="14">
        <f>IF(AND(CO$5-$A91&gt;=0,CO$5-$A91&lt;=19),INDEX(HU_ord,CO$5-$A91+1)*$B91,0)</f>
        <v>0.0</v>
      </c>
      <c r="CP91" s="14">
        <f>IF(AND(CP$5-$A91&gt;=0,CP$5-$A91&lt;=19),INDEX(HU_ord,CP$5-$A91+1)*$B91,0)</f>
        <v>0.0</v>
      </c>
      <c r="CQ91" s="14">
        <f>IF(AND(CQ$5-$A91&gt;=0,CQ$5-$A91&lt;=19),INDEX(HU_ord,CQ$5-$A91+1)*$B91,0)</f>
        <v>0.0</v>
      </c>
      <c r="CR91" s="14">
        <f>IF(AND(CR$5-$A91&gt;=0,CR$5-$A91&lt;=19),INDEX(HU_ord,CR$5-$A91+1)*$B91,0)</f>
        <v>0.0</v>
      </c>
      <c r="CS91" s="14">
        <f>IF(AND(CS$5-$A91&gt;=0,CS$5-$A91&lt;=19),INDEX(HU_ord,CS$5-$A91+1)*$B91,0)</f>
        <v>0.0</v>
      </c>
      <c r="CT91" s="14">
        <f>IF(AND(CT$5-$A91&gt;=0,CT$5-$A91&lt;=19),INDEX(HU_ord,CT$5-$A91+1)*$B91,0)</f>
        <v>0.0</v>
      </c>
      <c r="CU91" s="14">
        <f>IF(AND(CU$5-$A91&gt;=0,CU$5-$A91&lt;=19),INDEX(HU_ord,CU$5-$A91+1)*$B91,0)</f>
        <v>0.0</v>
      </c>
      <c r="CV91" s="14">
        <f>IF(AND(CV$5-$A91&gt;=0,CV$5-$A91&lt;=19),INDEX(HU_ord,CV$5-$A91+1)*$B91,0)</f>
        <v>0.0</v>
      </c>
      <c r="CW91" s="14">
        <f>IF(AND(CW$5-$A91&gt;=0,CW$5-$A91&lt;=19),INDEX(HU_ord,CW$5-$A91+1)*$B91,0)</f>
        <v>0.0</v>
      </c>
      <c r="CX91" s="14">
        <f>IF(AND(CX$5-$A91&gt;=0,CX$5-$A91&lt;=19),INDEX(HU_ord,CX$5-$A91+1)*$B91,0)</f>
        <v>0.0</v>
      </c>
      <c r="CY91" s="14">
        <f>IF(AND(CY$5-$A91&gt;=0,CY$5-$A91&lt;=19),INDEX(HU_ord,CY$5-$A91+1)*$B91,0)</f>
        <v>0.0</v>
      </c>
      <c r="CZ91" s="14">
        <f>IF(AND(CZ$5-$A91&gt;=0,CZ$5-$A91&lt;=19),INDEX(HU_ord,CZ$5-$A91+1)*$B91,0)</f>
        <v>0.0</v>
      </c>
      <c r="DA91" s="14">
        <f>IF(AND(DA$5-$A91&gt;=0,DA$5-$A91&lt;=19),INDEX(HU_ord,DA$5-$A91+1)*$B91,0)</f>
        <v>0.0</v>
      </c>
      <c r="DB91" s="14">
        <f>IF(AND(DB$5-$A91&gt;=0,DB$5-$A91&lt;=19),INDEX(HU_ord,DB$5-$A91+1)*$B91,0)</f>
        <v>0.0</v>
      </c>
      <c r="DC91" s="14">
        <f>IF(AND(DC$5-$A91&gt;=0,DC$5-$A91&lt;=19),INDEX(HU_ord,DC$5-$A91+1)*$B91,0)</f>
        <v>0.0</v>
      </c>
      <c r="DD91" s="14">
        <f>IF(AND(DD$5-$A91&gt;=0,DD$5-$A91&lt;=19),INDEX(HU_ord,DD$5-$A91+1)*$B91,0)</f>
        <v>0.0</v>
      </c>
      <c r="DE91" s="14">
        <f>IF(AND(DE$5-$A91&gt;=0,DE$5-$A91&lt;=19),INDEX(HU_ord,DE$5-$A91+1)*$B91,0)</f>
        <v>0.0</v>
      </c>
      <c r="DF91" s="14">
        <f>IF(AND(DF$5-$A91&gt;=0,DF$5-$A91&lt;=19),INDEX(HU_ord,DF$5-$A91+1)*$B91,0)</f>
        <v>0.0</v>
      </c>
      <c r="DG91" s="14">
        <f>IF(AND(DG$5-$A91&gt;=0,DG$5-$A91&lt;=19),INDEX(HU_ord,DG$5-$A91+1)*$B91,0)</f>
        <v>0.0</v>
      </c>
      <c r="DH91" s="14">
        <f>IF(AND(DH$5-$A91&gt;=0,DH$5-$A91&lt;=19),INDEX(HU_ord,DH$5-$A91+1)*$B91,0)</f>
        <v>0.0</v>
      </c>
      <c r="DI91" s="14">
        <f>IF(AND(DI$5-$A91&gt;=0,DI$5-$A91&lt;=19),INDEX(HU_ord,DI$5-$A91+1)*$B91,0)</f>
        <v>0.0</v>
      </c>
    </row>
    <row r="92" spans="1:113">
      <c r="A92">
        <v>86</v>
      </c>
      <c r="B92" s="10">
        <f>Serie_horaria!N88</f>
        <v>0.0</v>
      </c>
      <c r="C92" s="14">
        <f>IF(AND(C$5-$A92&gt;=0,C$5-$A92&lt;=19),INDEX(HU_ord,C$5-$A92+1)*$B92,0)</f>
        <v>0.0</v>
      </c>
      <c r="D92" s="14">
        <f>IF(AND(D$5-$A92&gt;=0,D$5-$A92&lt;=19),INDEX(HU_ord,D$5-$A92+1)*$B92,0)</f>
        <v>0.0</v>
      </c>
      <c r="E92" s="14">
        <f>IF(AND(E$5-$A92&gt;=0,E$5-$A92&lt;=19),INDEX(HU_ord,E$5-$A92+1)*$B92,0)</f>
        <v>0.0</v>
      </c>
      <c r="F92" s="14">
        <f>IF(AND(F$5-$A92&gt;=0,F$5-$A92&lt;=19),INDEX(HU_ord,F$5-$A92+1)*$B92,0)</f>
        <v>0.0</v>
      </c>
      <c r="G92" s="14">
        <f>IF(AND(G$5-$A92&gt;=0,G$5-$A92&lt;=19),INDEX(HU_ord,G$5-$A92+1)*$B92,0)</f>
        <v>0.0</v>
      </c>
      <c r="H92" s="14">
        <f>IF(AND(H$5-$A92&gt;=0,H$5-$A92&lt;=19),INDEX(HU_ord,H$5-$A92+1)*$B92,0)</f>
        <v>0.0</v>
      </c>
      <c r="I92" s="14">
        <f>IF(AND(I$5-$A92&gt;=0,I$5-$A92&lt;=19),INDEX(HU_ord,I$5-$A92+1)*$B92,0)</f>
        <v>0.0</v>
      </c>
      <c r="J92" s="14">
        <f>IF(AND(J$5-$A92&gt;=0,J$5-$A92&lt;=19),INDEX(HU_ord,J$5-$A92+1)*$B92,0)</f>
        <v>0.0</v>
      </c>
      <c r="K92" s="14">
        <f>IF(AND(K$5-$A92&gt;=0,K$5-$A92&lt;=19),INDEX(HU_ord,K$5-$A92+1)*$B92,0)</f>
        <v>0.0</v>
      </c>
      <c r="L92" s="14">
        <f>IF(AND(L$5-$A92&gt;=0,L$5-$A92&lt;=19),INDEX(HU_ord,L$5-$A92+1)*$B92,0)</f>
        <v>0.0</v>
      </c>
      <c r="M92" s="14">
        <f>IF(AND(M$5-$A92&gt;=0,M$5-$A92&lt;=19),INDEX(HU_ord,M$5-$A92+1)*$B92,0)</f>
        <v>0.0</v>
      </c>
      <c r="N92" s="14">
        <f>IF(AND(N$5-$A92&gt;=0,N$5-$A92&lt;=19),INDEX(HU_ord,N$5-$A92+1)*$B92,0)</f>
        <v>0.0</v>
      </c>
      <c r="O92" s="14">
        <f>IF(AND(O$5-$A92&gt;=0,O$5-$A92&lt;=19),INDEX(HU_ord,O$5-$A92+1)*$B92,0)</f>
        <v>0.0</v>
      </c>
      <c r="P92" s="14">
        <f>IF(AND(P$5-$A92&gt;=0,P$5-$A92&lt;=19),INDEX(HU_ord,P$5-$A92+1)*$B92,0)</f>
        <v>0.0</v>
      </c>
      <c r="Q92" s="14">
        <f>IF(AND(Q$5-$A92&gt;=0,Q$5-$A92&lt;=19),INDEX(HU_ord,Q$5-$A92+1)*$B92,0)</f>
        <v>0.0</v>
      </c>
      <c r="R92" s="14">
        <f>IF(AND(R$5-$A92&gt;=0,R$5-$A92&lt;=19),INDEX(HU_ord,R$5-$A92+1)*$B92,0)</f>
        <v>0.0</v>
      </c>
      <c r="S92" s="14">
        <f>IF(AND(S$5-$A92&gt;=0,S$5-$A92&lt;=19),INDEX(HU_ord,S$5-$A92+1)*$B92,0)</f>
        <v>0.0</v>
      </c>
      <c r="T92" s="14">
        <f>IF(AND(T$5-$A92&gt;=0,T$5-$A92&lt;=19),INDEX(HU_ord,T$5-$A92+1)*$B92,0)</f>
        <v>0.0</v>
      </c>
      <c r="U92" s="14">
        <f>IF(AND(U$5-$A92&gt;=0,U$5-$A92&lt;=19),INDEX(HU_ord,U$5-$A92+1)*$B92,0)</f>
        <v>0.0</v>
      </c>
      <c r="V92" s="14">
        <f>IF(AND(V$5-$A92&gt;=0,V$5-$A92&lt;=19),INDEX(HU_ord,V$5-$A92+1)*$B92,0)</f>
        <v>0.0</v>
      </c>
      <c r="W92" s="14">
        <f>IF(AND(W$5-$A92&gt;=0,W$5-$A92&lt;=19),INDEX(HU_ord,W$5-$A92+1)*$B92,0)</f>
        <v>0.0</v>
      </c>
      <c r="X92" s="14">
        <f>IF(AND(X$5-$A92&gt;=0,X$5-$A92&lt;=19),INDEX(HU_ord,X$5-$A92+1)*$B92,0)</f>
        <v>0.0</v>
      </c>
      <c r="Y92" s="14">
        <f>IF(AND(Y$5-$A92&gt;=0,Y$5-$A92&lt;=19),INDEX(HU_ord,Y$5-$A92+1)*$B92,0)</f>
        <v>0.0</v>
      </c>
      <c r="Z92" s="14">
        <f>IF(AND(Z$5-$A92&gt;=0,Z$5-$A92&lt;=19),INDEX(HU_ord,Z$5-$A92+1)*$B92,0)</f>
        <v>0.0</v>
      </c>
      <c r="AA92" s="14">
        <f>IF(AND(AA$5-$A92&gt;=0,AA$5-$A92&lt;=19),INDEX(HU_ord,AA$5-$A92+1)*$B92,0)</f>
        <v>0.0</v>
      </c>
      <c r="AB92" s="14">
        <f>IF(AND(AB$5-$A92&gt;=0,AB$5-$A92&lt;=19),INDEX(HU_ord,AB$5-$A92+1)*$B92,0)</f>
        <v>0.0</v>
      </c>
      <c r="AC92" s="14">
        <f>IF(AND(AC$5-$A92&gt;=0,AC$5-$A92&lt;=19),INDEX(HU_ord,AC$5-$A92+1)*$B92,0)</f>
        <v>0.0</v>
      </c>
      <c r="AD92" s="14">
        <f>IF(AND(AD$5-$A92&gt;=0,AD$5-$A92&lt;=19),INDEX(HU_ord,AD$5-$A92+1)*$B92,0)</f>
        <v>0.0</v>
      </c>
      <c r="AE92" s="14">
        <f>IF(AND(AE$5-$A92&gt;=0,AE$5-$A92&lt;=19),INDEX(HU_ord,AE$5-$A92+1)*$B92,0)</f>
        <v>0.0</v>
      </c>
      <c r="AF92" s="14">
        <f>IF(AND(AF$5-$A92&gt;=0,AF$5-$A92&lt;=19),INDEX(HU_ord,AF$5-$A92+1)*$B92,0)</f>
        <v>0.0</v>
      </c>
      <c r="AG92" s="14">
        <f>IF(AND(AG$5-$A92&gt;=0,AG$5-$A92&lt;=19),INDEX(HU_ord,AG$5-$A92+1)*$B92,0)</f>
        <v>0.0</v>
      </c>
      <c r="AH92" s="14">
        <f>IF(AND(AH$5-$A92&gt;=0,AH$5-$A92&lt;=19),INDEX(HU_ord,AH$5-$A92+1)*$B92,0)</f>
        <v>0.0</v>
      </c>
      <c r="AI92" s="14">
        <f>IF(AND(AI$5-$A92&gt;=0,AI$5-$A92&lt;=19),INDEX(HU_ord,AI$5-$A92+1)*$B92,0)</f>
        <v>0.0</v>
      </c>
      <c r="AJ92" s="14">
        <f>IF(AND(AJ$5-$A92&gt;=0,AJ$5-$A92&lt;=19),INDEX(HU_ord,AJ$5-$A92+1)*$B92,0)</f>
        <v>0.0</v>
      </c>
      <c r="AK92" s="14">
        <f>IF(AND(AK$5-$A92&gt;=0,AK$5-$A92&lt;=19),INDEX(HU_ord,AK$5-$A92+1)*$B92,0)</f>
        <v>0.0</v>
      </c>
      <c r="AL92" s="14">
        <f>IF(AND(AL$5-$A92&gt;=0,AL$5-$A92&lt;=19),INDEX(HU_ord,AL$5-$A92+1)*$B92,0)</f>
        <v>0.0</v>
      </c>
      <c r="AM92" s="14">
        <f>IF(AND(AM$5-$A92&gt;=0,AM$5-$A92&lt;=19),INDEX(HU_ord,AM$5-$A92+1)*$B92,0)</f>
        <v>0.0</v>
      </c>
      <c r="AN92" s="14">
        <f>IF(AND(AN$5-$A92&gt;=0,AN$5-$A92&lt;=19),INDEX(HU_ord,AN$5-$A92+1)*$B92,0)</f>
        <v>0.0</v>
      </c>
      <c r="AO92" s="14">
        <f>IF(AND(AO$5-$A92&gt;=0,AO$5-$A92&lt;=19),INDEX(HU_ord,AO$5-$A92+1)*$B92,0)</f>
        <v>0.0</v>
      </c>
      <c r="AP92" s="14">
        <f>IF(AND(AP$5-$A92&gt;=0,AP$5-$A92&lt;=19),INDEX(HU_ord,AP$5-$A92+1)*$B92,0)</f>
        <v>0.0</v>
      </c>
      <c r="AQ92" s="14">
        <f>IF(AND(AQ$5-$A92&gt;=0,AQ$5-$A92&lt;=19),INDEX(HU_ord,AQ$5-$A92+1)*$B92,0)</f>
        <v>0.0</v>
      </c>
      <c r="AR92" s="14">
        <f>IF(AND(AR$5-$A92&gt;=0,AR$5-$A92&lt;=19),INDEX(HU_ord,AR$5-$A92+1)*$B92,0)</f>
        <v>0.0</v>
      </c>
      <c r="AS92" s="14">
        <f>IF(AND(AS$5-$A92&gt;=0,AS$5-$A92&lt;=19),INDEX(HU_ord,AS$5-$A92+1)*$B92,0)</f>
        <v>0.0</v>
      </c>
      <c r="AT92" s="14">
        <f>IF(AND(AT$5-$A92&gt;=0,AT$5-$A92&lt;=19),INDEX(HU_ord,AT$5-$A92+1)*$B92,0)</f>
        <v>0.0</v>
      </c>
      <c r="AU92" s="14">
        <f>IF(AND(AU$5-$A92&gt;=0,AU$5-$A92&lt;=19),INDEX(HU_ord,AU$5-$A92+1)*$B92,0)</f>
        <v>0.0</v>
      </c>
      <c r="AV92" s="14">
        <f>IF(AND(AV$5-$A92&gt;=0,AV$5-$A92&lt;=19),INDEX(HU_ord,AV$5-$A92+1)*$B92,0)</f>
        <v>0.0</v>
      </c>
      <c r="AW92" s="14">
        <f>IF(AND(AW$5-$A92&gt;=0,AW$5-$A92&lt;=19),INDEX(HU_ord,AW$5-$A92+1)*$B92,0)</f>
        <v>0.0</v>
      </c>
      <c r="AX92" s="14">
        <f>IF(AND(AX$5-$A92&gt;=0,AX$5-$A92&lt;=19),INDEX(HU_ord,AX$5-$A92+1)*$B92,0)</f>
        <v>0.0</v>
      </c>
      <c r="AY92" s="14">
        <f>IF(AND(AY$5-$A92&gt;=0,AY$5-$A92&lt;=19),INDEX(HU_ord,AY$5-$A92+1)*$B92,0)</f>
        <v>0.0</v>
      </c>
      <c r="AZ92" s="14">
        <f>IF(AND(AZ$5-$A92&gt;=0,AZ$5-$A92&lt;=19),INDEX(HU_ord,AZ$5-$A92+1)*$B92,0)</f>
        <v>0.0</v>
      </c>
      <c r="BA92" s="14">
        <f>IF(AND(BA$5-$A92&gt;=0,BA$5-$A92&lt;=19),INDEX(HU_ord,BA$5-$A92+1)*$B92,0)</f>
        <v>0.0</v>
      </c>
      <c r="BB92" s="14">
        <f>IF(AND(BB$5-$A92&gt;=0,BB$5-$A92&lt;=19),INDEX(HU_ord,BB$5-$A92+1)*$B92,0)</f>
        <v>0.0</v>
      </c>
      <c r="BC92" s="14">
        <f>IF(AND(BC$5-$A92&gt;=0,BC$5-$A92&lt;=19),INDEX(HU_ord,BC$5-$A92+1)*$B92,0)</f>
        <v>0.0</v>
      </c>
      <c r="BD92" s="14">
        <f>IF(AND(BD$5-$A92&gt;=0,BD$5-$A92&lt;=19),INDEX(HU_ord,BD$5-$A92+1)*$B92,0)</f>
        <v>0.0</v>
      </c>
      <c r="BE92" s="14">
        <f>IF(AND(BE$5-$A92&gt;=0,BE$5-$A92&lt;=19),INDEX(HU_ord,BE$5-$A92+1)*$B92,0)</f>
        <v>0.0</v>
      </c>
      <c r="BF92" s="14">
        <f>IF(AND(BF$5-$A92&gt;=0,BF$5-$A92&lt;=19),INDEX(HU_ord,BF$5-$A92+1)*$B92,0)</f>
        <v>0.0</v>
      </c>
      <c r="BG92" s="14">
        <f>IF(AND(BG$5-$A92&gt;=0,BG$5-$A92&lt;=19),INDEX(HU_ord,BG$5-$A92+1)*$B92,0)</f>
        <v>0.0</v>
      </c>
      <c r="BH92" s="14">
        <f>IF(AND(BH$5-$A92&gt;=0,BH$5-$A92&lt;=19),INDEX(HU_ord,BH$5-$A92+1)*$B92,0)</f>
        <v>0.0</v>
      </c>
      <c r="BI92" s="14">
        <f>IF(AND(BI$5-$A92&gt;=0,BI$5-$A92&lt;=19),INDEX(HU_ord,BI$5-$A92+1)*$B92,0)</f>
        <v>0.0</v>
      </c>
      <c r="BJ92" s="14">
        <f>IF(AND(BJ$5-$A92&gt;=0,BJ$5-$A92&lt;=19),INDEX(HU_ord,BJ$5-$A92+1)*$B92,0)</f>
        <v>0.0</v>
      </c>
      <c r="BK92" s="14">
        <f>IF(AND(BK$5-$A92&gt;=0,BK$5-$A92&lt;=19),INDEX(HU_ord,BK$5-$A92+1)*$B92,0)</f>
        <v>0.0</v>
      </c>
      <c r="BL92" s="14">
        <f>IF(AND(BL$5-$A92&gt;=0,BL$5-$A92&lt;=19),INDEX(HU_ord,BL$5-$A92+1)*$B92,0)</f>
        <v>0.0</v>
      </c>
      <c r="BM92" s="14">
        <f>IF(AND(BM$5-$A92&gt;=0,BM$5-$A92&lt;=19),INDEX(HU_ord,BM$5-$A92+1)*$B92,0)</f>
        <v>0.0</v>
      </c>
      <c r="BN92" s="14">
        <f>IF(AND(BN$5-$A92&gt;=0,BN$5-$A92&lt;=19),INDEX(HU_ord,BN$5-$A92+1)*$B92,0)</f>
        <v>0.0</v>
      </c>
      <c r="BO92" s="14">
        <f>IF(AND(BO$5-$A92&gt;=0,BO$5-$A92&lt;=19),INDEX(HU_ord,BO$5-$A92+1)*$B92,0)</f>
        <v>0.0</v>
      </c>
      <c r="BP92" s="14">
        <f>IF(AND(BP$5-$A92&gt;=0,BP$5-$A92&lt;=19),INDEX(HU_ord,BP$5-$A92+1)*$B92,0)</f>
        <v>0.0</v>
      </c>
      <c r="BQ92" s="14">
        <f>IF(AND(BQ$5-$A92&gt;=0,BQ$5-$A92&lt;=19),INDEX(HU_ord,BQ$5-$A92+1)*$B92,0)</f>
        <v>0.0</v>
      </c>
      <c r="BR92" s="14">
        <f>IF(AND(BR$5-$A92&gt;=0,BR$5-$A92&lt;=19),INDEX(HU_ord,BR$5-$A92+1)*$B92,0)</f>
        <v>0.0</v>
      </c>
      <c r="BS92" s="14">
        <f>IF(AND(BS$5-$A92&gt;=0,BS$5-$A92&lt;=19),INDEX(HU_ord,BS$5-$A92+1)*$B92,0)</f>
        <v>0.0</v>
      </c>
      <c r="BT92" s="14">
        <f>IF(AND(BT$5-$A92&gt;=0,BT$5-$A92&lt;=19),INDEX(HU_ord,BT$5-$A92+1)*$B92,0)</f>
        <v>0.0</v>
      </c>
      <c r="BU92" s="14">
        <f>IF(AND(BU$5-$A92&gt;=0,BU$5-$A92&lt;=19),INDEX(HU_ord,BU$5-$A92+1)*$B92,0)</f>
        <v>0.0</v>
      </c>
      <c r="BV92" s="14">
        <f>IF(AND(BV$5-$A92&gt;=0,BV$5-$A92&lt;=19),INDEX(HU_ord,BV$5-$A92+1)*$B92,0)</f>
        <v>0.0</v>
      </c>
      <c r="BW92" s="14">
        <f>IF(AND(BW$5-$A92&gt;=0,BW$5-$A92&lt;=19),INDEX(HU_ord,BW$5-$A92+1)*$B92,0)</f>
        <v>0.0</v>
      </c>
      <c r="BX92" s="14">
        <f>IF(AND(BX$5-$A92&gt;=0,BX$5-$A92&lt;=19),INDEX(HU_ord,BX$5-$A92+1)*$B92,0)</f>
        <v>0.0</v>
      </c>
      <c r="BY92" s="14">
        <f>IF(AND(BY$5-$A92&gt;=0,BY$5-$A92&lt;=19),INDEX(HU_ord,BY$5-$A92+1)*$B92,0)</f>
        <v>0.0</v>
      </c>
      <c r="BZ92" s="14">
        <f>IF(AND(BZ$5-$A92&gt;=0,BZ$5-$A92&lt;=19),INDEX(HU_ord,BZ$5-$A92+1)*$B92,0)</f>
        <v>0.0</v>
      </c>
      <c r="CA92" s="14">
        <f>IF(AND(CA$5-$A92&gt;=0,CA$5-$A92&lt;=19),INDEX(HU_ord,CA$5-$A92+1)*$B92,0)</f>
        <v>0.0</v>
      </c>
      <c r="CB92" s="14">
        <f>IF(AND(CB$5-$A92&gt;=0,CB$5-$A92&lt;=19),INDEX(HU_ord,CB$5-$A92+1)*$B92,0)</f>
        <v>0.0</v>
      </c>
      <c r="CC92" s="14">
        <f>IF(AND(CC$5-$A92&gt;=0,CC$5-$A92&lt;=19),INDEX(HU_ord,CC$5-$A92+1)*$B92,0)</f>
        <v>0.0</v>
      </c>
      <c r="CD92" s="14">
        <f>IF(AND(CD$5-$A92&gt;=0,CD$5-$A92&lt;=19),INDEX(HU_ord,CD$5-$A92+1)*$B92,0)</f>
        <v>0.0</v>
      </c>
      <c r="CE92" s="14">
        <f>IF(AND(CE$5-$A92&gt;=0,CE$5-$A92&lt;=19),INDEX(HU_ord,CE$5-$A92+1)*$B92,0)</f>
        <v>0.0</v>
      </c>
      <c r="CF92" s="14">
        <f>IF(AND(CF$5-$A92&gt;=0,CF$5-$A92&lt;=19),INDEX(HU_ord,CF$5-$A92+1)*$B92,0)</f>
        <v>0.0</v>
      </c>
      <c r="CG92" s="14">
        <f>IF(AND(CG$5-$A92&gt;=0,CG$5-$A92&lt;=19),INDEX(HU_ord,CG$5-$A92+1)*$B92,0)</f>
        <v>0.0</v>
      </c>
      <c r="CH92" s="14">
        <f>IF(AND(CH$5-$A92&gt;=0,CH$5-$A92&lt;=19),INDEX(HU_ord,CH$5-$A92+1)*$B92,0)</f>
        <v>0.0</v>
      </c>
      <c r="CI92" s="14">
        <f>IF(AND(CI$5-$A92&gt;=0,CI$5-$A92&lt;=19),INDEX(HU_ord,CI$5-$A92+1)*$B92,0)</f>
        <v>0.0</v>
      </c>
      <c r="CJ92" s="14">
        <f>IF(AND(CJ$5-$A92&gt;=0,CJ$5-$A92&lt;=19),INDEX(HU_ord,CJ$5-$A92+1)*$B92,0)</f>
        <v>0.0</v>
      </c>
      <c r="CK92" s="14">
        <f>IF(AND(CK$5-$A92&gt;=0,CK$5-$A92&lt;=19),INDEX(HU_ord,CK$5-$A92+1)*$B92,0)</f>
        <v>0.0</v>
      </c>
      <c r="CL92" s="14">
        <f>IF(AND(CL$5-$A92&gt;=0,CL$5-$A92&lt;=19),INDEX(HU_ord,CL$5-$A92+1)*$B92,0)</f>
        <v>0.0</v>
      </c>
      <c r="CM92" s="14">
        <f>IF(AND(CM$5-$A92&gt;=0,CM$5-$A92&lt;=19),INDEX(HU_ord,CM$5-$A92+1)*$B92,0)</f>
        <v>0.0</v>
      </c>
      <c r="CN92" s="14">
        <f>IF(AND(CN$5-$A92&gt;=0,CN$5-$A92&lt;=19),INDEX(HU_ord,CN$5-$A92+1)*$B92,0)</f>
        <v>0.0</v>
      </c>
      <c r="CO92" s="14">
        <f>IF(AND(CO$5-$A92&gt;=0,CO$5-$A92&lt;=19),INDEX(HU_ord,CO$5-$A92+1)*$B92,0)</f>
        <v>0.0</v>
      </c>
      <c r="CP92" s="14">
        <f>IF(AND(CP$5-$A92&gt;=0,CP$5-$A92&lt;=19),INDEX(HU_ord,CP$5-$A92+1)*$B92,0)</f>
        <v>0.0</v>
      </c>
      <c r="CQ92" s="14">
        <f>IF(AND(CQ$5-$A92&gt;=0,CQ$5-$A92&lt;=19),INDEX(HU_ord,CQ$5-$A92+1)*$B92,0)</f>
        <v>0.0</v>
      </c>
      <c r="CR92" s="14">
        <f>IF(AND(CR$5-$A92&gt;=0,CR$5-$A92&lt;=19),INDEX(HU_ord,CR$5-$A92+1)*$B92,0)</f>
        <v>0.0</v>
      </c>
      <c r="CS92" s="14">
        <f>IF(AND(CS$5-$A92&gt;=0,CS$5-$A92&lt;=19),INDEX(HU_ord,CS$5-$A92+1)*$B92,0)</f>
        <v>0.0</v>
      </c>
      <c r="CT92" s="14">
        <f>IF(AND(CT$5-$A92&gt;=0,CT$5-$A92&lt;=19),INDEX(HU_ord,CT$5-$A92+1)*$B92,0)</f>
        <v>0.0</v>
      </c>
      <c r="CU92" s="14">
        <f>IF(AND(CU$5-$A92&gt;=0,CU$5-$A92&lt;=19),INDEX(HU_ord,CU$5-$A92+1)*$B92,0)</f>
        <v>0.0</v>
      </c>
      <c r="CV92" s="14">
        <f>IF(AND(CV$5-$A92&gt;=0,CV$5-$A92&lt;=19),INDEX(HU_ord,CV$5-$A92+1)*$B92,0)</f>
        <v>0.0</v>
      </c>
      <c r="CW92" s="14">
        <f>IF(AND(CW$5-$A92&gt;=0,CW$5-$A92&lt;=19),INDEX(HU_ord,CW$5-$A92+1)*$B92,0)</f>
        <v>0.0</v>
      </c>
      <c r="CX92" s="14">
        <f>IF(AND(CX$5-$A92&gt;=0,CX$5-$A92&lt;=19),INDEX(HU_ord,CX$5-$A92+1)*$B92,0)</f>
        <v>0.0</v>
      </c>
      <c r="CY92" s="14">
        <f>IF(AND(CY$5-$A92&gt;=0,CY$5-$A92&lt;=19),INDEX(HU_ord,CY$5-$A92+1)*$B92,0)</f>
        <v>0.0</v>
      </c>
      <c r="CZ92" s="14">
        <f>IF(AND(CZ$5-$A92&gt;=0,CZ$5-$A92&lt;=19),INDEX(HU_ord,CZ$5-$A92+1)*$B92,0)</f>
        <v>0.0</v>
      </c>
      <c r="DA92" s="14">
        <f>IF(AND(DA$5-$A92&gt;=0,DA$5-$A92&lt;=19),INDEX(HU_ord,DA$5-$A92+1)*$B92,0)</f>
        <v>0.0</v>
      </c>
      <c r="DB92" s="14">
        <f>IF(AND(DB$5-$A92&gt;=0,DB$5-$A92&lt;=19),INDEX(HU_ord,DB$5-$A92+1)*$B92,0)</f>
        <v>0.0</v>
      </c>
      <c r="DC92" s="14">
        <f>IF(AND(DC$5-$A92&gt;=0,DC$5-$A92&lt;=19),INDEX(HU_ord,DC$5-$A92+1)*$B92,0)</f>
        <v>0.0</v>
      </c>
      <c r="DD92" s="14">
        <f>IF(AND(DD$5-$A92&gt;=0,DD$5-$A92&lt;=19),INDEX(HU_ord,DD$5-$A92+1)*$B92,0)</f>
        <v>0.0</v>
      </c>
      <c r="DE92" s="14">
        <f>IF(AND(DE$5-$A92&gt;=0,DE$5-$A92&lt;=19),INDEX(HU_ord,DE$5-$A92+1)*$B92,0)</f>
        <v>0.0</v>
      </c>
      <c r="DF92" s="14">
        <f>IF(AND(DF$5-$A92&gt;=0,DF$5-$A92&lt;=19),INDEX(HU_ord,DF$5-$A92+1)*$B92,0)</f>
        <v>0.0</v>
      </c>
      <c r="DG92" s="14">
        <f>IF(AND(DG$5-$A92&gt;=0,DG$5-$A92&lt;=19),INDEX(HU_ord,DG$5-$A92+1)*$B92,0)</f>
        <v>0.0</v>
      </c>
      <c r="DH92" s="14">
        <f>IF(AND(DH$5-$A92&gt;=0,DH$5-$A92&lt;=19),INDEX(HU_ord,DH$5-$A92+1)*$B92,0)</f>
        <v>0.0</v>
      </c>
      <c r="DI92" s="14">
        <f>IF(AND(DI$5-$A92&gt;=0,DI$5-$A92&lt;=19),INDEX(HU_ord,DI$5-$A92+1)*$B92,0)</f>
        <v>0.0</v>
      </c>
    </row>
    <row r="93" spans="1:113">
      <c r="A93">
        <v>87</v>
      </c>
      <c r="B93" s="10">
        <f>Serie_horaria!N89</f>
        <v>0.0</v>
      </c>
      <c r="C93" s="14">
        <f>IF(AND(C$5-$A93&gt;=0,C$5-$A93&lt;=19),INDEX(HU_ord,C$5-$A93+1)*$B93,0)</f>
        <v>0.0</v>
      </c>
      <c r="D93" s="14">
        <f>IF(AND(D$5-$A93&gt;=0,D$5-$A93&lt;=19),INDEX(HU_ord,D$5-$A93+1)*$B93,0)</f>
        <v>0.0</v>
      </c>
      <c r="E93" s="14">
        <f>IF(AND(E$5-$A93&gt;=0,E$5-$A93&lt;=19),INDEX(HU_ord,E$5-$A93+1)*$B93,0)</f>
        <v>0.0</v>
      </c>
      <c r="F93" s="14">
        <f>IF(AND(F$5-$A93&gt;=0,F$5-$A93&lt;=19),INDEX(HU_ord,F$5-$A93+1)*$B93,0)</f>
        <v>0.0</v>
      </c>
      <c r="G93" s="14">
        <f>IF(AND(G$5-$A93&gt;=0,G$5-$A93&lt;=19),INDEX(HU_ord,G$5-$A93+1)*$B93,0)</f>
        <v>0.0</v>
      </c>
      <c r="H93" s="14">
        <f>IF(AND(H$5-$A93&gt;=0,H$5-$A93&lt;=19),INDEX(HU_ord,H$5-$A93+1)*$B93,0)</f>
        <v>0.0</v>
      </c>
      <c r="I93" s="14">
        <f>IF(AND(I$5-$A93&gt;=0,I$5-$A93&lt;=19),INDEX(HU_ord,I$5-$A93+1)*$B93,0)</f>
        <v>0.0</v>
      </c>
      <c r="J93" s="14">
        <f>IF(AND(J$5-$A93&gt;=0,J$5-$A93&lt;=19),INDEX(HU_ord,J$5-$A93+1)*$B93,0)</f>
        <v>0.0</v>
      </c>
      <c r="K93" s="14">
        <f>IF(AND(K$5-$A93&gt;=0,K$5-$A93&lt;=19),INDEX(HU_ord,K$5-$A93+1)*$B93,0)</f>
        <v>0.0</v>
      </c>
      <c r="L93" s="14">
        <f>IF(AND(L$5-$A93&gt;=0,L$5-$A93&lt;=19),INDEX(HU_ord,L$5-$A93+1)*$B93,0)</f>
        <v>0.0</v>
      </c>
      <c r="M93" s="14">
        <f>IF(AND(M$5-$A93&gt;=0,M$5-$A93&lt;=19),INDEX(HU_ord,M$5-$A93+1)*$B93,0)</f>
        <v>0.0</v>
      </c>
      <c r="N93" s="14">
        <f>IF(AND(N$5-$A93&gt;=0,N$5-$A93&lt;=19),INDEX(HU_ord,N$5-$A93+1)*$B93,0)</f>
        <v>0.0</v>
      </c>
      <c r="O93" s="14">
        <f>IF(AND(O$5-$A93&gt;=0,O$5-$A93&lt;=19),INDEX(HU_ord,O$5-$A93+1)*$B93,0)</f>
        <v>0.0</v>
      </c>
      <c r="P93" s="14">
        <f>IF(AND(P$5-$A93&gt;=0,P$5-$A93&lt;=19),INDEX(HU_ord,P$5-$A93+1)*$B93,0)</f>
        <v>0.0</v>
      </c>
      <c r="Q93" s="14">
        <f>IF(AND(Q$5-$A93&gt;=0,Q$5-$A93&lt;=19),INDEX(HU_ord,Q$5-$A93+1)*$B93,0)</f>
        <v>0.0</v>
      </c>
      <c r="R93" s="14">
        <f>IF(AND(R$5-$A93&gt;=0,R$5-$A93&lt;=19),INDEX(HU_ord,R$5-$A93+1)*$B93,0)</f>
        <v>0.0</v>
      </c>
      <c r="S93" s="14">
        <f>IF(AND(S$5-$A93&gt;=0,S$5-$A93&lt;=19),INDEX(HU_ord,S$5-$A93+1)*$B93,0)</f>
        <v>0.0</v>
      </c>
      <c r="T93" s="14">
        <f>IF(AND(T$5-$A93&gt;=0,T$5-$A93&lt;=19),INDEX(HU_ord,T$5-$A93+1)*$B93,0)</f>
        <v>0.0</v>
      </c>
      <c r="U93" s="14">
        <f>IF(AND(U$5-$A93&gt;=0,U$5-$A93&lt;=19),INDEX(HU_ord,U$5-$A93+1)*$B93,0)</f>
        <v>0.0</v>
      </c>
      <c r="V93" s="14">
        <f>IF(AND(V$5-$A93&gt;=0,V$5-$A93&lt;=19),INDEX(HU_ord,V$5-$A93+1)*$B93,0)</f>
        <v>0.0</v>
      </c>
      <c r="W93" s="14">
        <f>IF(AND(W$5-$A93&gt;=0,W$5-$A93&lt;=19),INDEX(HU_ord,W$5-$A93+1)*$B93,0)</f>
        <v>0.0</v>
      </c>
      <c r="X93" s="14">
        <f>IF(AND(X$5-$A93&gt;=0,X$5-$A93&lt;=19),INDEX(HU_ord,X$5-$A93+1)*$B93,0)</f>
        <v>0.0</v>
      </c>
      <c r="Y93" s="14">
        <f>IF(AND(Y$5-$A93&gt;=0,Y$5-$A93&lt;=19),INDEX(HU_ord,Y$5-$A93+1)*$B93,0)</f>
        <v>0.0</v>
      </c>
      <c r="Z93" s="14">
        <f>IF(AND(Z$5-$A93&gt;=0,Z$5-$A93&lt;=19),INDEX(HU_ord,Z$5-$A93+1)*$B93,0)</f>
        <v>0.0</v>
      </c>
      <c r="AA93" s="14">
        <f>IF(AND(AA$5-$A93&gt;=0,AA$5-$A93&lt;=19),INDEX(HU_ord,AA$5-$A93+1)*$B93,0)</f>
        <v>0.0</v>
      </c>
      <c r="AB93" s="14">
        <f>IF(AND(AB$5-$A93&gt;=0,AB$5-$A93&lt;=19),INDEX(HU_ord,AB$5-$A93+1)*$B93,0)</f>
        <v>0.0</v>
      </c>
      <c r="AC93" s="14">
        <f>IF(AND(AC$5-$A93&gt;=0,AC$5-$A93&lt;=19),INDEX(HU_ord,AC$5-$A93+1)*$B93,0)</f>
        <v>0.0</v>
      </c>
      <c r="AD93" s="14">
        <f>IF(AND(AD$5-$A93&gt;=0,AD$5-$A93&lt;=19),INDEX(HU_ord,AD$5-$A93+1)*$B93,0)</f>
        <v>0.0</v>
      </c>
      <c r="AE93" s="14">
        <f>IF(AND(AE$5-$A93&gt;=0,AE$5-$A93&lt;=19),INDEX(HU_ord,AE$5-$A93+1)*$B93,0)</f>
        <v>0.0</v>
      </c>
      <c r="AF93" s="14">
        <f>IF(AND(AF$5-$A93&gt;=0,AF$5-$A93&lt;=19),INDEX(HU_ord,AF$5-$A93+1)*$B93,0)</f>
        <v>0.0</v>
      </c>
      <c r="AG93" s="14">
        <f>IF(AND(AG$5-$A93&gt;=0,AG$5-$A93&lt;=19),INDEX(HU_ord,AG$5-$A93+1)*$B93,0)</f>
        <v>0.0</v>
      </c>
      <c r="AH93" s="14">
        <f>IF(AND(AH$5-$A93&gt;=0,AH$5-$A93&lt;=19),INDEX(HU_ord,AH$5-$A93+1)*$B93,0)</f>
        <v>0.0</v>
      </c>
      <c r="AI93" s="14">
        <f>IF(AND(AI$5-$A93&gt;=0,AI$5-$A93&lt;=19),INDEX(HU_ord,AI$5-$A93+1)*$B93,0)</f>
        <v>0.0</v>
      </c>
      <c r="AJ93" s="14">
        <f>IF(AND(AJ$5-$A93&gt;=0,AJ$5-$A93&lt;=19),INDEX(HU_ord,AJ$5-$A93+1)*$B93,0)</f>
        <v>0.0</v>
      </c>
      <c r="AK93" s="14">
        <f>IF(AND(AK$5-$A93&gt;=0,AK$5-$A93&lt;=19),INDEX(HU_ord,AK$5-$A93+1)*$B93,0)</f>
        <v>0.0</v>
      </c>
      <c r="AL93" s="14">
        <f>IF(AND(AL$5-$A93&gt;=0,AL$5-$A93&lt;=19),INDEX(HU_ord,AL$5-$A93+1)*$B93,0)</f>
        <v>0.0</v>
      </c>
      <c r="AM93" s="14">
        <f>IF(AND(AM$5-$A93&gt;=0,AM$5-$A93&lt;=19),INDEX(HU_ord,AM$5-$A93+1)*$B93,0)</f>
        <v>0.0</v>
      </c>
      <c r="AN93" s="14">
        <f>IF(AND(AN$5-$A93&gt;=0,AN$5-$A93&lt;=19),INDEX(HU_ord,AN$5-$A93+1)*$B93,0)</f>
        <v>0.0</v>
      </c>
      <c r="AO93" s="14">
        <f>IF(AND(AO$5-$A93&gt;=0,AO$5-$A93&lt;=19),INDEX(HU_ord,AO$5-$A93+1)*$B93,0)</f>
        <v>0.0</v>
      </c>
      <c r="AP93" s="14">
        <f>IF(AND(AP$5-$A93&gt;=0,AP$5-$A93&lt;=19),INDEX(HU_ord,AP$5-$A93+1)*$B93,0)</f>
        <v>0.0</v>
      </c>
      <c r="AQ93" s="14">
        <f>IF(AND(AQ$5-$A93&gt;=0,AQ$5-$A93&lt;=19),INDEX(HU_ord,AQ$5-$A93+1)*$B93,0)</f>
        <v>0.0</v>
      </c>
      <c r="AR93" s="14">
        <f>IF(AND(AR$5-$A93&gt;=0,AR$5-$A93&lt;=19),INDEX(HU_ord,AR$5-$A93+1)*$B93,0)</f>
        <v>0.0</v>
      </c>
      <c r="AS93" s="14">
        <f>IF(AND(AS$5-$A93&gt;=0,AS$5-$A93&lt;=19),INDEX(HU_ord,AS$5-$A93+1)*$B93,0)</f>
        <v>0.0</v>
      </c>
      <c r="AT93" s="14">
        <f>IF(AND(AT$5-$A93&gt;=0,AT$5-$A93&lt;=19),INDEX(HU_ord,AT$5-$A93+1)*$B93,0)</f>
        <v>0.0</v>
      </c>
      <c r="AU93" s="14">
        <f>IF(AND(AU$5-$A93&gt;=0,AU$5-$A93&lt;=19),INDEX(HU_ord,AU$5-$A93+1)*$B93,0)</f>
        <v>0.0</v>
      </c>
      <c r="AV93" s="14">
        <f>IF(AND(AV$5-$A93&gt;=0,AV$5-$A93&lt;=19),INDEX(HU_ord,AV$5-$A93+1)*$B93,0)</f>
        <v>0.0</v>
      </c>
      <c r="AW93" s="14">
        <f>IF(AND(AW$5-$A93&gt;=0,AW$5-$A93&lt;=19),INDEX(HU_ord,AW$5-$A93+1)*$B93,0)</f>
        <v>0.0</v>
      </c>
      <c r="AX93" s="14">
        <f>IF(AND(AX$5-$A93&gt;=0,AX$5-$A93&lt;=19),INDEX(HU_ord,AX$5-$A93+1)*$B93,0)</f>
        <v>0.0</v>
      </c>
      <c r="AY93" s="14">
        <f>IF(AND(AY$5-$A93&gt;=0,AY$5-$A93&lt;=19),INDEX(HU_ord,AY$5-$A93+1)*$B93,0)</f>
        <v>0.0</v>
      </c>
      <c r="AZ93" s="14">
        <f>IF(AND(AZ$5-$A93&gt;=0,AZ$5-$A93&lt;=19),INDEX(HU_ord,AZ$5-$A93+1)*$B93,0)</f>
        <v>0.0</v>
      </c>
      <c r="BA93" s="14">
        <f>IF(AND(BA$5-$A93&gt;=0,BA$5-$A93&lt;=19),INDEX(HU_ord,BA$5-$A93+1)*$B93,0)</f>
        <v>0.0</v>
      </c>
      <c r="BB93" s="14">
        <f>IF(AND(BB$5-$A93&gt;=0,BB$5-$A93&lt;=19),INDEX(HU_ord,BB$5-$A93+1)*$B93,0)</f>
        <v>0.0</v>
      </c>
      <c r="BC93" s="14">
        <f>IF(AND(BC$5-$A93&gt;=0,BC$5-$A93&lt;=19),INDEX(HU_ord,BC$5-$A93+1)*$B93,0)</f>
        <v>0.0</v>
      </c>
      <c r="BD93" s="14">
        <f>IF(AND(BD$5-$A93&gt;=0,BD$5-$A93&lt;=19),INDEX(HU_ord,BD$5-$A93+1)*$B93,0)</f>
        <v>0.0</v>
      </c>
      <c r="BE93" s="14">
        <f>IF(AND(BE$5-$A93&gt;=0,BE$5-$A93&lt;=19),INDEX(HU_ord,BE$5-$A93+1)*$B93,0)</f>
        <v>0.0</v>
      </c>
      <c r="BF93" s="14">
        <f>IF(AND(BF$5-$A93&gt;=0,BF$5-$A93&lt;=19),INDEX(HU_ord,BF$5-$A93+1)*$B93,0)</f>
        <v>0.0</v>
      </c>
      <c r="BG93" s="14">
        <f>IF(AND(BG$5-$A93&gt;=0,BG$5-$A93&lt;=19),INDEX(HU_ord,BG$5-$A93+1)*$B93,0)</f>
        <v>0.0</v>
      </c>
      <c r="BH93" s="14">
        <f>IF(AND(BH$5-$A93&gt;=0,BH$5-$A93&lt;=19),INDEX(HU_ord,BH$5-$A93+1)*$B93,0)</f>
        <v>0.0</v>
      </c>
      <c r="BI93" s="14">
        <f>IF(AND(BI$5-$A93&gt;=0,BI$5-$A93&lt;=19),INDEX(HU_ord,BI$5-$A93+1)*$B93,0)</f>
        <v>0.0</v>
      </c>
      <c r="BJ93" s="14">
        <f>IF(AND(BJ$5-$A93&gt;=0,BJ$5-$A93&lt;=19),INDEX(HU_ord,BJ$5-$A93+1)*$B93,0)</f>
        <v>0.0</v>
      </c>
      <c r="BK93" s="14">
        <f>IF(AND(BK$5-$A93&gt;=0,BK$5-$A93&lt;=19),INDEX(HU_ord,BK$5-$A93+1)*$B93,0)</f>
        <v>0.0</v>
      </c>
      <c r="BL93" s="14">
        <f>IF(AND(BL$5-$A93&gt;=0,BL$5-$A93&lt;=19),INDEX(HU_ord,BL$5-$A93+1)*$B93,0)</f>
        <v>0.0</v>
      </c>
      <c r="BM93" s="14">
        <f>IF(AND(BM$5-$A93&gt;=0,BM$5-$A93&lt;=19),INDEX(HU_ord,BM$5-$A93+1)*$B93,0)</f>
        <v>0.0</v>
      </c>
      <c r="BN93" s="14">
        <f>IF(AND(BN$5-$A93&gt;=0,BN$5-$A93&lt;=19),INDEX(HU_ord,BN$5-$A93+1)*$B93,0)</f>
        <v>0.0</v>
      </c>
      <c r="BO93" s="14">
        <f>IF(AND(BO$5-$A93&gt;=0,BO$5-$A93&lt;=19),INDEX(HU_ord,BO$5-$A93+1)*$B93,0)</f>
        <v>0.0</v>
      </c>
      <c r="BP93" s="14">
        <f>IF(AND(BP$5-$A93&gt;=0,BP$5-$A93&lt;=19),INDEX(HU_ord,BP$5-$A93+1)*$B93,0)</f>
        <v>0.0</v>
      </c>
      <c r="BQ93" s="14">
        <f>IF(AND(BQ$5-$A93&gt;=0,BQ$5-$A93&lt;=19),INDEX(HU_ord,BQ$5-$A93+1)*$B93,0)</f>
        <v>0.0</v>
      </c>
      <c r="BR93" s="14">
        <f>IF(AND(BR$5-$A93&gt;=0,BR$5-$A93&lt;=19),INDEX(HU_ord,BR$5-$A93+1)*$B93,0)</f>
        <v>0.0</v>
      </c>
      <c r="BS93" s="14">
        <f>IF(AND(BS$5-$A93&gt;=0,BS$5-$A93&lt;=19),INDEX(HU_ord,BS$5-$A93+1)*$B93,0)</f>
        <v>0.0</v>
      </c>
      <c r="BT93" s="14">
        <f>IF(AND(BT$5-$A93&gt;=0,BT$5-$A93&lt;=19),INDEX(HU_ord,BT$5-$A93+1)*$B93,0)</f>
        <v>0.0</v>
      </c>
      <c r="BU93" s="14">
        <f>IF(AND(BU$5-$A93&gt;=0,BU$5-$A93&lt;=19),INDEX(HU_ord,BU$5-$A93+1)*$B93,0)</f>
        <v>0.0</v>
      </c>
      <c r="BV93" s="14">
        <f>IF(AND(BV$5-$A93&gt;=0,BV$5-$A93&lt;=19),INDEX(HU_ord,BV$5-$A93+1)*$B93,0)</f>
        <v>0.0</v>
      </c>
      <c r="BW93" s="14">
        <f>IF(AND(BW$5-$A93&gt;=0,BW$5-$A93&lt;=19),INDEX(HU_ord,BW$5-$A93+1)*$B93,0)</f>
        <v>0.0</v>
      </c>
      <c r="BX93" s="14">
        <f>IF(AND(BX$5-$A93&gt;=0,BX$5-$A93&lt;=19),INDEX(HU_ord,BX$5-$A93+1)*$B93,0)</f>
        <v>0.0</v>
      </c>
      <c r="BY93" s="14">
        <f>IF(AND(BY$5-$A93&gt;=0,BY$5-$A93&lt;=19),INDEX(HU_ord,BY$5-$A93+1)*$B93,0)</f>
        <v>0.0</v>
      </c>
      <c r="BZ93" s="14">
        <f>IF(AND(BZ$5-$A93&gt;=0,BZ$5-$A93&lt;=19),INDEX(HU_ord,BZ$5-$A93+1)*$B93,0)</f>
        <v>0.0</v>
      </c>
      <c r="CA93" s="14">
        <f>IF(AND(CA$5-$A93&gt;=0,CA$5-$A93&lt;=19),INDEX(HU_ord,CA$5-$A93+1)*$B93,0)</f>
        <v>0.0</v>
      </c>
      <c r="CB93" s="14">
        <f>IF(AND(CB$5-$A93&gt;=0,CB$5-$A93&lt;=19),INDEX(HU_ord,CB$5-$A93+1)*$B93,0)</f>
        <v>0.0</v>
      </c>
      <c r="CC93" s="14">
        <f>IF(AND(CC$5-$A93&gt;=0,CC$5-$A93&lt;=19),INDEX(HU_ord,CC$5-$A93+1)*$B93,0)</f>
        <v>0.0</v>
      </c>
      <c r="CD93" s="14">
        <f>IF(AND(CD$5-$A93&gt;=0,CD$5-$A93&lt;=19),INDEX(HU_ord,CD$5-$A93+1)*$B93,0)</f>
        <v>0.0</v>
      </c>
      <c r="CE93" s="14">
        <f>IF(AND(CE$5-$A93&gt;=0,CE$5-$A93&lt;=19),INDEX(HU_ord,CE$5-$A93+1)*$B93,0)</f>
        <v>0.0</v>
      </c>
      <c r="CF93" s="14">
        <f>IF(AND(CF$5-$A93&gt;=0,CF$5-$A93&lt;=19),INDEX(HU_ord,CF$5-$A93+1)*$B93,0)</f>
        <v>0.0</v>
      </c>
      <c r="CG93" s="14">
        <f>IF(AND(CG$5-$A93&gt;=0,CG$5-$A93&lt;=19),INDEX(HU_ord,CG$5-$A93+1)*$B93,0)</f>
        <v>0.0</v>
      </c>
      <c r="CH93" s="14">
        <f>IF(AND(CH$5-$A93&gt;=0,CH$5-$A93&lt;=19),INDEX(HU_ord,CH$5-$A93+1)*$B93,0)</f>
        <v>0.0</v>
      </c>
      <c r="CI93" s="14">
        <f>IF(AND(CI$5-$A93&gt;=0,CI$5-$A93&lt;=19),INDEX(HU_ord,CI$5-$A93+1)*$B93,0)</f>
        <v>0.0</v>
      </c>
      <c r="CJ93" s="14">
        <f>IF(AND(CJ$5-$A93&gt;=0,CJ$5-$A93&lt;=19),INDEX(HU_ord,CJ$5-$A93+1)*$B93,0)</f>
        <v>0.0</v>
      </c>
      <c r="CK93" s="14">
        <f>IF(AND(CK$5-$A93&gt;=0,CK$5-$A93&lt;=19),INDEX(HU_ord,CK$5-$A93+1)*$B93,0)</f>
        <v>0.0</v>
      </c>
      <c r="CL93" s="14">
        <f>IF(AND(CL$5-$A93&gt;=0,CL$5-$A93&lt;=19),INDEX(HU_ord,CL$5-$A93+1)*$B93,0)</f>
        <v>0.0</v>
      </c>
      <c r="CM93" s="14">
        <f>IF(AND(CM$5-$A93&gt;=0,CM$5-$A93&lt;=19),INDEX(HU_ord,CM$5-$A93+1)*$B93,0)</f>
        <v>0.0</v>
      </c>
      <c r="CN93" s="14">
        <f>IF(AND(CN$5-$A93&gt;=0,CN$5-$A93&lt;=19),INDEX(HU_ord,CN$5-$A93+1)*$B93,0)</f>
        <v>0.0</v>
      </c>
      <c r="CO93" s="14">
        <f>IF(AND(CO$5-$A93&gt;=0,CO$5-$A93&lt;=19),INDEX(HU_ord,CO$5-$A93+1)*$B93,0)</f>
        <v>0.0</v>
      </c>
      <c r="CP93" s="14">
        <f>IF(AND(CP$5-$A93&gt;=0,CP$5-$A93&lt;=19),INDEX(HU_ord,CP$5-$A93+1)*$B93,0)</f>
        <v>0.0</v>
      </c>
      <c r="CQ93" s="14">
        <f>IF(AND(CQ$5-$A93&gt;=0,CQ$5-$A93&lt;=19),INDEX(HU_ord,CQ$5-$A93+1)*$B93,0)</f>
        <v>0.0</v>
      </c>
      <c r="CR93" s="14">
        <f>IF(AND(CR$5-$A93&gt;=0,CR$5-$A93&lt;=19),INDEX(HU_ord,CR$5-$A93+1)*$B93,0)</f>
        <v>0.0</v>
      </c>
      <c r="CS93" s="14">
        <f>IF(AND(CS$5-$A93&gt;=0,CS$5-$A93&lt;=19),INDEX(HU_ord,CS$5-$A93+1)*$B93,0)</f>
        <v>0.0</v>
      </c>
      <c r="CT93" s="14">
        <f>IF(AND(CT$5-$A93&gt;=0,CT$5-$A93&lt;=19),INDEX(HU_ord,CT$5-$A93+1)*$B93,0)</f>
        <v>0.0</v>
      </c>
      <c r="CU93" s="14">
        <f>IF(AND(CU$5-$A93&gt;=0,CU$5-$A93&lt;=19),INDEX(HU_ord,CU$5-$A93+1)*$B93,0)</f>
        <v>0.0</v>
      </c>
      <c r="CV93" s="14">
        <f>IF(AND(CV$5-$A93&gt;=0,CV$5-$A93&lt;=19),INDEX(HU_ord,CV$5-$A93+1)*$B93,0)</f>
        <v>0.0</v>
      </c>
      <c r="CW93" s="14">
        <f>IF(AND(CW$5-$A93&gt;=0,CW$5-$A93&lt;=19),INDEX(HU_ord,CW$5-$A93+1)*$B93,0)</f>
        <v>0.0</v>
      </c>
      <c r="CX93" s="14">
        <f>IF(AND(CX$5-$A93&gt;=0,CX$5-$A93&lt;=19),INDEX(HU_ord,CX$5-$A93+1)*$B93,0)</f>
        <v>0.0</v>
      </c>
      <c r="CY93" s="14">
        <f>IF(AND(CY$5-$A93&gt;=0,CY$5-$A93&lt;=19),INDEX(HU_ord,CY$5-$A93+1)*$B93,0)</f>
        <v>0.0</v>
      </c>
      <c r="CZ93" s="14">
        <f>IF(AND(CZ$5-$A93&gt;=0,CZ$5-$A93&lt;=19),INDEX(HU_ord,CZ$5-$A93+1)*$B93,0)</f>
        <v>0.0</v>
      </c>
      <c r="DA93" s="14">
        <f>IF(AND(DA$5-$A93&gt;=0,DA$5-$A93&lt;=19),INDEX(HU_ord,DA$5-$A93+1)*$B93,0)</f>
        <v>0.0</v>
      </c>
      <c r="DB93" s="14">
        <f>IF(AND(DB$5-$A93&gt;=0,DB$5-$A93&lt;=19),INDEX(HU_ord,DB$5-$A93+1)*$B93,0)</f>
        <v>0.0</v>
      </c>
      <c r="DC93" s="14">
        <f>IF(AND(DC$5-$A93&gt;=0,DC$5-$A93&lt;=19),INDEX(HU_ord,DC$5-$A93+1)*$B93,0)</f>
        <v>0.0</v>
      </c>
      <c r="DD93" s="14">
        <f>IF(AND(DD$5-$A93&gt;=0,DD$5-$A93&lt;=19),INDEX(HU_ord,DD$5-$A93+1)*$B93,0)</f>
        <v>0.0</v>
      </c>
      <c r="DE93" s="14">
        <f>IF(AND(DE$5-$A93&gt;=0,DE$5-$A93&lt;=19),INDEX(HU_ord,DE$5-$A93+1)*$B93,0)</f>
        <v>0.0</v>
      </c>
      <c r="DF93" s="14">
        <f>IF(AND(DF$5-$A93&gt;=0,DF$5-$A93&lt;=19),INDEX(HU_ord,DF$5-$A93+1)*$B93,0)</f>
        <v>0.0</v>
      </c>
      <c r="DG93" s="14">
        <f>IF(AND(DG$5-$A93&gt;=0,DG$5-$A93&lt;=19),INDEX(HU_ord,DG$5-$A93+1)*$B93,0)</f>
        <v>0.0</v>
      </c>
      <c r="DH93" s="14">
        <f>IF(AND(DH$5-$A93&gt;=0,DH$5-$A93&lt;=19),INDEX(HU_ord,DH$5-$A93+1)*$B93,0)</f>
        <v>0.0</v>
      </c>
      <c r="DI93" s="14">
        <f>IF(AND(DI$5-$A93&gt;=0,DI$5-$A93&lt;=19),INDEX(HU_ord,DI$5-$A93+1)*$B93,0)</f>
        <v>0.0</v>
      </c>
    </row>
    <row r="94" spans="1:113">
      <c r="A94">
        <v>88</v>
      </c>
      <c r="B94" s="10">
        <f>Serie_horaria!N90</f>
        <v>0.004832313632169338</v>
      </c>
      <c r="C94" s="14">
        <f>IF(AND(C$5-$A94&gt;=0,C$5-$A94&lt;=19),INDEX(HU_ord,C$5-$A94+1)*$B94,0)</f>
        <v>0.0</v>
      </c>
      <c r="D94" s="14">
        <f>IF(AND(D$5-$A94&gt;=0,D$5-$A94&lt;=19),INDEX(HU_ord,D$5-$A94+1)*$B94,0)</f>
        <v>0.0</v>
      </c>
      <c r="E94" s="14">
        <f>IF(AND(E$5-$A94&gt;=0,E$5-$A94&lt;=19),INDEX(HU_ord,E$5-$A94+1)*$B94,0)</f>
        <v>0.0</v>
      </c>
      <c r="F94" s="14">
        <f>IF(AND(F$5-$A94&gt;=0,F$5-$A94&lt;=19),INDEX(HU_ord,F$5-$A94+1)*$B94,0)</f>
        <v>0.0</v>
      </c>
      <c r="G94" s="14">
        <f>IF(AND(G$5-$A94&gt;=0,G$5-$A94&lt;=19),INDEX(HU_ord,G$5-$A94+1)*$B94,0)</f>
        <v>0.0</v>
      </c>
      <c r="H94" s="14">
        <f>IF(AND(H$5-$A94&gt;=0,H$5-$A94&lt;=19),INDEX(HU_ord,H$5-$A94+1)*$B94,0)</f>
        <v>0.0</v>
      </c>
      <c r="I94" s="14">
        <f>IF(AND(I$5-$A94&gt;=0,I$5-$A94&lt;=19),INDEX(HU_ord,I$5-$A94+1)*$B94,0)</f>
        <v>0.0</v>
      </c>
      <c r="J94" s="14">
        <f>IF(AND(J$5-$A94&gt;=0,J$5-$A94&lt;=19),INDEX(HU_ord,J$5-$A94+1)*$B94,0)</f>
        <v>0.0</v>
      </c>
      <c r="K94" s="14">
        <f>IF(AND(K$5-$A94&gt;=0,K$5-$A94&lt;=19),INDEX(HU_ord,K$5-$A94+1)*$B94,0)</f>
        <v>0.0</v>
      </c>
      <c r="L94" s="14">
        <f>IF(AND(L$5-$A94&gt;=0,L$5-$A94&lt;=19),INDEX(HU_ord,L$5-$A94+1)*$B94,0)</f>
        <v>0.0</v>
      </c>
      <c r="M94" s="14">
        <f>IF(AND(M$5-$A94&gt;=0,M$5-$A94&lt;=19),INDEX(HU_ord,M$5-$A94+1)*$B94,0)</f>
        <v>0.0</v>
      </c>
      <c r="N94" s="14">
        <f>IF(AND(N$5-$A94&gt;=0,N$5-$A94&lt;=19),INDEX(HU_ord,N$5-$A94+1)*$B94,0)</f>
        <v>0.0</v>
      </c>
      <c r="O94" s="14">
        <f>IF(AND(O$5-$A94&gt;=0,O$5-$A94&lt;=19),INDEX(HU_ord,O$5-$A94+1)*$B94,0)</f>
        <v>0.0</v>
      </c>
      <c r="P94" s="14">
        <f>IF(AND(P$5-$A94&gt;=0,P$5-$A94&lt;=19),INDEX(HU_ord,P$5-$A94+1)*$B94,0)</f>
        <v>0.0</v>
      </c>
      <c r="Q94" s="14">
        <f>IF(AND(Q$5-$A94&gt;=0,Q$5-$A94&lt;=19),INDEX(HU_ord,Q$5-$A94+1)*$B94,0)</f>
        <v>0.0</v>
      </c>
      <c r="R94" s="14">
        <f>IF(AND(R$5-$A94&gt;=0,R$5-$A94&lt;=19),INDEX(HU_ord,R$5-$A94+1)*$B94,0)</f>
        <v>0.0</v>
      </c>
      <c r="S94" s="14">
        <f>IF(AND(S$5-$A94&gt;=0,S$5-$A94&lt;=19),INDEX(HU_ord,S$5-$A94+1)*$B94,0)</f>
        <v>0.0</v>
      </c>
      <c r="T94" s="14">
        <f>IF(AND(T$5-$A94&gt;=0,T$5-$A94&lt;=19),INDEX(HU_ord,T$5-$A94+1)*$B94,0)</f>
        <v>0.0</v>
      </c>
      <c r="U94" s="14">
        <f>IF(AND(U$5-$A94&gt;=0,U$5-$A94&lt;=19),INDEX(HU_ord,U$5-$A94+1)*$B94,0)</f>
        <v>0.0</v>
      </c>
      <c r="V94" s="14">
        <f>IF(AND(V$5-$A94&gt;=0,V$5-$A94&lt;=19),INDEX(HU_ord,V$5-$A94+1)*$B94,0)</f>
        <v>0.0</v>
      </c>
      <c r="W94" s="14">
        <f>IF(AND(W$5-$A94&gt;=0,W$5-$A94&lt;=19),INDEX(HU_ord,W$5-$A94+1)*$B94,0)</f>
        <v>0.0</v>
      </c>
      <c r="X94" s="14">
        <f>IF(AND(X$5-$A94&gt;=0,X$5-$A94&lt;=19),INDEX(HU_ord,X$5-$A94+1)*$B94,0)</f>
        <v>0.0</v>
      </c>
      <c r="Y94" s="14">
        <f>IF(AND(Y$5-$A94&gt;=0,Y$5-$A94&lt;=19),INDEX(HU_ord,Y$5-$A94+1)*$B94,0)</f>
        <v>0.0</v>
      </c>
      <c r="Z94" s="14">
        <f>IF(AND(Z$5-$A94&gt;=0,Z$5-$A94&lt;=19),INDEX(HU_ord,Z$5-$A94+1)*$B94,0)</f>
        <v>0.0</v>
      </c>
      <c r="AA94" s="14">
        <f>IF(AND(AA$5-$A94&gt;=0,AA$5-$A94&lt;=19),INDEX(HU_ord,AA$5-$A94+1)*$B94,0)</f>
        <v>0.0</v>
      </c>
      <c r="AB94" s="14">
        <f>IF(AND(AB$5-$A94&gt;=0,AB$5-$A94&lt;=19),INDEX(HU_ord,AB$5-$A94+1)*$B94,0)</f>
        <v>0.0</v>
      </c>
      <c r="AC94" s="14">
        <f>IF(AND(AC$5-$A94&gt;=0,AC$5-$A94&lt;=19),INDEX(HU_ord,AC$5-$A94+1)*$B94,0)</f>
        <v>0.0</v>
      </c>
      <c r="AD94" s="14">
        <f>IF(AND(AD$5-$A94&gt;=0,AD$5-$A94&lt;=19),INDEX(HU_ord,AD$5-$A94+1)*$B94,0)</f>
        <v>0.0</v>
      </c>
      <c r="AE94" s="14">
        <f>IF(AND(AE$5-$A94&gt;=0,AE$5-$A94&lt;=19),INDEX(HU_ord,AE$5-$A94+1)*$B94,0)</f>
        <v>0.0</v>
      </c>
      <c r="AF94" s="14">
        <f>IF(AND(AF$5-$A94&gt;=0,AF$5-$A94&lt;=19),INDEX(HU_ord,AF$5-$A94+1)*$B94,0)</f>
        <v>0.0</v>
      </c>
      <c r="AG94" s="14">
        <f>IF(AND(AG$5-$A94&gt;=0,AG$5-$A94&lt;=19),INDEX(HU_ord,AG$5-$A94+1)*$B94,0)</f>
        <v>0.0</v>
      </c>
      <c r="AH94" s="14">
        <f>IF(AND(AH$5-$A94&gt;=0,AH$5-$A94&lt;=19),INDEX(HU_ord,AH$5-$A94+1)*$B94,0)</f>
        <v>0.0</v>
      </c>
      <c r="AI94" s="14">
        <f>IF(AND(AI$5-$A94&gt;=0,AI$5-$A94&lt;=19),INDEX(HU_ord,AI$5-$A94+1)*$B94,0)</f>
        <v>0.0</v>
      </c>
      <c r="AJ94" s="14">
        <f>IF(AND(AJ$5-$A94&gt;=0,AJ$5-$A94&lt;=19),INDEX(HU_ord,AJ$5-$A94+1)*$B94,0)</f>
        <v>0.0</v>
      </c>
      <c r="AK94" s="14">
        <f>IF(AND(AK$5-$A94&gt;=0,AK$5-$A94&lt;=19),INDEX(HU_ord,AK$5-$A94+1)*$B94,0)</f>
        <v>0.0</v>
      </c>
      <c r="AL94" s="14">
        <f>IF(AND(AL$5-$A94&gt;=0,AL$5-$A94&lt;=19),INDEX(HU_ord,AL$5-$A94+1)*$B94,0)</f>
        <v>0.0</v>
      </c>
      <c r="AM94" s="14">
        <f>IF(AND(AM$5-$A94&gt;=0,AM$5-$A94&lt;=19),INDEX(HU_ord,AM$5-$A94+1)*$B94,0)</f>
        <v>0.0</v>
      </c>
      <c r="AN94" s="14">
        <f>IF(AND(AN$5-$A94&gt;=0,AN$5-$A94&lt;=19),INDEX(HU_ord,AN$5-$A94+1)*$B94,0)</f>
        <v>0.0</v>
      </c>
      <c r="AO94" s="14">
        <f>IF(AND(AO$5-$A94&gt;=0,AO$5-$A94&lt;=19),INDEX(HU_ord,AO$5-$A94+1)*$B94,0)</f>
        <v>0.0</v>
      </c>
      <c r="AP94" s="14">
        <f>IF(AND(AP$5-$A94&gt;=0,AP$5-$A94&lt;=19),INDEX(HU_ord,AP$5-$A94+1)*$B94,0)</f>
        <v>0.0</v>
      </c>
      <c r="AQ94" s="14">
        <f>IF(AND(AQ$5-$A94&gt;=0,AQ$5-$A94&lt;=19),INDEX(HU_ord,AQ$5-$A94+1)*$B94,0)</f>
        <v>0.0</v>
      </c>
      <c r="AR94" s="14">
        <f>IF(AND(AR$5-$A94&gt;=0,AR$5-$A94&lt;=19),INDEX(HU_ord,AR$5-$A94+1)*$B94,0)</f>
        <v>0.0</v>
      </c>
      <c r="AS94" s="14">
        <f>IF(AND(AS$5-$A94&gt;=0,AS$5-$A94&lt;=19),INDEX(HU_ord,AS$5-$A94+1)*$B94,0)</f>
        <v>0.0</v>
      </c>
      <c r="AT94" s="14">
        <f>IF(AND(AT$5-$A94&gt;=0,AT$5-$A94&lt;=19),INDEX(HU_ord,AT$5-$A94+1)*$B94,0)</f>
        <v>0.0</v>
      </c>
      <c r="AU94" s="14">
        <f>IF(AND(AU$5-$A94&gt;=0,AU$5-$A94&lt;=19),INDEX(HU_ord,AU$5-$A94+1)*$B94,0)</f>
        <v>0.0</v>
      </c>
      <c r="AV94" s="14">
        <f>IF(AND(AV$5-$A94&gt;=0,AV$5-$A94&lt;=19),INDEX(HU_ord,AV$5-$A94+1)*$B94,0)</f>
        <v>0.0</v>
      </c>
      <c r="AW94" s="14">
        <f>IF(AND(AW$5-$A94&gt;=0,AW$5-$A94&lt;=19),INDEX(HU_ord,AW$5-$A94+1)*$B94,0)</f>
        <v>0.0</v>
      </c>
      <c r="AX94" s="14">
        <f>IF(AND(AX$5-$A94&gt;=0,AX$5-$A94&lt;=19),INDEX(HU_ord,AX$5-$A94+1)*$B94,0)</f>
        <v>0.0</v>
      </c>
      <c r="AY94" s="14">
        <f>IF(AND(AY$5-$A94&gt;=0,AY$5-$A94&lt;=19),INDEX(HU_ord,AY$5-$A94+1)*$B94,0)</f>
        <v>0.0</v>
      </c>
      <c r="AZ94" s="14">
        <f>IF(AND(AZ$5-$A94&gt;=0,AZ$5-$A94&lt;=19),INDEX(HU_ord,AZ$5-$A94+1)*$B94,0)</f>
        <v>0.0</v>
      </c>
      <c r="BA94" s="14">
        <f>IF(AND(BA$5-$A94&gt;=0,BA$5-$A94&lt;=19),INDEX(HU_ord,BA$5-$A94+1)*$B94,0)</f>
        <v>0.0</v>
      </c>
      <c r="BB94" s="14">
        <f>IF(AND(BB$5-$A94&gt;=0,BB$5-$A94&lt;=19),INDEX(HU_ord,BB$5-$A94+1)*$B94,0)</f>
        <v>0.0</v>
      </c>
      <c r="BC94" s="14">
        <f>IF(AND(BC$5-$A94&gt;=0,BC$5-$A94&lt;=19),INDEX(HU_ord,BC$5-$A94+1)*$B94,0)</f>
        <v>0.0</v>
      </c>
      <c r="BD94" s="14">
        <f>IF(AND(BD$5-$A94&gt;=0,BD$5-$A94&lt;=19),INDEX(HU_ord,BD$5-$A94+1)*$B94,0)</f>
        <v>0.0</v>
      </c>
      <c r="BE94" s="14">
        <f>IF(AND(BE$5-$A94&gt;=0,BE$5-$A94&lt;=19),INDEX(HU_ord,BE$5-$A94+1)*$B94,0)</f>
        <v>0.0</v>
      </c>
      <c r="BF94" s="14">
        <f>IF(AND(BF$5-$A94&gt;=0,BF$5-$A94&lt;=19),INDEX(HU_ord,BF$5-$A94+1)*$B94,0)</f>
        <v>0.0</v>
      </c>
      <c r="BG94" s="14">
        <f>IF(AND(BG$5-$A94&gt;=0,BG$5-$A94&lt;=19),INDEX(HU_ord,BG$5-$A94+1)*$B94,0)</f>
        <v>0.0</v>
      </c>
      <c r="BH94" s="14">
        <f>IF(AND(BH$5-$A94&gt;=0,BH$5-$A94&lt;=19),INDEX(HU_ord,BH$5-$A94+1)*$B94,0)</f>
        <v>0.0</v>
      </c>
      <c r="BI94" s="14">
        <f>IF(AND(BI$5-$A94&gt;=0,BI$5-$A94&lt;=19),INDEX(HU_ord,BI$5-$A94+1)*$B94,0)</f>
        <v>0.0</v>
      </c>
      <c r="BJ94" s="14">
        <f>IF(AND(BJ$5-$A94&gt;=0,BJ$5-$A94&lt;=19),INDEX(HU_ord,BJ$5-$A94+1)*$B94,0)</f>
        <v>0.0</v>
      </c>
      <c r="BK94" s="14">
        <f>IF(AND(BK$5-$A94&gt;=0,BK$5-$A94&lt;=19),INDEX(HU_ord,BK$5-$A94+1)*$B94,0)</f>
        <v>0.0</v>
      </c>
      <c r="BL94" s="14">
        <f>IF(AND(BL$5-$A94&gt;=0,BL$5-$A94&lt;=19),INDEX(HU_ord,BL$5-$A94+1)*$B94,0)</f>
        <v>0.0</v>
      </c>
      <c r="BM94" s="14">
        <f>IF(AND(BM$5-$A94&gt;=0,BM$5-$A94&lt;=19),INDEX(HU_ord,BM$5-$A94+1)*$B94,0)</f>
        <v>0.0</v>
      </c>
      <c r="BN94" s="14">
        <f>IF(AND(BN$5-$A94&gt;=0,BN$5-$A94&lt;=19),INDEX(HU_ord,BN$5-$A94+1)*$B94,0)</f>
        <v>0.0</v>
      </c>
      <c r="BO94" s="14">
        <f>IF(AND(BO$5-$A94&gt;=0,BO$5-$A94&lt;=19),INDEX(HU_ord,BO$5-$A94+1)*$B94,0)</f>
        <v>0.0</v>
      </c>
      <c r="BP94" s="14">
        <f>IF(AND(BP$5-$A94&gt;=0,BP$5-$A94&lt;=19),INDEX(HU_ord,BP$5-$A94+1)*$B94,0)</f>
        <v>0.0</v>
      </c>
      <c r="BQ94" s="14">
        <f>IF(AND(BQ$5-$A94&gt;=0,BQ$5-$A94&lt;=19),INDEX(HU_ord,BQ$5-$A94+1)*$B94,0)</f>
        <v>0.0</v>
      </c>
      <c r="BR94" s="14">
        <f>IF(AND(BR$5-$A94&gt;=0,BR$5-$A94&lt;=19),INDEX(HU_ord,BR$5-$A94+1)*$B94,0)</f>
        <v>0.0</v>
      </c>
      <c r="BS94" s="14">
        <f>IF(AND(BS$5-$A94&gt;=0,BS$5-$A94&lt;=19),INDEX(HU_ord,BS$5-$A94+1)*$B94,0)</f>
        <v>0.0</v>
      </c>
      <c r="BT94" s="14">
        <f>IF(AND(BT$5-$A94&gt;=0,BT$5-$A94&lt;=19),INDEX(HU_ord,BT$5-$A94+1)*$B94,0)</f>
        <v>0.0</v>
      </c>
      <c r="BU94" s="14">
        <f>IF(AND(BU$5-$A94&gt;=0,BU$5-$A94&lt;=19),INDEX(HU_ord,BU$5-$A94+1)*$B94,0)</f>
        <v>0.0</v>
      </c>
      <c r="BV94" s="14">
        <f>IF(AND(BV$5-$A94&gt;=0,BV$5-$A94&lt;=19),INDEX(HU_ord,BV$5-$A94+1)*$B94,0)</f>
        <v>0.0</v>
      </c>
      <c r="BW94" s="14">
        <f>IF(AND(BW$5-$A94&gt;=0,BW$5-$A94&lt;=19),INDEX(HU_ord,BW$5-$A94+1)*$B94,0)</f>
        <v>0.0</v>
      </c>
      <c r="BX94" s="14">
        <f>IF(AND(BX$5-$A94&gt;=0,BX$5-$A94&lt;=19),INDEX(HU_ord,BX$5-$A94+1)*$B94,0)</f>
        <v>0.0</v>
      </c>
      <c r="BY94" s="14">
        <f>IF(AND(BY$5-$A94&gt;=0,BY$5-$A94&lt;=19),INDEX(HU_ord,BY$5-$A94+1)*$B94,0)</f>
        <v>0.0</v>
      </c>
      <c r="BZ94" s="14">
        <f>IF(AND(BZ$5-$A94&gt;=0,BZ$5-$A94&lt;=19),INDEX(HU_ord,BZ$5-$A94+1)*$B94,0)</f>
        <v>0.0</v>
      </c>
      <c r="CA94" s="14">
        <f>IF(AND(CA$5-$A94&gt;=0,CA$5-$A94&lt;=19),INDEX(HU_ord,CA$5-$A94+1)*$B94,0)</f>
        <v>0.0</v>
      </c>
      <c r="CB94" s="14">
        <f>IF(AND(CB$5-$A94&gt;=0,CB$5-$A94&lt;=19),INDEX(HU_ord,CB$5-$A94+1)*$B94,0)</f>
        <v>0.0</v>
      </c>
      <c r="CC94" s="14">
        <f>IF(AND(CC$5-$A94&gt;=0,CC$5-$A94&lt;=19),INDEX(HU_ord,CC$5-$A94+1)*$B94,0)</f>
        <v>0.0</v>
      </c>
      <c r="CD94" s="14">
        <f>IF(AND(CD$5-$A94&gt;=0,CD$5-$A94&lt;=19),INDEX(HU_ord,CD$5-$A94+1)*$B94,0)</f>
        <v>0.0</v>
      </c>
      <c r="CE94" s="14">
        <f>IF(AND(CE$5-$A94&gt;=0,CE$5-$A94&lt;=19),INDEX(HU_ord,CE$5-$A94+1)*$B94,0)</f>
        <v>0.0</v>
      </c>
      <c r="CF94" s="14">
        <f>IF(AND(CF$5-$A94&gt;=0,CF$5-$A94&lt;=19),INDEX(HU_ord,CF$5-$A94+1)*$B94,0)</f>
        <v>0.0</v>
      </c>
      <c r="CG94" s="14">
        <f>IF(AND(CG$5-$A94&gt;=0,CG$5-$A94&lt;=19),INDEX(HU_ord,CG$5-$A94+1)*$B94,0)</f>
        <v>0.0</v>
      </c>
      <c r="CH94" s="14">
        <f>IF(AND(CH$5-$A94&gt;=0,CH$5-$A94&lt;=19),INDEX(HU_ord,CH$5-$A94+1)*$B94,0)</f>
        <v>0.0</v>
      </c>
      <c r="CI94" s="14">
        <f>IF(AND(CI$5-$A94&gt;=0,CI$5-$A94&lt;=19),INDEX(HU_ord,CI$5-$A94+1)*$B94,0)</f>
        <v>0.0</v>
      </c>
      <c r="CJ94" s="14">
        <f>IF(AND(CJ$5-$A94&gt;=0,CJ$5-$A94&lt;=19),INDEX(HU_ord,CJ$5-$A94+1)*$B94,0)</f>
        <v>0.0</v>
      </c>
      <c r="CK94" s="14">
        <f>IF(AND(CK$5-$A94&gt;=0,CK$5-$A94&lt;=19),INDEX(HU_ord,CK$5-$A94+1)*$B94,0)</f>
        <v>0.0</v>
      </c>
      <c r="CL94" s="14">
        <f>IF(AND(CL$5-$A94&gt;=0,CL$5-$A94&lt;=19),INDEX(HU_ord,CL$5-$A94+1)*$B94,0)</f>
        <v>0.0</v>
      </c>
      <c r="CM94" s="14">
        <f>IF(AND(CM$5-$A94&gt;=0,CM$5-$A94&lt;=19),INDEX(HU_ord,CM$5-$A94+1)*$B94,0)</f>
        <v>0.0</v>
      </c>
      <c r="CN94" s="14">
        <f>IF(AND(CN$5-$A94&gt;=0,CN$5-$A94&lt;=19),INDEX(HU_ord,CN$5-$A94+1)*$B94,0)</f>
        <v>0.01570535879933239</v>
      </c>
      <c r="CO94" s="14">
        <f>IF(AND(CO$5-$A94&gt;=0,CO$5-$A94&lt;=19),INDEX(HU_ord,CO$5-$A94+1)*$B94,0)</f>
        <v>0.03141071759866478</v>
      </c>
      <c r="CP94" s="14">
        <f>IF(AND(CP$5-$A94&gt;=0,CP$5-$A94&lt;=19),INDEX(HU_ord,CP$5-$A94+1)*$B94,0)</f>
        <v>0.04711607639799718</v>
      </c>
      <c r="CQ94" s="14">
        <f>IF(AND(CQ$5-$A94&gt;=0,CQ$5-$A94&lt;=19),INDEX(HU_ord,CQ$5-$A94+1)*$B94,0)</f>
        <v>0.06282143519732956</v>
      </c>
      <c r="CR94" s="14">
        <f>IF(AND(CR$5-$A94&gt;=0,CR$5-$A94&lt;=19),INDEX(HU_ord,CR$5-$A94+1)*$B94,0)</f>
        <v>0.07852679399666196</v>
      </c>
      <c r="CS94" s="14">
        <f>IF(AND(CS$5-$A94&gt;=0,CS$5-$A94&lt;=19),INDEX(HU_ord,CS$5-$A94+1)*$B94,0)</f>
        <v>0.09423215279599435</v>
      </c>
      <c r="CT94" s="14">
        <f>IF(AND(CT$5-$A94&gt;=0,CT$5-$A94&lt;=19),INDEX(HU_ord,CT$5-$A94+1)*$B94,0)</f>
        <v>0.10720556913438609</v>
      </c>
      <c r="CU94" s="14">
        <f>IF(AND(CU$5-$A94&gt;=0,CU$5-$A94&lt;=19),INDEX(HU_ord,CU$5-$A94+1)*$B94,0)</f>
        <v>0.09780116266772</v>
      </c>
      <c r="CV94" s="14">
        <f>IF(AND(CV$5-$A94&gt;=0,CV$5-$A94&lt;=19),INDEX(HU_ord,CV$5-$A94+1)*$B94,0)</f>
        <v>0.08839675620105389</v>
      </c>
      <c r="CW94" s="14">
        <f>IF(AND(CW$5-$A94&gt;=0,CW$5-$A94&lt;=19),INDEX(HU_ord,CW$5-$A94+1)*$B94,0)</f>
        <v>0.07899234973438778</v>
      </c>
      <c r="CX94" s="14">
        <f>IF(AND(CX$5-$A94&gt;=0,CX$5-$A94&lt;=19),INDEX(HU_ord,CX$5-$A94+1)*$B94,0)</f>
        <v>0.06958794326772168</v>
      </c>
      <c r="CY94" s="14">
        <f>IF(AND(CY$5-$A94&gt;=0,CY$5-$A94&lt;=19),INDEX(HU_ord,CY$5-$A94+1)*$B94,0)</f>
        <v>0.06018353680105557</v>
      </c>
      <c r="CZ94" s="14">
        <f>IF(AND(CZ$5-$A94&gt;=0,CZ$5-$A94&lt;=19),INDEX(HU_ord,CZ$5-$A94+1)*$B94,0)</f>
        <v>0.05077913033438947</v>
      </c>
      <c r="DA94" s="14">
        <f>IF(AND(DA$5-$A94&gt;=0,DA$5-$A94&lt;=19),INDEX(HU_ord,DA$5-$A94+1)*$B94,0)</f>
        <v>0.04137472386772337</v>
      </c>
      <c r="DB94" s="14">
        <f>IF(AND(DB$5-$A94&gt;=0,DB$5-$A94&lt;=19),INDEX(HU_ord,DB$5-$A94+1)*$B94,0)</f>
        <v>0.03197031740105726</v>
      </c>
      <c r="DC94" s="14">
        <f>IF(AND(DC$5-$A94&gt;=0,DC$5-$A94&lt;=19),INDEX(HU_ord,DC$5-$A94+1)*$B94,0)</f>
        <v>0.022565910934391153</v>
      </c>
      <c r="DD94" s="14">
        <f>IF(AND(DD$5-$A94&gt;=0,DD$5-$A94&lt;=19),INDEX(HU_ord,DD$5-$A94+1)*$B94,0)</f>
        <v>0.013161504467725049</v>
      </c>
      <c r="DE94" s="14">
        <f>IF(AND(DE$5-$A94&gt;=0,DE$5-$A94&lt;=19),INDEX(HU_ord,DE$5-$A94+1)*$B94,0)</f>
        <v>0.0037570980010589445</v>
      </c>
      <c r="DF94" s="14">
        <f>IF(AND(DF$5-$A94&gt;=0,DF$5-$A94&lt;=19),INDEX(HU_ord,DF$5-$A94+1)*$B94,0)</f>
        <v>0.0</v>
      </c>
      <c r="DG94" s="14">
        <f>IF(AND(DG$5-$A94&gt;=0,DG$5-$A94&lt;=19),INDEX(HU_ord,DG$5-$A94+1)*$B94,0)</f>
        <v>0.0</v>
      </c>
      <c r="DH94" s="14">
        <f>IF(AND(DH$5-$A94&gt;=0,DH$5-$A94&lt;=19),INDEX(HU_ord,DH$5-$A94+1)*$B94,0)</f>
        <v>0.0</v>
      </c>
      <c r="DI94" s="14">
        <f>IF(AND(DI$5-$A94&gt;=0,DI$5-$A94&lt;=19),INDEX(HU_ord,DI$5-$A94+1)*$B94,0)</f>
        <v>0.0</v>
      </c>
    </row>
    <row r="95" spans="1:113">
      <c r="A95">
        <v>89</v>
      </c>
      <c r="B95" s="10">
        <f>Serie_horaria!N91</f>
        <v>0.0</v>
      </c>
      <c r="C95" s="14">
        <f>IF(AND(C$5-$A95&gt;=0,C$5-$A95&lt;=19),INDEX(HU_ord,C$5-$A95+1)*$B95,0)</f>
        <v>0.0</v>
      </c>
      <c r="D95" s="14">
        <f>IF(AND(D$5-$A95&gt;=0,D$5-$A95&lt;=19),INDEX(HU_ord,D$5-$A95+1)*$B95,0)</f>
        <v>0.0</v>
      </c>
      <c r="E95" s="14">
        <f>IF(AND(E$5-$A95&gt;=0,E$5-$A95&lt;=19),INDEX(HU_ord,E$5-$A95+1)*$B95,0)</f>
        <v>0.0</v>
      </c>
      <c r="F95" s="14">
        <f>IF(AND(F$5-$A95&gt;=0,F$5-$A95&lt;=19),INDEX(HU_ord,F$5-$A95+1)*$B95,0)</f>
        <v>0.0</v>
      </c>
      <c r="G95" s="14">
        <f>IF(AND(G$5-$A95&gt;=0,G$5-$A95&lt;=19),INDEX(HU_ord,G$5-$A95+1)*$B95,0)</f>
        <v>0.0</v>
      </c>
      <c r="H95" s="14">
        <f>IF(AND(H$5-$A95&gt;=0,H$5-$A95&lt;=19),INDEX(HU_ord,H$5-$A95+1)*$B95,0)</f>
        <v>0.0</v>
      </c>
      <c r="I95" s="14">
        <f>IF(AND(I$5-$A95&gt;=0,I$5-$A95&lt;=19),INDEX(HU_ord,I$5-$A95+1)*$B95,0)</f>
        <v>0.0</v>
      </c>
      <c r="J95" s="14">
        <f>IF(AND(J$5-$A95&gt;=0,J$5-$A95&lt;=19),INDEX(HU_ord,J$5-$A95+1)*$B95,0)</f>
        <v>0.0</v>
      </c>
      <c r="K95" s="14">
        <f>IF(AND(K$5-$A95&gt;=0,K$5-$A95&lt;=19),INDEX(HU_ord,K$5-$A95+1)*$B95,0)</f>
        <v>0.0</v>
      </c>
      <c r="L95" s="14">
        <f>IF(AND(L$5-$A95&gt;=0,L$5-$A95&lt;=19),INDEX(HU_ord,L$5-$A95+1)*$B95,0)</f>
        <v>0.0</v>
      </c>
      <c r="M95" s="14">
        <f>IF(AND(M$5-$A95&gt;=0,M$5-$A95&lt;=19),INDEX(HU_ord,M$5-$A95+1)*$B95,0)</f>
        <v>0.0</v>
      </c>
      <c r="N95" s="14">
        <f>IF(AND(N$5-$A95&gt;=0,N$5-$A95&lt;=19),INDEX(HU_ord,N$5-$A95+1)*$B95,0)</f>
        <v>0.0</v>
      </c>
      <c r="O95" s="14">
        <f>IF(AND(O$5-$A95&gt;=0,O$5-$A95&lt;=19),INDEX(HU_ord,O$5-$A95+1)*$B95,0)</f>
        <v>0.0</v>
      </c>
      <c r="P95" s="14">
        <f>IF(AND(P$5-$A95&gt;=0,P$5-$A95&lt;=19),INDEX(HU_ord,P$5-$A95+1)*$B95,0)</f>
        <v>0.0</v>
      </c>
      <c r="Q95" s="14">
        <f>IF(AND(Q$5-$A95&gt;=0,Q$5-$A95&lt;=19),INDEX(HU_ord,Q$5-$A95+1)*$B95,0)</f>
        <v>0.0</v>
      </c>
      <c r="R95" s="14">
        <f>IF(AND(R$5-$A95&gt;=0,R$5-$A95&lt;=19),INDEX(HU_ord,R$5-$A95+1)*$B95,0)</f>
        <v>0.0</v>
      </c>
      <c r="S95" s="14">
        <f>IF(AND(S$5-$A95&gt;=0,S$5-$A95&lt;=19),INDEX(HU_ord,S$5-$A95+1)*$B95,0)</f>
        <v>0.0</v>
      </c>
      <c r="T95" s="14">
        <f>IF(AND(T$5-$A95&gt;=0,T$5-$A95&lt;=19),INDEX(HU_ord,T$5-$A95+1)*$B95,0)</f>
        <v>0.0</v>
      </c>
      <c r="U95" s="14">
        <f>IF(AND(U$5-$A95&gt;=0,U$5-$A95&lt;=19),INDEX(HU_ord,U$5-$A95+1)*$B95,0)</f>
        <v>0.0</v>
      </c>
      <c r="V95" s="14">
        <f>IF(AND(V$5-$A95&gt;=0,V$5-$A95&lt;=19),INDEX(HU_ord,V$5-$A95+1)*$B95,0)</f>
        <v>0.0</v>
      </c>
      <c r="W95" s="14">
        <f>IF(AND(W$5-$A95&gt;=0,W$5-$A95&lt;=19),INDEX(HU_ord,W$5-$A95+1)*$B95,0)</f>
        <v>0.0</v>
      </c>
      <c r="X95" s="14">
        <f>IF(AND(X$5-$A95&gt;=0,X$5-$A95&lt;=19),INDEX(HU_ord,X$5-$A95+1)*$B95,0)</f>
        <v>0.0</v>
      </c>
      <c r="Y95" s="14">
        <f>IF(AND(Y$5-$A95&gt;=0,Y$5-$A95&lt;=19),INDEX(HU_ord,Y$5-$A95+1)*$B95,0)</f>
        <v>0.0</v>
      </c>
      <c r="Z95" s="14">
        <f>IF(AND(Z$5-$A95&gt;=0,Z$5-$A95&lt;=19),INDEX(HU_ord,Z$5-$A95+1)*$B95,0)</f>
        <v>0.0</v>
      </c>
      <c r="AA95" s="14">
        <f>IF(AND(AA$5-$A95&gt;=0,AA$5-$A95&lt;=19),INDEX(HU_ord,AA$5-$A95+1)*$B95,0)</f>
        <v>0.0</v>
      </c>
      <c r="AB95" s="14">
        <f>IF(AND(AB$5-$A95&gt;=0,AB$5-$A95&lt;=19),INDEX(HU_ord,AB$5-$A95+1)*$B95,0)</f>
        <v>0.0</v>
      </c>
      <c r="AC95" s="14">
        <f>IF(AND(AC$5-$A95&gt;=0,AC$5-$A95&lt;=19),INDEX(HU_ord,AC$5-$A95+1)*$B95,0)</f>
        <v>0.0</v>
      </c>
      <c r="AD95" s="14">
        <f>IF(AND(AD$5-$A95&gt;=0,AD$5-$A95&lt;=19),INDEX(HU_ord,AD$5-$A95+1)*$B95,0)</f>
        <v>0.0</v>
      </c>
      <c r="AE95" s="14">
        <f>IF(AND(AE$5-$A95&gt;=0,AE$5-$A95&lt;=19),INDEX(HU_ord,AE$5-$A95+1)*$B95,0)</f>
        <v>0.0</v>
      </c>
      <c r="AF95" s="14">
        <f>IF(AND(AF$5-$A95&gt;=0,AF$5-$A95&lt;=19),INDEX(HU_ord,AF$5-$A95+1)*$B95,0)</f>
        <v>0.0</v>
      </c>
      <c r="AG95" s="14">
        <f>IF(AND(AG$5-$A95&gt;=0,AG$5-$A95&lt;=19),INDEX(HU_ord,AG$5-$A95+1)*$B95,0)</f>
        <v>0.0</v>
      </c>
      <c r="AH95" s="14">
        <f>IF(AND(AH$5-$A95&gt;=0,AH$5-$A95&lt;=19),INDEX(HU_ord,AH$5-$A95+1)*$B95,0)</f>
        <v>0.0</v>
      </c>
      <c r="AI95" s="14">
        <f>IF(AND(AI$5-$A95&gt;=0,AI$5-$A95&lt;=19),INDEX(HU_ord,AI$5-$A95+1)*$B95,0)</f>
        <v>0.0</v>
      </c>
      <c r="AJ95" s="14">
        <f>IF(AND(AJ$5-$A95&gt;=0,AJ$5-$A95&lt;=19),INDEX(HU_ord,AJ$5-$A95+1)*$B95,0)</f>
        <v>0.0</v>
      </c>
      <c r="AK95" s="14">
        <f>IF(AND(AK$5-$A95&gt;=0,AK$5-$A95&lt;=19),INDEX(HU_ord,AK$5-$A95+1)*$B95,0)</f>
        <v>0.0</v>
      </c>
      <c r="AL95" s="14">
        <f>IF(AND(AL$5-$A95&gt;=0,AL$5-$A95&lt;=19),INDEX(HU_ord,AL$5-$A95+1)*$B95,0)</f>
        <v>0.0</v>
      </c>
      <c r="AM95" s="14">
        <f>IF(AND(AM$5-$A95&gt;=0,AM$5-$A95&lt;=19),INDEX(HU_ord,AM$5-$A95+1)*$B95,0)</f>
        <v>0.0</v>
      </c>
      <c r="AN95" s="14">
        <f>IF(AND(AN$5-$A95&gt;=0,AN$5-$A95&lt;=19),INDEX(HU_ord,AN$5-$A95+1)*$B95,0)</f>
        <v>0.0</v>
      </c>
      <c r="AO95" s="14">
        <f>IF(AND(AO$5-$A95&gt;=0,AO$5-$A95&lt;=19),INDEX(HU_ord,AO$5-$A95+1)*$B95,0)</f>
        <v>0.0</v>
      </c>
      <c r="AP95" s="14">
        <f>IF(AND(AP$5-$A95&gt;=0,AP$5-$A95&lt;=19),INDEX(HU_ord,AP$5-$A95+1)*$B95,0)</f>
        <v>0.0</v>
      </c>
      <c r="AQ95" s="14">
        <f>IF(AND(AQ$5-$A95&gt;=0,AQ$5-$A95&lt;=19),INDEX(HU_ord,AQ$5-$A95+1)*$B95,0)</f>
        <v>0.0</v>
      </c>
      <c r="AR95" s="14">
        <f>IF(AND(AR$5-$A95&gt;=0,AR$5-$A95&lt;=19),INDEX(HU_ord,AR$5-$A95+1)*$B95,0)</f>
        <v>0.0</v>
      </c>
      <c r="AS95" s="14">
        <f>IF(AND(AS$5-$A95&gt;=0,AS$5-$A95&lt;=19),INDEX(HU_ord,AS$5-$A95+1)*$B95,0)</f>
        <v>0.0</v>
      </c>
      <c r="AT95" s="14">
        <f>IF(AND(AT$5-$A95&gt;=0,AT$5-$A95&lt;=19),INDEX(HU_ord,AT$5-$A95+1)*$B95,0)</f>
        <v>0.0</v>
      </c>
      <c r="AU95" s="14">
        <f>IF(AND(AU$5-$A95&gt;=0,AU$5-$A95&lt;=19),INDEX(HU_ord,AU$5-$A95+1)*$B95,0)</f>
        <v>0.0</v>
      </c>
      <c r="AV95" s="14">
        <f>IF(AND(AV$5-$A95&gt;=0,AV$5-$A95&lt;=19),INDEX(HU_ord,AV$5-$A95+1)*$B95,0)</f>
        <v>0.0</v>
      </c>
      <c r="AW95" s="14">
        <f>IF(AND(AW$5-$A95&gt;=0,AW$5-$A95&lt;=19),INDEX(HU_ord,AW$5-$A95+1)*$B95,0)</f>
        <v>0.0</v>
      </c>
      <c r="AX95" s="14">
        <f>IF(AND(AX$5-$A95&gt;=0,AX$5-$A95&lt;=19),INDEX(HU_ord,AX$5-$A95+1)*$B95,0)</f>
        <v>0.0</v>
      </c>
      <c r="AY95" s="14">
        <f>IF(AND(AY$5-$A95&gt;=0,AY$5-$A95&lt;=19),INDEX(HU_ord,AY$5-$A95+1)*$B95,0)</f>
        <v>0.0</v>
      </c>
      <c r="AZ95" s="14">
        <f>IF(AND(AZ$5-$A95&gt;=0,AZ$5-$A95&lt;=19),INDEX(HU_ord,AZ$5-$A95+1)*$B95,0)</f>
        <v>0.0</v>
      </c>
      <c r="BA95" s="14">
        <f>IF(AND(BA$5-$A95&gt;=0,BA$5-$A95&lt;=19),INDEX(HU_ord,BA$5-$A95+1)*$B95,0)</f>
        <v>0.0</v>
      </c>
      <c r="BB95" s="14">
        <f>IF(AND(BB$5-$A95&gt;=0,BB$5-$A95&lt;=19),INDEX(HU_ord,BB$5-$A95+1)*$B95,0)</f>
        <v>0.0</v>
      </c>
      <c r="BC95" s="14">
        <f>IF(AND(BC$5-$A95&gt;=0,BC$5-$A95&lt;=19),INDEX(HU_ord,BC$5-$A95+1)*$B95,0)</f>
        <v>0.0</v>
      </c>
      <c r="BD95" s="14">
        <f>IF(AND(BD$5-$A95&gt;=0,BD$5-$A95&lt;=19),INDEX(HU_ord,BD$5-$A95+1)*$B95,0)</f>
        <v>0.0</v>
      </c>
      <c r="BE95" s="14">
        <f>IF(AND(BE$5-$A95&gt;=0,BE$5-$A95&lt;=19),INDEX(HU_ord,BE$5-$A95+1)*$B95,0)</f>
        <v>0.0</v>
      </c>
      <c r="BF95" s="14">
        <f>IF(AND(BF$5-$A95&gt;=0,BF$5-$A95&lt;=19),INDEX(HU_ord,BF$5-$A95+1)*$B95,0)</f>
        <v>0.0</v>
      </c>
      <c r="BG95" s="14">
        <f>IF(AND(BG$5-$A95&gt;=0,BG$5-$A95&lt;=19),INDEX(HU_ord,BG$5-$A95+1)*$B95,0)</f>
        <v>0.0</v>
      </c>
      <c r="BH95" s="14">
        <f>IF(AND(BH$5-$A95&gt;=0,BH$5-$A95&lt;=19),INDEX(HU_ord,BH$5-$A95+1)*$B95,0)</f>
        <v>0.0</v>
      </c>
      <c r="BI95" s="14">
        <f>IF(AND(BI$5-$A95&gt;=0,BI$5-$A95&lt;=19),INDEX(HU_ord,BI$5-$A95+1)*$B95,0)</f>
        <v>0.0</v>
      </c>
      <c r="BJ95" s="14">
        <f>IF(AND(BJ$5-$A95&gt;=0,BJ$5-$A95&lt;=19),INDEX(HU_ord,BJ$5-$A95+1)*$B95,0)</f>
        <v>0.0</v>
      </c>
      <c r="BK95" s="14">
        <f>IF(AND(BK$5-$A95&gt;=0,BK$5-$A95&lt;=19),INDEX(HU_ord,BK$5-$A95+1)*$B95,0)</f>
        <v>0.0</v>
      </c>
      <c r="BL95" s="14">
        <f>IF(AND(BL$5-$A95&gt;=0,BL$5-$A95&lt;=19),INDEX(HU_ord,BL$5-$A95+1)*$B95,0)</f>
        <v>0.0</v>
      </c>
      <c r="BM95" s="14">
        <f>IF(AND(BM$5-$A95&gt;=0,BM$5-$A95&lt;=19),INDEX(HU_ord,BM$5-$A95+1)*$B95,0)</f>
        <v>0.0</v>
      </c>
      <c r="BN95" s="14">
        <f>IF(AND(BN$5-$A95&gt;=0,BN$5-$A95&lt;=19),INDEX(HU_ord,BN$5-$A95+1)*$B95,0)</f>
        <v>0.0</v>
      </c>
      <c r="BO95" s="14">
        <f>IF(AND(BO$5-$A95&gt;=0,BO$5-$A95&lt;=19),INDEX(HU_ord,BO$5-$A95+1)*$B95,0)</f>
        <v>0.0</v>
      </c>
      <c r="BP95" s="14">
        <f>IF(AND(BP$5-$A95&gt;=0,BP$5-$A95&lt;=19),INDEX(HU_ord,BP$5-$A95+1)*$B95,0)</f>
        <v>0.0</v>
      </c>
      <c r="BQ95" s="14">
        <f>IF(AND(BQ$5-$A95&gt;=0,BQ$5-$A95&lt;=19),INDEX(HU_ord,BQ$5-$A95+1)*$B95,0)</f>
        <v>0.0</v>
      </c>
      <c r="BR95" s="14">
        <f>IF(AND(BR$5-$A95&gt;=0,BR$5-$A95&lt;=19),INDEX(HU_ord,BR$5-$A95+1)*$B95,0)</f>
        <v>0.0</v>
      </c>
      <c r="BS95" s="14">
        <f>IF(AND(BS$5-$A95&gt;=0,BS$5-$A95&lt;=19),INDEX(HU_ord,BS$5-$A95+1)*$B95,0)</f>
        <v>0.0</v>
      </c>
      <c r="BT95" s="14">
        <f>IF(AND(BT$5-$A95&gt;=0,BT$5-$A95&lt;=19),INDEX(HU_ord,BT$5-$A95+1)*$B95,0)</f>
        <v>0.0</v>
      </c>
      <c r="BU95" s="14">
        <f>IF(AND(BU$5-$A95&gt;=0,BU$5-$A95&lt;=19),INDEX(HU_ord,BU$5-$A95+1)*$B95,0)</f>
        <v>0.0</v>
      </c>
      <c r="BV95" s="14">
        <f>IF(AND(BV$5-$A95&gt;=0,BV$5-$A95&lt;=19),INDEX(HU_ord,BV$5-$A95+1)*$B95,0)</f>
        <v>0.0</v>
      </c>
      <c r="BW95" s="14">
        <f>IF(AND(BW$5-$A95&gt;=0,BW$5-$A95&lt;=19),INDEX(HU_ord,BW$5-$A95+1)*$B95,0)</f>
        <v>0.0</v>
      </c>
      <c r="BX95" s="14">
        <f>IF(AND(BX$5-$A95&gt;=0,BX$5-$A95&lt;=19),INDEX(HU_ord,BX$5-$A95+1)*$B95,0)</f>
        <v>0.0</v>
      </c>
      <c r="BY95" s="14">
        <f>IF(AND(BY$5-$A95&gt;=0,BY$5-$A95&lt;=19),INDEX(HU_ord,BY$5-$A95+1)*$B95,0)</f>
        <v>0.0</v>
      </c>
      <c r="BZ95" s="14">
        <f>IF(AND(BZ$5-$A95&gt;=0,BZ$5-$A95&lt;=19),INDEX(HU_ord,BZ$5-$A95+1)*$B95,0)</f>
        <v>0.0</v>
      </c>
      <c r="CA95" s="14">
        <f>IF(AND(CA$5-$A95&gt;=0,CA$5-$A95&lt;=19),INDEX(HU_ord,CA$5-$A95+1)*$B95,0)</f>
        <v>0.0</v>
      </c>
      <c r="CB95" s="14">
        <f>IF(AND(CB$5-$A95&gt;=0,CB$5-$A95&lt;=19),INDEX(HU_ord,CB$5-$A95+1)*$B95,0)</f>
        <v>0.0</v>
      </c>
      <c r="CC95" s="14">
        <f>IF(AND(CC$5-$A95&gt;=0,CC$5-$A95&lt;=19),INDEX(HU_ord,CC$5-$A95+1)*$B95,0)</f>
        <v>0.0</v>
      </c>
      <c r="CD95" s="14">
        <f>IF(AND(CD$5-$A95&gt;=0,CD$5-$A95&lt;=19),INDEX(HU_ord,CD$5-$A95+1)*$B95,0)</f>
        <v>0.0</v>
      </c>
      <c r="CE95" s="14">
        <f>IF(AND(CE$5-$A95&gt;=0,CE$5-$A95&lt;=19),INDEX(HU_ord,CE$5-$A95+1)*$B95,0)</f>
        <v>0.0</v>
      </c>
      <c r="CF95" s="14">
        <f>IF(AND(CF$5-$A95&gt;=0,CF$5-$A95&lt;=19),INDEX(HU_ord,CF$5-$A95+1)*$B95,0)</f>
        <v>0.0</v>
      </c>
      <c r="CG95" s="14">
        <f>IF(AND(CG$5-$A95&gt;=0,CG$5-$A95&lt;=19),INDEX(HU_ord,CG$5-$A95+1)*$B95,0)</f>
        <v>0.0</v>
      </c>
      <c r="CH95" s="14">
        <f>IF(AND(CH$5-$A95&gt;=0,CH$5-$A95&lt;=19),INDEX(HU_ord,CH$5-$A95+1)*$B95,0)</f>
        <v>0.0</v>
      </c>
      <c r="CI95" s="14">
        <f>IF(AND(CI$5-$A95&gt;=0,CI$5-$A95&lt;=19),INDEX(HU_ord,CI$5-$A95+1)*$B95,0)</f>
        <v>0.0</v>
      </c>
      <c r="CJ95" s="14">
        <f>IF(AND(CJ$5-$A95&gt;=0,CJ$5-$A95&lt;=19),INDEX(HU_ord,CJ$5-$A95+1)*$B95,0)</f>
        <v>0.0</v>
      </c>
      <c r="CK95" s="14">
        <f>IF(AND(CK$5-$A95&gt;=0,CK$5-$A95&lt;=19),INDEX(HU_ord,CK$5-$A95+1)*$B95,0)</f>
        <v>0.0</v>
      </c>
      <c r="CL95" s="14">
        <f>IF(AND(CL$5-$A95&gt;=0,CL$5-$A95&lt;=19),INDEX(HU_ord,CL$5-$A95+1)*$B95,0)</f>
        <v>0.0</v>
      </c>
      <c r="CM95" s="14">
        <f>IF(AND(CM$5-$A95&gt;=0,CM$5-$A95&lt;=19),INDEX(HU_ord,CM$5-$A95+1)*$B95,0)</f>
        <v>0.0</v>
      </c>
      <c r="CN95" s="14">
        <f>IF(AND(CN$5-$A95&gt;=0,CN$5-$A95&lt;=19),INDEX(HU_ord,CN$5-$A95+1)*$B95,0)</f>
        <v>0.0</v>
      </c>
      <c r="CO95" s="14">
        <f>IF(AND(CO$5-$A95&gt;=0,CO$5-$A95&lt;=19),INDEX(HU_ord,CO$5-$A95+1)*$B95,0)</f>
        <v>0.0</v>
      </c>
      <c r="CP95" s="14">
        <f>IF(AND(CP$5-$A95&gt;=0,CP$5-$A95&lt;=19),INDEX(HU_ord,CP$5-$A95+1)*$B95,0)</f>
        <v>0.0</v>
      </c>
      <c r="CQ95" s="14">
        <f>IF(AND(CQ$5-$A95&gt;=0,CQ$5-$A95&lt;=19),INDEX(HU_ord,CQ$5-$A95+1)*$B95,0)</f>
        <v>0.0</v>
      </c>
      <c r="CR95" s="14">
        <f>IF(AND(CR$5-$A95&gt;=0,CR$5-$A95&lt;=19),INDEX(HU_ord,CR$5-$A95+1)*$B95,0)</f>
        <v>0.0</v>
      </c>
      <c r="CS95" s="14">
        <f>IF(AND(CS$5-$A95&gt;=0,CS$5-$A95&lt;=19),INDEX(HU_ord,CS$5-$A95+1)*$B95,0)</f>
        <v>0.0</v>
      </c>
      <c r="CT95" s="14">
        <f>IF(AND(CT$5-$A95&gt;=0,CT$5-$A95&lt;=19),INDEX(HU_ord,CT$5-$A95+1)*$B95,0)</f>
        <v>0.0</v>
      </c>
      <c r="CU95" s="14">
        <f>IF(AND(CU$5-$A95&gt;=0,CU$5-$A95&lt;=19),INDEX(HU_ord,CU$5-$A95+1)*$B95,0)</f>
        <v>0.0</v>
      </c>
      <c r="CV95" s="14">
        <f>IF(AND(CV$5-$A95&gt;=0,CV$5-$A95&lt;=19),INDEX(HU_ord,CV$5-$A95+1)*$B95,0)</f>
        <v>0.0</v>
      </c>
      <c r="CW95" s="14">
        <f>IF(AND(CW$5-$A95&gt;=0,CW$5-$A95&lt;=19),INDEX(HU_ord,CW$5-$A95+1)*$B95,0)</f>
        <v>0.0</v>
      </c>
      <c r="CX95" s="14">
        <f>IF(AND(CX$5-$A95&gt;=0,CX$5-$A95&lt;=19),INDEX(HU_ord,CX$5-$A95+1)*$B95,0)</f>
        <v>0.0</v>
      </c>
      <c r="CY95" s="14">
        <f>IF(AND(CY$5-$A95&gt;=0,CY$5-$A95&lt;=19),INDEX(HU_ord,CY$5-$A95+1)*$B95,0)</f>
        <v>0.0</v>
      </c>
      <c r="CZ95" s="14">
        <f>IF(AND(CZ$5-$A95&gt;=0,CZ$5-$A95&lt;=19),INDEX(HU_ord,CZ$5-$A95+1)*$B95,0)</f>
        <v>0.0</v>
      </c>
      <c r="DA95" s="14">
        <f>IF(AND(DA$5-$A95&gt;=0,DA$5-$A95&lt;=19),INDEX(HU_ord,DA$5-$A95+1)*$B95,0)</f>
        <v>0.0</v>
      </c>
      <c r="DB95" s="14">
        <f>IF(AND(DB$5-$A95&gt;=0,DB$5-$A95&lt;=19),INDEX(HU_ord,DB$5-$A95+1)*$B95,0)</f>
        <v>0.0</v>
      </c>
      <c r="DC95" s="14">
        <f>IF(AND(DC$5-$A95&gt;=0,DC$5-$A95&lt;=19),INDEX(HU_ord,DC$5-$A95+1)*$B95,0)</f>
        <v>0.0</v>
      </c>
      <c r="DD95" s="14">
        <f>IF(AND(DD$5-$A95&gt;=0,DD$5-$A95&lt;=19),INDEX(HU_ord,DD$5-$A95+1)*$B95,0)</f>
        <v>0.0</v>
      </c>
      <c r="DE95" s="14">
        <f>IF(AND(DE$5-$A95&gt;=0,DE$5-$A95&lt;=19),INDEX(HU_ord,DE$5-$A95+1)*$B95,0)</f>
        <v>0.0</v>
      </c>
      <c r="DF95" s="14">
        <f>IF(AND(DF$5-$A95&gt;=0,DF$5-$A95&lt;=19),INDEX(HU_ord,DF$5-$A95+1)*$B95,0)</f>
        <v>0.0</v>
      </c>
      <c r="DG95" s="14">
        <f>IF(AND(DG$5-$A95&gt;=0,DG$5-$A95&lt;=19),INDEX(HU_ord,DG$5-$A95+1)*$B95,0)</f>
        <v>0.0</v>
      </c>
      <c r="DH95" s="14">
        <f>IF(AND(DH$5-$A95&gt;=0,DH$5-$A95&lt;=19),INDEX(HU_ord,DH$5-$A95+1)*$B95,0)</f>
        <v>0.0</v>
      </c>
      <c r="DI95" s="14">
        <f>IF(AND(DI$5-$A95&gt;=0,DI$5-$A95&lt;=19),INDEX(HU_ord,DI$5-$A95+1)*$B95,0)</f>
        <v>0.0</v>
      </c>
    </row>
    <row r="96" spans="1:113">
      <c r="A96">
        <v>90</v>
      </c>
      <c r="B96" s="10">
        <f>Serie_horaria!N92</f>
        <v>0.0</v>
      </c>
      <c r="C96" s="14">
        <f>IF(AND(C$5-$A96&gt;=0,C$5-$A96&lt;=19),INDEX(HU_ord,C$5-$A96+1)*$B96,0)</f>
        <v>0.0</v>
      </c>
      <c r="D96" s="14">
        <f>IF(AND(D$5-$A96&gt;=0,D$5-$A96&lt;=19),INDEX(HU_ord,D$5-$A96+1)*$B96,0)</f>
        <v>0.0</v>
      </c>
      <c r="E96" s="14">
        <f>IF(AND(E$5-$A96&gt;=0,E$5-$A96&lt;=19),INDEX(HU_ord,E$5-$A96+1)*$B96,0)</f>
        <v>0.0</v>
      </c>
      <c r="F96" s="14">
        <f>IF(AND(F$5-$A96&gt;=0,F$5-$A96&lt;=19),INDEX(HU_ord,F$5-$A96+1)*$B96,0)</f>
        <v>0.0</v>
      </c>
      <c r="G96" s="14">
        <f>IF(AND(G$5-$A96&gt;=0,G$5-$A96&lt;=19),INDEX(HU_ord,G$5-$A96+1)*$B96,0)</f>
        <v>0.0</v>
      </c>
      <c r="H96" s="14">
        <f>IF(AND(H$5-$A96&gt;=0,H$5-$A96&lt;=19),INDEX(HU_ord,H$5-$A96+1)*$B96,0)</f>
        <v>0.0</v>
      </c>
      <c r="I96" s="14">
        <f>IF(AND(I$5-$A96&gt;=0,I$5-$A96&lt;=19),INDEX(HU_ord,I$5-$A96+1)*$B96,0)</f>
        <v>0.0</v>
      </c>
      <c r="J96" s="14">
        <f>IF(AND(J$5-$A96&gt;=0,J$5-$A96&lt;=19),INDEX(HU_ord,J$5-$A96+1)*$B96,0)</f>
        <v>0.0</v>
      </c>
      <c r="K96" s="14">
        <f>IF(AND(K$5-$A96&gt;=0,K$5-$A96&lt;=19),INDEX(HU_ord,K$5-$A96+1)*$B96,0)</f>
        <v>0.0</v>
      </c>
      <c r="L96" s="14">
        <f>IF(AND(L$5-$A96&gt;=0,L$5-$A96&lt;=19),INDEX(HU_ord,L$5-$A96+1)*$B96,0)</f>
        <v>0.0</v>
      </c>
      <c r="M96" s="14">
        <f>IF(AND(M$5-$A96&gt;=0,M$5-$A96&lt;=19),INDEX(HU_ord,M$5-$A96+1)*$B96,0)</f>
        <v>0.0</v>
      </c>
      <c r="N96" s="14">
        <f>IF(AND(N$5-$A96&gt;=0,N$5-$A96&lt;=19),INDEX(HU_ord,N$5-$A96+1)*$B96,0)</f>
        <v>0.0</v>
      </c>
      <c r="O96" s="14">
        <f>IF(AND(O$5-$A96&gt;=0,O$5-$A96&lt;=19),INDEX(HU_ord,O$5-$A96+1)*$B96,0)</f>
        <v>0.0</v>
      </c>
      <c r="P96" s="14">
        <f>IF(AND(P$5-$A96&gt;=0,P$5-$A96&lt;=19),INDEX(HU_ord,P$5-$A96+1)*$B96,0)</f>
        <v>0.0</v>
      </c>
      <c r="Q96" s="14">
        <f>IF(AND(Q$5-$A96&gt;=0,Q$5-$A96&lt;=19),INDEX(HU_ord,Q$5-$A96+1)*$B96,0)</f>
        <v>0.0</v>
      </c>
      <c r="R96" s="14">
        <f>IF(AND(R$5-$A96&gt;=0,R$5-$A96&lt;=19),INDEX(HU_ord,R$5-$A96+1)*$B96,0)</f>
        <v>0.0</v>
      </c>
      <c r="S96" s="14">
        <f>IF(AND(S$5-$A96&gt;=0,S$5-$A96&lt;=19),INDEX(HU_ord,S$5-$A96+1)*$B96,0)</f>
        <v>0.0</v>
      </c>
      <c r="T96" s="14">
        <f>IF(AND(T$5-$A96&gt;=0,T$5-$A96&lt;=19),INDEX(HU_ord,T$5-$A96+1)*$B96,0)</f>
        <v>0.0</v>
      </c>
      <c r="U96" s="14">
        <f>IF(AND(U$5-$A96&gt;=0,U$5-$A96&lt;=19),INDEX(HU_ord,U$5-$A96+1)*$B96,0)</f>
        <v>0.0</v>
      </c>
      <c r="V96" s="14">
        <f>IF(AND(V$5-$A96&gt;=0,V$5-$A96&lt;=19),INDEX(HU_ord,V$5-$A96+1)*$B96,0)</f>
        <v>0.0</v>
      </c>
      <c r="W96" s="14">
        <f>IF(AND(W$5-$A96&gt;=0,W$5-$A96&lt;=19),INDEX(HU_ord,W$5-$A96+1)*$B96,0)</f>
        <v>0.0</v>
      </c>
      <c r="X96" s="14">
        <f>IF(AND(X$5-$A96&gt;=0,X$5-$A96&lt;=19),INDEX(HU_ord,X$5-$A96+1)*$B96,0)</f>
        <v>0.0</v>
      </c>
      <c r="Y96" s="14">
        <f>IF(AND(Y$5-$A96&gt;=0,Y$5-$A96&lt;=19),INDEX(HU_ord,Y$5-$A96+1)*$B96,0)</f>
        <v>0.0</v>
      </c>
      <c r="Z96" s="14">
        <f>IF(AND(Z$5-$A96&gt;=0,Z$5-$A96&lt;=19),INDEX(HU_ord,Z$5-$A96+1)*$B96,0)</f>
        <v>0.0</v>
      </c>
      <c r="AA96" s="14">
        <f>IF(AND(AA$5-$A96&gt;=0,AA$5-$A96&lt;=19),INDEX(HU_ord,AA$5-$A96+1)*$B96,0)</f>
        <v>0.0</v>
      </c>
      <c r="AB96" s="14">
        <f>IF(AND(AB$5-$A96&gt;=0,AB$5-$A96&lt;=19),INDEX(HU_ord,AB$5-$A96+1)*$B96,0)</f>
        <v>0.0</v>
      </c>
      <c r="AC96" s="14">
        <f>IF(AND(AC$5-$A96&gt;=0,AC$5-$A96&lt;=19),INDEX(HU_ord,AC$5-$A96+1)*$B96,0)</f>
        <v>0.0</v>
      </c>
      <c r="AD96" s="14">
        <f>IF(AND(AD$5-$A96&gt;=0,AD$5-$A96&lt;=19),INDEX(HU_ord,AD$5-$A96+1)*$B96,0)</f>
        <v>0.0</v>
      </c>
      <c r="AE96" s="14">
        <f>IF(AND(AE$5-$A96&gt;=0,AE$5-$A96&lt;=19),INDEX(HU_ord,AE$5-$A96+1)*$B96,0)</f>
        <v>0.0</v>
      </c>
      <c r="AF96" s="14">
        <f>IF(AND(AF$5-$A96&gt;=0,AF$5-$A96&lt;=19),INDEX(HU_ord,AF$5-$A96+1)*$B96,0)</f>
        <v>0.0</v>
      </c>
      <c r="AG96" s="14">
        <f>IF(AND(AG$5-$A96&gt;=0,AG$5-$A96&lt;=19),INDEX(HU_ord,AG$5-$A96+1)*$B96,0)</f>
        <v>0.0</v>
      </c>
      <c r="AH96" s="14">
        <f>IF(AND(AH$5-$A96&gt;=0,AH$5-$A96&lt;=19),INDEX(HU_ord,AH$5-$A96+1)*$B96,0)</f>
        <v>0.0</v>
      </c>
      <c r="AI96" s="14">
        <f>IF(AND(AI$5-$A96&gt;=0,AI$5-$A96&lt;=19),INDEX(HU_ord,AI$5-$A96+1)*$B96,0)</f>
        <v>0.0</v>
      </c>
      <c r="AJ96" s="14">
        <f>IF(AND(AJ$5-$A96&gt;=0,AJ$5-$A96&lt;=19),INDEX(HU_ord,AJ$5-$A96+1)*$B96,0)</f>
        <v>0.0</v>
      </c>
      <c r="AK96" s="14">
        <f>IF(AND(AK$5-$A96&gt;=0,AK$5-$A96&lt;=19),INDEX(HU_ord,AK$5-$A96+1)*$B96,0)</f>
        <v>0.0</v>
      </c>
      <c r="AL96" s="14">
        <f>IF(AND(AL$5-$A96&gt;=0,AL$5-$A96&lt;=19),INDEX(HU_ord,AL$5-$A96+1)*$B96,0)</f>
        <v>0.0</v>
      </c>
      <c r="AM96" s="14">
        <f>IF(AND(AM$5-$A96&gt;=0,AM$5-$A96&lt;=19),INDEX(HU_ord,AM$5-$A96+1)*$B96,0)</f>
        <v>0.0</v>
      </c>
      <c r="AN96" s="14">
        <f>IF(AND(AN$5-$A96&gt;=0,AN$5-$A96&lt;=19),INDEX(HU_ord,AN$5-$A96+1)*$B96,0)</f>
        <v>0.0</v>
      </c>
      <c r="AO96" s="14">
        <f>IF(AND(AO$5-$A96&gt;=0,AO$5-$A96&lt;=19),INDEX(HU_ord,AO$5-$A96+1)*$B96,0)</f>
        <v>0.0</v>
      </c>
      <c r="AP96" s="14">
        <f>IF(AND(AP$5-$A96&gt;=0,AP$5-$A96&lt;=19),INDEX(HU_ord,AP$5-$A96+1)*$B96,0)</f>
        <v>0.0</v>
      </c>
      <c r="AQ96" s="14">
        <f>IF(AND(AQ$5-$A96&gt;=0,AQ$5-$A96&lt;=19),INDEX(HU_ord,AQ$5-$A96+1)*$B96,0)</f>
        <v>0.0</v>
      </c>
      <c r="AR96" s="14">
        <f>IF(AND(AR$5-$A96&gt;=0,AR$5-$A96&lt;=19),INDEX(HU_ord,AR$5-$A96+1)*$B96,0)</f>
        <v>0.0</v>
      </c>
      <c r="AS96" s="14">
        <f>IF(AND(AS$5-$A96&gt;=0,AS$5-$A96&lt;=19),INDEX(HU_ord,AS$5-$A96+1)*$B96,0)</f>
        <v>0.0</v>
      </c>
      <c r="AT96" s="14">
        <f>IF(AND(AT$5-$A96&gt;=0,AT$5-$A96&lt;=19),INDEX(HU_ord,AT$5-$A96+1)*$B96,0)</f>
        <v>0.0</v>
      </c>
      <c r="AU96" s="14">
        <f>IF(AND(AU$5-$A96&gt;=0,AU$5-$A96&lt;=19),INDEX(HU_ord,AU$5-$A96+1)*$B96,0)</f>
        <v>0.0</v>
      </c>
      <c r="AV96" s="14">
        <f>IF(AND(AV$5-$A96&gt;=0,AV$5-$A96&lt;=19),INDEX(HU_ord,AV$5-$A96+1)*$B96,0)</f>
        <v>0.0</v>
      </c>
      <c r="AW96" s="14">
        <f>IF(AND(AW$5-$A96&gt;=0,AW$5-$A96&lt;=19),INDEX(HU_ord,AW$5-$A96+1)*$B96,0)</f>
        <v>0.0</v>
      </c>
      <c r="AX96" s="14">
        <f>IF(AND(AX$5-$A96&gt;=0,AX$5-$A96&lt;=19),INDEX(HU_ord,AX$5-$A96+1)*$B96,0)</f>
        <v>0.0</v>
      </c>
      <c r="AY96" s="14">
        <f>IF(AND(AY$5-$A96&gt;=0,AY$5-$A96&lt;=19),INDEX(HU_ord,AY$5-$A96+1)*$B96,0)</f>
        <v>0.0</v>
      </c>
      <c r="AZ96" s="14">
        <f>IF(AND(AZ$5-$A96&gt;=0,AZ$5-$A96&lt;=19),INDEX(HU_ord,AZ$5-$A96+1)*$B96,0)</f>
        <v>0.0</v>
      </c>
      <c r="BA96" s="14">
        <f>IF(AND(BA$5-$A96&gt;=0,BA$5-$A96&lt;=19),INDEX(HU_ord,BA$5-$A96+1)*$B96,0)</f>
        <v>0.0</v>
      </c>
      <c r="BB96" s="14">
        <f>IF(AND(BB$5-$A96&gt;=0,BB$5-$A96&lt;=19),INDEX(HU_ord,BB$5-$A96+1)*$B96,0)</f>
        <v>0.0</v>
      </c>
      <c r="BC96" s="14">
        <f>IF(AND(BC$5-$A96&gt;=0,BC$5-$A96&lt;=19),INDEX(HU_ord,BC$5-$A96+1)*$B96,0)</f>
        <v>0.0</v>
      </c>
      <c r="BD96" s="14">
        <f>IF(AND(BD$5-$A96&gt;=0,BD$5-$A96&lt;=19),INDEX(HU_ord,BD$5-$A96+1)*$B96,0)</f>
        <v>0.0</v>
      </c>
      <c r="BE96" s="14">
        <f>IF(AND(BE$5-$A96&gt;=0,BE$5-$A96&lt;=19),INDEX(HU_ord,BE$5-$A96+1)*$B96,0)</f>
        <v>0.0</v>
      </c>
      <c r="BF96" s="14">
        <f>IF(AND(BF$5-$A96&gt;=0,BF$5-$A96&lt;=19),INDEX(HU_ord,BF$5-$A96+1)*$B96,0)</f>
        <v>0.0</v>
      </c>
      <c r="BG96" s="14">
        <f>IF(AND(BG$5-$A96&gt;=0,BG$5-$A96&lt;=19),INDEX(HU_ord,BG$5-$A96+1)*$B96,0)</f>
        <v>0.0</v>
      </c>
      <c r="BH96" s="14">
        <f>IF(AND(BH$5-$A96&gt;=0,BH$5-$A96&lt;=19),INDEX(HU_ord,BH$5-$A96+1)*$B96,0)</f>
        <v>0.0</v>
      </c>
      <c r="BI96" s="14">
        <f>IF(AND(BI$5-$A96&gt;=0,BI$5-$A96&lt;=19),INDEX(HU_ord,BI$5-$A96+1)*$B96,0)</f>
        <v>0.0</v>
      </c>
      <c r="BJ96" s="14">
        <f>IF(AND(BJ$5-$A96&gt;=0,BJ$5-$A96&lt;=19),INDEX(HU_ord,BJ$5-$A96+1)*$B96,0)</f>
        <v>0.0</v>
      </c>
      <c r="BK96" s="14">
        <f>IF(AND(BK$5-$A96&gt;=0,BK$5-$A96&lt;=19),INDEX(HU_ord,BK$5-$A96+1)*$B96,0)</f>
        <v>0.0</v>
      </c>
      <c r="BL96" s="14">
        <f>IF(AND(BL$5-$A96&gt;=0,BL$5-$A96&lt;=19),INDEX(HU_ord,BL$5-$A96+1)*$B96,0)</f>
        <v>0.0</v>
      </c>
      <c r="BM96" s="14">
        <f>IF(AND(BM$5-$A96&gt;=0,BM$5-$A96&lt;=19),INDEX(HU_ord,BM$5-$A96+1)*$B96,0)</f>
        <v>0.0</v>
      </c>
      <c r="BN96" s="14">
        <f>IF(AND(BN$5-$A96&gt;=0,BN$5-$A96&lt;=19),INDEX(HU_ord,BN$5-$A96+1)*$B96,0)</f>
        <v>0.0</v>
      </c>
      <c r="BO96" s="14">
        <f>IF(AND(BO$5-$A96&gt;=0,BO$5-$A96&lt;=19),INDEX(HU_ord,BO$5-$A96+1)*$B96,0)</f>
        <v>0.0</v>
      </c>
      <c r="BP96" s="14">
        <f>IF(AND(BP$5-$A96&gt;=0,BP$5-$A96&lt;=19),INDEX(HU_ord,BP$5-$A96+1)*$B96,0)</f>
        <v>0.0</v>
      </c>
      <c r="BQ96" s="14">
        <f>IF(AND(BQ$5-$A96&gt;=0,BQ$5-$A96&lt;=19),INDEX(HU_ord,BQ$5-$A96+1)*$B96,0)</f>
        <v>0.0</v>
      </c>
      <c r="BR96" s="14">
        <f>IF(AND(BR$5-$A96&gt;=0,BR$5-$A96&lt;=19),INDEX(HU_ord,BR$5-$A96+1)*$B96,0)</f>
        <v>0.0</v>
      </c>
      <c r="BS96" s="14">
        <f>IF(AND(BS$5-$A96&gt;=0,BS$5-$A96&lt;=19),INDEX(HU_ord,BS$5-$A96+1)*$B96,0)</f>
        <v>0.0</v>
      </c>
      <c r="BT96" s="14">
        <f>IF(AND(BT$5-$A96&gt;=0,BT$5-$A96&lt;=19),INDEX(HU_ord,BT$5-$A96+1)*$B96,0)</f>
        <v>0.0</v>
      </c>
      <c r="BU96" s="14">
        <f>IF(AND(BU$5-$A96&gt;=0,BU$5-$A96&lt;=19),INDEX(HU_ord,BU$5-$A96+1)*$B96,0)</f>
        <v>0.0</v>
      </c>
      <c r="BV96" s="14">
        <f>IF(AND(BV$5-$A96&gt;=0,BV$5-$A96&lt;=19),INDEX(HU_ord,BV$5-$A96+1)*$B96,0)</f>
        <v>0.0</v>
      </c>
      <c r="BW96" s="14">
        <f>IF(AND(BW$5-$A96&gt;=0,BW$5-$A96&lt;=19),INDEX(HU_ord,BW$5-$A96+1)*$B96,0)</f>
        <v>0.0</v>
      </c>
      <c r="BX96" s="14">
        <f>IF(AND(BX$5-$A96&gt;=0,BX$5-$A96&lt;=19),INDEX(HU_ord,BX$5-$A96+1)*$B96,0)</f>
        <v>0.0</v>
      </c>
      <c r="BY96" s="14">
        <f>IF(AND(BY$5-$A96&gt;=0,BY$5-$A96&lt;=19),INDEX(HU_ord,BY$5-$A96+1)*$B96,0)</f>
        <v>0.0</v>
      </c>
      <c r="BZ96" s="14">
        <f>IF(AND(BZ$5-$A96&gt;=0,BZ$5-$A96&lt;=19),INDEX(HU_ord,BZ$5-$A96+1)*$B96,0)</f>
        <v>0.0</v>
      </c>
      <c r="CA96" s="14">
        <f>IF(AND(CA$5-$A96&gt;=0,CA$5-$A96&lt;=19),INDEX(HU_ord,CA$5-$A96+1)*$B96,0)</f>
        <v>0.0</v>
      </c>
      <c r="CB96" s="14">
        <f>IF(AND(CB$5-$A96&gt;=0,CB$5-$A96&lt;=19),INDEX(HU_ord,CB$5-$A96+1)*$B96,0)</f>
        <v>0.0</v>
      </c>
      <c r="CC96" s="14">
        <f>IF(AND(CC$5-$A96&gt;=0,CC$5-$A96&lt;=19),INDEX(HU_ord,CC$5-$A96+1)*$B96,0)</f>
        <v>0.0</v>
      </c>
      <c r="CD96" s="14">
        <f>IF(AND(CD$5-$A96&gt;=0,CD$5-$A96&lt;=19),INDEX(HU_ord,CD$5-$A96+1)*$B96,0)</f>
        <v>0.0</v>
      </c>
      <c r="CE96" s="14">
        <f>IF(AND(CE$5-$A96&gt;=0,CE$5-$A96&lt;=19),INDEX(HU_ord,CE$5-$A96+1)*$B96,0)</f>
        <v>0.0</v>
      </c>
      <c r="CF96" s="14">
        <f>IF(AND(CF$5-$A96&gt;=0,CF$5-$A96&lt;=19),INDEX(HU_ord,CF$5-$A96+1)*$B96,0)</f>
        <v>0.0</v>
      </c>
      <c r="CG96" s="14">
        <f>IF(AND(CG$5-$A96&gt;=0,CG$5-$A96&lt;=19),INDEX(HU_ord,CG$5-$A96+1)*$B96,0)</f>
        <v>0.0</v>
      </c>
      <c r="CH96" s="14">
        <f>IF(AND(CH$5-$A96&gt;=0,CH$5-$A96&lt;=19),INDEX(HU_ord,CH$5-$A96+1)*$B96,0)</f>
        <v>0.0</v>
      </c>
      <c r="CI96" s="14">
        <f>IF(AND(CI$5-$A96&gt;=0,CI$5-$A96&lt;=19),INDEX(HU_ord,CI$5-$A96+1)*$B96,0)</f>
        <v>0.0</v>
      </c>
      <c r="CJ96" s="14">
        <f>IF(AND(CJ$5-$A96&gt;=0,CJ$5-$A96&lt;=19),INDEX(HU_ord,CJ$5-$A96+1)*$B96,0)</f>
        <v>0.0</v>
      </c>
      <c r="CK96" s="14">
        <f>IF(AND(CK$5-$A96&gt;=0,CK$5-$A96&lt;=19),INDEX(HU_ord,CK$5-$A96+1)*$B96,0)</f>
        <v>0.0</v>
      </c>
      <c r="CL96" s="14">
        <f>IF(AND(CL$5-$A96&gt;=0,CL$5-$A96&lt;=19),INDEX(HU_ord,CL$5-$A96+1)*$B96,0)</f>
        <v>0.0</v>
      </c>
      <c r="CM96" s="14">
        <f>IF(AND(CM$5-$A96&gt;=0,CM$5-$A96&lt;=19),INDEX(HU_ord,CM$5-$A96+1)*$B96,0)</f>
        <v>0.0</v>
      </c>
      <c r="CN96" s="14">
        <f>IF(AND(CN$5-$A96&gt;=0,CN$5-$A96&lt;=19),INDEX(HU_ord,CN$5-$A96+1)*$B96,0)</f>
        <v>0.0</v>
      </c>
      <c r="CO96" s="14">
        <f>IF(AND(CO$5-$A96&gt;=0,CO$5-$A96&lt;=19),INDEX(HU_ord,CO$5-$A96+1)*$B96,0)</f>
        <v>0.0</v>
      </c>
      <c r="CP96" s="14">
        <f>IF(AND(CP$5-$A96&gt;=0,CP$5-$A96&lt;=19),INDEX(HU_ord,CP$5-$A96+1)*$B96,0)</f>
        <v>0.0</v>
      </c>
      <c r="CQ96" s="14">
        <f>IF(AND(CQ$5-$A96&gt;=0,CQ$5-$A96&lt;=19),INDEX(HU_ord,CQ$5-$A96+1)*$B96,0)</f>
        <v>0.0</v>
      </c>
      <c r="CR96" s="14">
        <f>IF(AND(CR$5-$A96&gt;=0,CR$5-$A96&lt;=19),INDEX(HU_ord,CR$5-$A96+1)*$B96,0)</f>
        <v>0.0</v>
      </c>
      <c r="CS96" s="14">
        <f>IF(AND(CS$5-$A96&gt;=0,CS$5-$A96&lt;=19),INDEX(HU_ord,CS$5-$A96+1)*$B96,0)</f>
        <v>0.0</v>
      </c>
      <c r="CT96" s="14">
        <f>IF(AND(CT$5-$A96&gt;=0,CT$5-$A96&lt;=19),INDEX(HU_ord,CT$5-$A96+1)*$B96,0)</f>
        <v>0.0</v>
      </c>
      <c r="CU96" s="14">
        <f>IF(AND(CU$5-$A96&gt;=0,CU$5-$A96&lt;=19),INDEX(HU_ord,CU$5-$A96+1)*$B96,0)</f>
        <v>0.0</v>
      </c>
      <c r="CV96" s="14">
        <f>IF(AND(CV$5-$A96&gt;=0,CV$5-$A96&lt;=19),INDEX(HU_ord,CV$5-$A96+1)*$B96,0)</f>
        <v>0.0</v>
      </c>
      <c r="CW96" s="14">
        <f>IF(AND(CW$5-$A96&gt;=0,CW$5-$A96&lt;=19),INDEX(HU_ord,CW$5-$A96+1)*$B96,0)</f>
        <v>0.0</v>
      </c>
      <c r="CX96" s="14">
        <f>IF(AND(CX$5-$A96&gt;=0,CX$5-$A96&lt;=19),INDEX(HU_ord,CX$5-$A96+1)*$B96,0)</f>
        <v>0.0</v>
      </c>
      <c r="CY96" s="14">
        <f>IF(AND(CY$5-$A96&gt;=0,CY$5-$A96&lt;=19),INDEX(HU_ord,CY$5-$A96+1)*$B96,0)</f>
        <v>0.0</v>
      </c>
      <c r="CZ96" s="14">
        <f>IF(AND(CZ$5-$A96&gt;=0,CZ$5-$A96&lt;=19),INDEX(HU_ord,CZ$5-$A96+1)*$B96,0)</f>
        <v>0.0</v>
      </c>
      <c r="DA96" s="14">
        <f>IF(AND(DA$5-$A96&gt;=0,DA$5-$A96&lt;=19),INDEX(HU_ord,DA$5-$A96+1)*$B96,0)</f>
        <v>0.0</v>
      </c>
      <c r="DB96" s="14">
        <f>IF(AND(DB$5-$A96&gt;=0,DB$5-$A96&lt;=19),INDEX(HU_ord,DB$5-$A96+1)*$B96,0)</f>
        <v>0.0</v>
      </c>
      <c r="DC96" s="14">
        <f>IF(AND(DC$5-$A96&gt;=0,DC$5-$A96&lt;=19),INDEX(HU_ord,DC$5-$A96+1)*$B96,0)</f>
        <v>0.0</v>
      </c>
      <c r="DD96" s="14">
        <f>IF(AND(DD$5-$A96&gt;=0,DD$5-$A96&lt;=19),INDEX(HU_ord,DD$5-$A96+1)*$B96,0)</f>
        <v>0.0</v>
      </c>
      <c r="DE96" s="14">
        <f>IF(AND(DE$5-$A96&gt;=0,DE$5-$A96&lt;=19),INDEX(HU_ord,DE$5-$A96+1)*$B96,0)</f>
        <v>0.0</v>
      </c>
      <c r="DF96" s="14">
        <f>IF(AND(DF$5-$A96&gt;=0,DF$5-$A96&lt;=19),INDEX(HU_ord,DF$5-$A96+1)*$B96,0)</f>
        <v>0.0</v>
      </c>
      <c r="DG96" s="14">
        <f>IF(AND(DG$5-$A96&gt;=0,DG$5-$A96&lt;=19),INDEX(HU_ord,DG$5-$A96+1)*$B96,0)</f>
        <v>0.0</v>
      </c>
      <c r="DH96" s="14">
        <f>IF(AND(DH$5-$A96&gt;=0,DH$5-$A96&lt;=19),INDEX(HU_ord,DH$5-$A96+1)*$B96,0)</f>
        <v>0.0</v>
      </c>
      <c r="DI96" s="14">
        <f>IF(AND(DI$5-$A96&gt;=0,DI$5-$A96&lt;=19),INDEX(HU_ord,DI$5-$A96+1)*$B96,0)</f>
        <v>0.0</v>
      </c>
    </row>
    <row r="97" spans="1:113">
      <c r="A97">
        <v>91</v>
      </c>
      <c r="B97" s="10">
        <f>Serie_horaria!N93</f>
        <v>0.0</v>
      </c>
      <c r="C97" s="14">
        <f>IF(AND(C$5-$A97&gt;=0,C$5-$A97&lt;=19),INDEX(HU_ord,C$5-$A97+1)*$B97,0)</f>
        <v>0.0</v>
      </c>
      <c r="D97" s="14">
        <f>IF(AND(D$5-$A97&gt;=0,D$5-$A97&lt;=19),INDEX(HU_ord,D$5-$A97+1)*$B97,0)</f>
        <v>0.0</v>
      </c>
      <c r="E97" s="14">
        <f>IF(AND(E$5-$A97&gt;=0,E$5-$A97&lt;=19),INDEX(HU_ord,E$5-$A97+1)*$B97,0)</f>
        <v>0.0</v>
      </c>
      <c r="F97" s="14">
        <f>IF(AND(F$5-$A97&gt;=0,F$5-$A97&lt;=19),INDEX(HU_ord,F$5-$A97+1)*$B97,0)</f>
        <v>0.0</v>
      </c>
      <c r="G97" s="14">
        <f>IF(AND(G$5-$A97&gt;=0,G$5-$A97&lt;=19),INDEX(HU_ord,G$5-$A97+1)*$B97,0)</f>
        <v>0.0</v>
      </c>
      <c r="H97" s="14">
        <f>IF(AND(H$5-$A97&gt;=0,H$5-$A97&lt;=19),INDEX(HU_ord,H$5-$A97+1)*$B97,0)</f>
        <v>0.0</v>
      </c>
      <c r="I97" s="14">
        <f>IF(AND(I$5-$A97&gt;=0,I$5-$A97&lt;=19),INDEX(HU_ord,I$5-$A97+1)*$B97,0)</f>
        <v>0.0</v>
      </c>
      <c r="J97" s="14">
        <f>IF(AND(J$5-$A97&gt;=0,J$5-$A97&lt;=19),INDEX(HU_ord,J$5-$A97+1)*$B97,0)</f>
        <v>0.0</v>
      </c>
      <c r="K97" s="14">
        <f>IF(AND(K$5-$A97&gt;=0,K$5-$A97&lt;=19),INDEX(HU_ord,K$5-$A97+1)*$B97,0)</f>
        <v>0.0</v>
      </c>
      <c r="L97" s="14">
        <f>IF(AND(L$5-$A97&gt;=0,L$5-$A97&lt;=19),INDEX(HU_ord,L$5-$A97+1)*$B97,0)</f>
        <v>0.0</v>
      </c>
      <c r="M97" s="14">
        <f>IF(AND(M$5-$A97&gt;=0,M$5-$A97&lt;=19),INDEX(HU_ord,M$5-$A97+1)*$B97,0)</f>
        <v>0.0</v>
      </c>
      <c r="N97" s="14">
        <f>IF(AND(N$5-$A97&gt;=0,N$5-$A97&lt;=19),INDEX(HU_ord,N$5-$A97+1)*$B97,0)</f>
        <v>0.0</v>
      </c>
      <c r="O97" s="14">
        <f>IF(AND(O$5-$A97&gt;=0,O$5-$A97&lt;=19),INDEX(HU_ord,O$5-$A97+1)*$B97,0)</f>
        <v>0.0</v>
      </c>
      <c r="P97" s="14">
        <f>IF(AND(P$5-$A97&gt;=0,P$5-$A97&lt;=19),INDEX(HU_ord,P$5-$A97+1)*$B97,0)</f>
        <v>0.0</v>
      </c>
      <c r="Q97" s="14">
        <f>IF(AND(Q$5-$A97&gt;=0,Q$5-$A97&lt;=19),INDEX(HU_ord,Q$5-$A97+1)*$B97,0)</f>
        <v>0.0</v>
      </c>
      <c r="R97" s="14">
        <f>IF(AND(R$5-$A97&gt;=0,R$5-$A97&lt;=19),INDEX(HU_ord,R$5-$A97+1)*$B97,0)</f>
        <v>0.0</v>
      </c>
      <c r="S97" s="14">
        <f>IF(AND(S$5-$A97&gt;=0,S$5-$A97&lt;=19),INDEX(HU_ord,S$5-$A97+1)*$B97,0)</f>
        <v>0.0</v>
      </c>
      <c r="T97" s="14">
        <f>IF(AND(T$5-$A97&gt;=0,T$5-$A97&lt;=19),INDEX(HU_ord,T$5-$A97+1)*$B97,0)</f>
        <v>0.0</v>
      </c>
      <c r="U97" s="14">
        <f>IF(AND(U$5-$A97&gt;=0,U$5-$A97&lt;=19),INDEX(HU_ord,U$5-$A97+1)*$B97,0)</f>
        <v>0.0</v>
      </c>
      <c r="V97" s="14">
        <f>IF(AND(V$5-$A97&gt;=0,V$5-$A97&lt;=19),INDEX(HU_ord,V$5-$A97+1)*$B97,0)</f>
        <v>0.0</v>
      </c>
      <c r="W97" s="14">
        <f>IF(AND(W$5-$A97&gt;=0,W$5-$A97&lt;=19),INDEX(HU_ord,W$5-$A97+1)*$B97,0)</f>
        <v>0.0</v>
      </c>
      <c r="X97" s="14">
        <f>IF(AND(X$5-$A97&gt;=0,X$5-$A97&lt;=19),INDEX(HU_ord,X$5-$A97+1)*$B97,0)</f>
        <v>0.0</v>
      </c>
      <c r="Y97" s="14">
        <f>IF(AND(Y$5-$A97&gt;=0,Y$5-$A97&lt;=19),INDEX(HU_ord,Y$5-$A97+1)*$B97,0)</f>
        <v>0.0</v>
      </c>
      <c r="Z97" s="14">
        <f>IF(AND(Z$5-$A97&gt;=0,Z$5-$A97&lt;=19),INDEX(HU_ord,Z$5-$A97+1)*$B97,0)</f>
        <v>0.0</v>
      </c>
      <c r="AA97" s="14">
        <f>IF(AND(AA$5-$A97&gt;=0,AA$5-$A97&lt;=19),INDEX(HU_ord,AA$5-$A97+1)*$B97,0)</f>
        <v>0.0</v>
      </c>
      <c r="AB97" s="14">
        <f>IF(AND(AB$5-$A97&gt;=0,AB$5-$A97&lt;=19),INDEX(HU_ord,AB$5-$A97+1)*$B97,0)</f>
        <v>0.0</v>
      </c>
      <c r="AC97" s="14">
        <f>IF(AND(AC$5-$A97&gt;=0,AC$5-$A97&lt;=19),INDEX(HU_ord,AC$5-$A97+1)*$B97,0)</f>
        <v>0.0</v>
      </c>
      <c r="AD97" s="14">
        <f>IF(AND(AD$5-$A97&gt;=0,AD$5-$A97&lt;=19),INDEX(HU_ord,AD$5-$A97+1)*$B97,0)</f>
        <v>0.0</v>
      </c>
      <c r="AE97" s="14">
        <f>IF(AND(AE$5-$A97&gt;=0,AE$5-$A97&lt;=19),INDEX(HU_ord,AE$5-$A97+1)*$B97,0)</f>
        <v>0.0</v>
      </c>
      <c r="AF97" s="14">
        <f>IF(AND(AF$5-$A97&gt;=0,AF$5-$A97&lt;=19),INDEX(HU_ord,AF$5-$A97+1)*$B97,0)</f>
        <v>0.0</v>
      </c>
      <c r="AG97" s="14">
        <f>IF(AND(AG$5-$A97&gt;=0,AG$5-$A97&lt;=19),INDEX(HU_ord,AG$5-$A97+1)*$B97,0)</f>
        <v>0.0</v>
      </c>
      <c r="AH97" s="14">
        <f>IF(AND(AH$5-$A97&gt;=0,AH$5-$A97&lt;=19),INDEX(HU_ord,AH$5-$A97+1)*$B97,0)</f>
        <v>0.0</v>
      </c>
      <c r="AI97" s="14">
        <f>IF(AND(AI$5-$A97&gt;=0,AI$5-$A97&lt;=19),INDEX(HU_ord,AI$5-$A97+1)*$B97,0)</f>
        <v>0.0</v>
      </c>
      <c r="AJ97" s="14">
        <f>IF(AND(AJ$5-$A97&gt;=0,AJ$5-$A97&lt;=19),INDEX(HU_ord,AJ$5-$A97+1)*$B97,0)</f>
        <v>0.0</v>
      </c>
      <c r="AK97" s="14">
        <f>IF(AND(AK$5-$A97&gt;=0,AK$5-$A97&lt;=19),INDEX(HU_ord,AK$5-$A97+1)*$B97,0)</f>
        <v>0.0</v>
      </c>
      <c r="AL97" s="14">
        <f>IF(AND(AL$5-$A97&gt;=0,AL$5-$A97&lt;=19),INDEX(HU_ord,AL$5-$A97+1)*$B97,0)</f>
        <v>0.0</v>
      </c>
      <c r="AM97" s="14">
        <f>IF(AND(AM$5-$A97&gt;=0,AM$5-$A97&lt;=19),INDEX(HU_ord,AM$5-$A97+1)*$B97,0)</f>
        <v>0.0</v>
      </c>
      <c r="AN97" s="14">
        <f>IF(AND(AN$5-$A97&gt;=0,AN$5-$A97&lt;=19),INDEX(HU_ord,AN$5-$A97+1)*$B97,0)</f>
        <v>0.0</v>
      </c>
      <c r="AO97" s="14">
        <f>IF(AND(AO$5-$A97&gt;=0,AO$5-$A97&lt;=19),INDEX(HU_ord,AO$5-$A97+1)*$B97,0)</f>
        <v>0.0</v>
      </c>
      <c r="AP97" s="14">
        <f>IF(AND(AP$5-$A97&gt;=0,AP$5-$A97&lt;=19),INDEX(HU_ord,AP$5-$A97+1)*$B97,0)</f>
        <v>0.0</v>
      </c>
      <c r="AQ97" s="14">
        <f>IF(AND(AQ$5-$A97&gt;=0,AQ$5-$A97&lt;=19),INDEX(HU_ord,AQ$5-$A97+1)*$B97,0)</f>
        <v>0.0</v>
      </c>
      <c r="AR97" s="14">
        <f>IF(AND(AR$5-$A97&gt;=0,AR$5-$A97&lt;=19),INDEX(HU_ord,AR$5-$A97+1)*$B97,0)</f>
        <v>0.0</v>
      </c>
      <c r="AS97" s="14">
        <f>IF(AND(AS$5-$A97&gt;=0,AS$5-$A97&lt;=19),INDEX(HU_ord,AS$5-$A97+1)*$B97,0)</f>
        <v>0.0</v>
      </c>
      <c r="AT97" s="14">
        <f>IF(AND(AT$5-$A97&gt;=0,AT$5-$A97&lt;=19),INDEX(HU_ord,AT$5-$A97+1)*$B97,0)</f>
        <v>0.0</v>
      </c>
      <c r="AU97" s="14">
        <f>IF(AND(AU$5-$A97&gt;=0,AU$5-$A97&lt;=19),INDEX(HU_ord,AU$5-$A97+1)*$B97,0)</f>
        <v>0.0</v>
      </c>
      <c r="AV97" s="14">
        <f>IF(AND(AV$5-$A97&gt;=0,AV$5-$A97&lt;=19),INDEX(HU_ord,AV$5-$A97+1)*$B97,0)</f>
        <v>0.0</v>
      </c>
      <c r="AW97" s="14">
        <f>IF(AND(AW$5-$A97&gt;=0,AW$5-$A97&lt;=19),INDEX(HU_ord,AW$5-$A97+1)*$B97,0)</f>
        <v>0.0</v>
      </c>
      <c r="AX97" s="14">
        <f>IF(AND(AX$5-$A97&gt;=0,AX$5-$A97&lt;=19),INDEX(HU_ord,AX$5-$A97+1)*$B97,0)</f>
        <v>0.0</v>
      </c>
      <c r="AY97" s="14">
        <f>IF(AND(AY$5-$A97&gt;=0,AY$5-$A97&lt;=19),INDEX(HU_ord,AY$5-$A97+1)*$B97,0)</f>
        <v>0.0</v>
      </c>
      <c r="AZ97" s="14">
        <f>IF(AND(AZ$5-$A97&gt;=0,AZ$5-$A97&lt;=19),INDEX(HU_ord,AZ$5-$A97+1)*$B97,0)</f>
        <v>0.0</v>
      </c>
      <c r="BA97" s="14">
        <f>IF(AND(BA$5-$A97&gt;=0,BA$5-$A97&lt;=19),INDEX(HU_ord,BA$5-$A97+1)*$B97,0)</f>
        <v>0.0</v>
      </c>
      <c r="BB97" s="14">
        <f>IF(AND(BB$5-$A97&gt;=0,BB$5-$A97&lt;=19),INDEX(HU_ord,BB$5-$A97+1)*$B97,0)</f>
        <v>0.0</v>
      </c>
      <c r="BC97" s="14">
        <f>IF(AND(BC$5-$A97&gt;=0,BC$5-$A97&lt;=19),INDEX(HU_ord,BC$5-$A97+1)*$B97,0)</f>
        <v>0.0</v>
      </c>
      <c r="BD97" s="14">
        <f>IF(AND(BD$5-$A97&gt;=0,BD$5-$A97&lt;=19),INDEX(HU_ord,BD$5-$A97+1)*$B97,0)</f>
        <v>0.0</v>
      </c>
      <c r="BE97" s="14">
        <f>IF(AND(BE$5-$A97&gt;=0,BE$5-$A97&lt;=19),INDEX(HU_ord,BE$5-$A97+1)*$B97,0)</f>
        <v>0.0</v>
      </c>
      <c r="BF97" s="14">
        <f>IF(AND(BF$5-$A97&gt;=0,BF$5-$A97&lt;=19),INDEX(HU_ord,BF$5-$A97+1)*$B97,0)</f>
        <v>0.0</v>
      </c>
      <c r="BG97" s="14">
        <f>IF(AND(BG$5-$A97&gt;=0,BG$5-$A97&lt;=19),INDEX(HU_ord,BG$5-$A97+1)*$B97,0)</f>
        <v>0.0</v>
      </c>
      <c r="BH97" s="14">
        <f>IF(AND(BH$5-$A97&gt;=0,BH$5-$A97&lt;=19),INDEX(HU_ord,BH$5-$A97+1)*$B97,0)</f>
        <v>0.0</v>
      </c>
      <c r="BI97" s="14">
        <f>IF(AND(BI$5-$A97&gt;=0,BI$5-$A97&lt;=19),INDEX(HU_ord,BI$5-$A97+1)*$B97,0)</f>
        <v>0.0</v>
      </c>
      <c r="BJ97" s="14">
        <f>IF(AND(BJ$5-$A97&gt;=0,BJ$5-$A97&lt;=19),INDEX(HU_ord,BJ$5-$A97+1)*$B97,0)</f>
        <v>0.0</v>
      </c>
      <c r="BK97" s="14">
        <f>IF(AND(BK$5-$A97&gt;=0,BK$5-$A97&lt;=19),INDEX(HU_ord,BK$5-$A97+1)*$B97,0)</f>
        <v>0.0</v>
      </c>
      <c r="BL97" s="14">
        <f>IF(AND(BL$5-$A97&gt;=0,BL$5-$A97&lt;=19),INDEX(HU_ord,BL$5-$A97+1)*$B97,0)</f>
        <v>0.0</v>
      </c>
      <c r="BM97" s="14">
        <f>IF(AND(BM$5-$A97&gt;=0,BM$5-$A97&lt;=19),INDEX(HU_ord,BM$5-$A97+1)*$B97,0)</f>
        <v>0.0</v>
      </c>
      <c r="BN97" s="14">
        <f>IF(AND(BN$5-$A97&gt;=0,BN$5-$A97&lt;=19),INDEX(HU_ord,BN$5-$A97+1)*$B97,0)</f>
        <v>0.0</v>
      </c>
      <c r="BO97" s="14">
        <f>IF(AND(BO$5-$A97&gt;=0,BO$5-$A97&lt;=19),INDEX(HU_ord,BO$5-$A97+1)*$B97,0)</f>
        <v>0.0</v>
      </c>
      <c r="BP97" s="14">
        <f>IF(AND(BP$5-$A97&gt;=0,BP$5-$A97&lt;=19),INDEX(HU_ord,BP$5-$A97+1)*$B97,0)</f>
        <v>0.0</v>
      </c>
      <c r="BQ97" s="14">
        <f>IF(AND(BQ$5-$A97&gt;=0,BQ$5-$A97&lt;=19),INDEX(HU_ord,BQ$5-$A97+1)*$B97,0)</f>
        <v>0.0</v>
      </c>
      <c r="BR97" s="14">
        <f>IF(AND(BR$5-$A97&gt;=0,BR$5-$A97&lt;=19),INDEX(HU_ord,BR$5-$A97+1)*$B97,0)</f>
        <v>0.0</v>
      </c>
      <c r="BS97" s="14">
        <f>IF(AND(BS$5-$A97&gt;=0,BS$5-$A97&lt;=19),INDEX(HU_ord,BS$5-$A97+1)*$B97,0)</f>
        <v>0.0</v>
      </c>
      <c r="BT97" s="14">
        <f>IF(AND(BT$5-$A97&gt;=0,BT$5-$A97&lt;=19),INDEX(HU_ord,BT$5-$A97+1)*$B97,0)</f>
        <v>0.0</v>
      </c>
      <c r="BU97" s="14">
        <f>IF(AND(BU$5-$A97&gt;=0,BU$5-$A97&lt;=19),INDEX(HU_ord,BU$5-$A97+1)*$B97,0)</f>
        <v>0.0</v>
      </c>
      <c r="BV97" s="14">
        <f>IF(AND(BV$5-$A97&gt;=0,BV$5-$A97&lt;=19),INDEX(HU_ord,BV$5-$A97+1)*$B97,0)</f>
        <v>0.0</v>
      </c>
      <c r="BW97" s="14">
        <f>IF(AND(BW$5-$A97&gt;=0,BW$5-$A97&lt;=19),INDEX(HU_ord,BW$5-$A97+1)*$B97,0)</f>
        <v>0.0</v>
      </c>
      <c r="BX97" s="14">
        <f>IF(AND(BX$5-$A97&gt;=0,BX$5-$A97&lt;=19),INDEX(HU_ord,BX$5-$A97+1)*$B97,0)</f>
        <v>0.0</v>
      </c>
      <c r="BY97" s="14">
        <f>IF(AND(BY$5-$A97&gt;=0,BY$5-$A97&lt;=19),INDEX(HU_ord,BY$5-$A97+1)*$B97,0)</f>
        <v>0.0</v>
      </c>
      <c r="BZ97" s="14">
        <f>IF(AND(BZ$5-$A97&gt;=0,BZ$5-$A97&lt;=19),INDEX(HU_ord,BZ$5-$A97+1)*$B97,0)</f>
        <v>0.0</v>
      </c>
      <c r="CA97" s="14">
        <f>IF(AND(CA$5-$A97&gt;=0,CA$5-$A97&lt;=19),INDEX(HU_ord,CA$5-$A97+1)*$B97,0)</f>
        <v>0.0</v>
      </c>
      <c r="CB97" s="14">
        <f>IF(AND(CB$5-$A97&gt;=0,CB$5-$A97&lt;=19),INDEX(HU_ord,CB$5-$A97+1)*$B97,0)</f>
        <v>0.0</v>
      </c>
      <c r="CC97" s="14">
        <f>IF(AND(CC$5-$A97&gt;=0,CC$5-$A97&lt;=19),INDEX(HU_ord,CC$5-$A97+1)*$B97,0)</f>
        <v>0.0</v>
      </c>
      <c r="CD97" s="14">
        <f>IF(AND(CD$5-$A97&gt;=0,CD$5-$A97&lt;=19),INDEX(HU_ord,CD$5-$A97+1)*$B97,0)</f>
        <v>0.0</v>
      </c>
      <c r="CE97" s="14">
        <f>IF(AND(CE$5-$A97&gt;=0,CE$5-$A97&lt;=19),INDEX(HU_ord,CE$5-$A97+1)*$B97,0)</f>
        <v>0.0</v>
      </c>
      <c r="CF97" s="14">
        <f>IF(AND(CF$5-$A97&gt;=0,CF$5-$A97&lt;=19),INDEX(HU_ord,CF$5-$A97+1)*$B97,0)</f>
        <v>0.0</v>
      </c>
      <c r="CG97" s="14">
        <f>IF(AND(CG$5-$A97&gt;=0,CG$5-$A97&lt;=19),INDEX(HU_ord,CG$5-$A97+1)*$B97,0)</f>
        <v>0.0</v>
      </c>
      <c r="CH97" s="14">
        <f>IF(AND(CH$5-$A97&gt;=0,CH$5-$A97&lt;=19),INDEX(HU_ord,CH$5-$A97+1)*$B97,0)</f>
        <v>0.0</v>
      </c>
      <c r="CI97" s="14">
        <f>IF(AND(CI$5-$A97&gt;=0,CI$5-$A97&lt;=19),INDEX(HU_ord,CI$5-$A97+1)*$B97,0)</f>
        <v>0.0</v>
      </c>
      <c r="CJ97" s="14">
        <f>IF(AND(CJ$5-$A97&gt;=0,CJ$5-$A97&lt;=19),INDEX(HU_ord,CJ$5-$A97+1)*$B97,0)</f>
        <v>0.0</v>
      </c>
      <c r="CK97" s="14">
        <f>IF(AND(CK$5-$A97&gt;=0,CK$5-$A97&lt;=19),INDEX(HU_ord,CK$5-$A97+1)*$B97,0)</f>
        <v>0.0</v>
      </c>
      <c r="CL97" s="14">
        <f>IF(AND(CL$5-$A97&gt;=0,CL$5-$A97&lt;=19),INDEX(HU_ord,CL$5-$A97+1)*$B97,0)</f>
        <v>0.0</v>
      </c>
      <c r="CM97" s="14">
        <f>IF(AND(CM$5-$A97&gt;=0,CM$5-$A97&lt;=19),INDEX(HU_ord,CM$5-$A97+1)*$B97,0)</f>
        <v>0.0</v>
      </c>
      <c r="CN97" s="14">
        <f>IF(AND(CN$5-$A97&gt;=0,CN$5-$A97&lt;=19),INDEX(HU_ord,CN$5-$A97+1)*$B97,0)</f>
        <v>0.0</v>
      </c>
      <c r="CO97" s="14">
        <f>IF(AND(CO$5-$A97&gt;=0,CO$5-$A97&lt;=19),INDEX(HU_ord,CO$5-$A97+1)*$B97,0)</f>
        <v>0.0</v>
      </c>
      <c r="CP97" s="14">
        <f>IF(AND(CP$5-$A97&gt;=0,CP$5-$A97&lt;=19),INDEX(HU_ord,CP$5-$A97+1)*$B97,0)</f>
        <v>0.0</v>
      </c>
      <c r="CQ97" s="14">
        <f>IF(AND(CQ$5-$A97&gt;=0,CQ$5-$A97&lt;=19),INDEX(HU_ord,CQ$5-$A97+1)*$B97,0)</f>
        <v>0.0</v>
      </c>
      <c r="CR97" s="14">
        <f>IF(AND(CR$5-$A97&gt;=0,CR$5-$A97&lt;=19),INDEX(HU_ord,CR$5-$A97+1)*$B97,0)</f>
        <v>0.0</v>
      </c>
      <c r="CS97" s="14">
        <f>IF(AND(CS$5-$A97&gt;=0,CS$5-$A97&lt;=19),INDEX(HU_ord,CS$5-$A97+1)*$B97,0)</f>
        <v>0.0</v>
      </c>
      <c r="CT97" s="14">
        <f>IF(AND(CT$5-$A97&gt;=0,CT$5-$A97&lt;=19),INDEX(HU_ord,CT$5-$A97+1)*$B97,0)</f>
        <v>0.0</v>
      </c>
      <c r="CU97" s="14">
        <f>IF(AND(CU$5-$A97&gt;=0,CU$5-$A97&lt;=19),INDEX(HU_ord,CU$5-$A97+1)*$B97,0)</f>
        <v>0.0</v>
      </c>
      <c r="CV97" s="14">
        <f>IF(AND(CV$5-$A97&gt;=0,CV$5-$A97&lt;=19),INDEX(HU_ord,CV$5-$A97+1)*$B97,0)</f>
        <v>0.0</v>
      </c>
      <c r="CW97" s="14">
        <f>IF(AND(CW$5-$A97&gt;=0,CW$5-$A97&lt;=19),INDEX(HU_ord,CW$5-$A97+1)*$B97,0)</f>
        <v>0.0</v>
      </c>
      <c r="CX97" s="14">
        <f>IF(AND(CX$5-$A97&gt;=0,CX$5-$A97&lt;=19),INDEX(HU_ord,CX$5-$A97+1)*$B97,0)</f>
        <v>0.0</v>
      </c>
      <c r="CY97" s="14">
        <f>IF(AND(CY$5-$A97&gt;=0,CY$5-$A97&lt;=19),INDEX(HU_ord,CY$5-$A97+1)*$B97,0)</f>
        <v>0.0</v>
      </c>
      <c r="CZ97" s="14">
        <f>IF(AND(CZ$5-$A97&gt;=0,CZ$5-$A97&lt;=19),INDEX(HU_ord,CZ$5-$A97+1)*$B97,0)</f>
        <v>0.0</v>
      </c>
      <c r="DA97" s="14">
        <f>IF(AND(DA$5-$A97&gt;=0,DA$5-$A97&lt;=19),INDEX(HU_ord,DA$5-$A97+1)*$B97,0)</f>
        <v>0.0</v>
      </c>
      <c r="DB97" s="14">
        <f>IF(AND(DB$5-$A97&gt;=0,DB$5-$A97&lt;=19),INDEX(HU_ord,DB$5-$A97+1)*$B97,0)</f>
        <v>0.0</v>
      </c>
      <c r="DC97" s="14">
        <f>IF(AND(DC$5-$A97&gt;=0,DC$5-$A97&lt;=19),INDEX(HU_ord,DC$5-$A97+1)*$B97,0)</f>
        <v>0.0</v>
      </c>
      <c r="DD97" s="14">
        <f>IF(AND(DD$5-$A97&gt;=0,DD$5-$A97&lt;=19),INDEX(HU_ord,DD$5-$A97+1)*$B97,0)</f>
        <v>0.0</v>
      </c>
      <c r="DE97" s="14">
        <f>IF(AND(DE$5-$A97&gt;=0,DE$5-$A97&lt;=19),INDEX(HU_ord,DE$5-$A97+1)*$B97,0)</f>
        <v>0.0</v>
      </c>
      <c r="DF97" s="14">
        <f>IF(AND(DF$5-$A97&gt;=0,DF$5-$A97&lt;=19),INDEX(HU_ord,DF$5-$A97+1)*$B97,0)</f>
        <v>0.0</v>
      </c>
      <c r="DG97" s="14">
        <f>IF(AND(DG$5-$A97&gt;=0,DG$5-$A97&lt;=19),INDEX(HU_ord,DG$5-$A97+1)*$B97,0)</f>
        <v>0.0</v>
      </c>
      <c r="DH97" s="14">
        <f>IF(AND(DH$5-$A97&gt;=0,DH$5-$A97&lt;=19),INDEX(HU_ord,DH$5-$A97+1)*$B97,0)</f>
        <v>0.0</v>
      </c>
      <c r="DI97" s="14">
        <f>IF(AND(DI$5-$A97&gt;=0,DI$5-$A97&lt;=19),INDEX(HU_ord,DI$5-$A97+1)*$B97,0)</f>
        <v>0.0</v>
      </c>
    </row>
    <row r="98" spans="1:113">
      <c r="A98" s="3" t="s">
        <v>204</v>
      </c>
      <c r="C98" s="14">
        <f>SUM(C6:C97)</f>
        <v>0.0</v>
      </c>
      <c r="D98" s="14">
        <f>SUM(D6:D97)</f>
        <v>0.0</v>
      </c>
      <c r="E98" s="14">
        <f>SUM(E6:E97)</f>
        <v>0.0</v>
      </c>
      <c r="F98" s="14">
        <f>SUM(F6:F97)</f>
        <v>0.0</v>
      </c>
      <c r="G98" s="14">
        <f>SUM(G6:G97)</f>
        <v>0.0</v>
      </c>
      <c r="H98" s="14">
        <f>SUM(H6:H97)</f>
        <v>0.06439014431782328</v>
      </c>
      <c r="I98" s="14">
        <f>SUM(I6:I97)</f>
        <v>0.16422043902725536</v>
      </c>
      <c r="J98" s="14">
        <f>SUM(J6:J97)</f>
        <v>0.46491512174885424</v>
      </c>
      <c r="K98" s="14">
        <f>SUM(K6:K97)</f>
        <v>0.9464667567803166</v>
      </c>
      <c r="L98" s="14">
        <f>SUM(L6:L97)</f>
        <v>1.8599593753151158</v>
      </c>
      <c r="M98" s="14">
        <f>SUM(M6:M97)</f>
        <v>2.9496155558834314</v>
      </c>
      <c r="N98" s="14">
        <f>SUM(N6:N97)</f>
        <v>4.4934559378162575</v>
      </c>
      <c r="O98" s="14">
        <f>SUM(O6:O97)</f>
        <v>6.070785057590908</v>
      </c>
      <c r="P98" s="14">
        <f>SUM(P6:P97)</f>
        <v>7.688507090559978</v>
      </c>
      <c r="Q98" s="14">
        <f>SUM(Q6:Q97)</f>
        <v>9.187209188920072</v>
      </c>
      <c r="R98" s="14">
        <f>SUM(R6:R97)</f>
        <v>10.897933754851945</v>
      </c>
      <c r="S98" s="14">
        <f>SUM(S6:S97)</f>
        <v>12.263480730957736</v>
      </c>
      <c r="T98" s="14">
        <f>SUM(T6:T97)</f>
        <v>13.675089624210251</v>
      </c>
      <c r="U98" s="14">
        <f>SUM(U6:U97)</f>
        <v>14.475941930215553</v>
      </c>
      <c r="V98" s="14">
        <f>SUM(V6:V97)</f>
        <v>15.260603629922407</v>
      </c>
      <c r="W98" s="14">
        <f>SUM(W6:W97)</f>
        <v>16.023393296850013</v>
      </c>
      <c r="X98" s="14">
        <f>SUM(X6:X97)</f>
        <v>16.50506363692435</v>
      </c>
      <c r="Y98" s="14">
        <f>SUM(Y6:Y97)</f>
        <v>16.17369669631146</v>
      </c>
      <c r="Z98" s="14">
        <f>SUM(Z6:Z97)</f>
        <v>15.370961918958628</v>
      </c>
      <c r="AA98" s="14">
        <f>SUM(AA6:AA97)</f>
        <v>14.044665870530327</v>
      </c>
      <c r="AB98" s="14">
        <f>SUM(AB6:AB97)</f>
        <v>12.65835911212565</v>
      </c>
      <c r="AC98" s="14">
        <f>SUM(AC6:AC97)</f>
        <v>11.076855733449307</v>
      </c>
      <c r="AD98" s="14">
        <f>SUM(AD6:AD97)</f>
        <v>9.403583777190935</v>
      </c>
      <c r="AE98" s="14">
        <f>SUM(AE6:AE97)</f>
        <v>7.75649187381966</v>
      </c>
      <c r="AF98" s="14">
        <f>SUM(AF6:AF97)</f>
        <v>6.296596453736666</v>
      </c>
      <c r="AG98" s="14">
        <f>SUM(AG6:AG97)</f>
        <v>4.995280847914215</v>
      </c>
      <c r="AH98" s="14">
        <f>SUM(AH6:AH97)</f>
        <v>3.7706451022524012</v>
      </c>
      <c r="AI98" s="14">
        <f>SUM(AI6:AI97)</f>
        <v>2.6475384243672364</v>
      </c>
      <c r="AJ98" s="14">
        <f>SUM(AJ6:AJ97)</f>
        <v>1.7678691180224364</v>
      </c>
      <c r="AK98" s="14">
        <f>SUM(AK6:AK97)</f>
        <v>1.1267454246327855</v>
      </c>
      <c r="AL98" s="14">
        <f>SUM(AL6:AL97)</f>
        <v>0.6935373695272045</v>
      </c>
      <c r="AM98" s="14">
        <f>SUM(AM6:AM97)</f>
        <v>0.37780356454644093</v>
      </c>
      <c r="AN98" s="14">
        <f>SUM(AN6:AN97)</f>
        <v>0.1494316763668982</v>
      </c>
      <c r="AO98" s="14">
        <f>SUM(AO6:AO97)</f>
        <v>0.0362403521814038</v>
      </c>
      <c r="AP98" s="14">
        <f>SUM(AP6:AP97)</f>
        <v>0.0037420876918836986</v>
      </c>
      <c r="AQ98" s="14">
        <f>SUM(AQ6:AQ97)</f>
        <v>0.0</v>
      </c>
      <c r="AR98" s="14">
        <f>SUM(AR6:AR97)</f>
        <v>0.0</v>
      </c>
      <c r="AS98" s="14">
        <f>SUM(AS6:AS97)</f>
        <v>0.0</v>
      </c>
      <c r="AT98" s="14">
        <f>SUM(AT6:AT97)</f>
        <v>0.0</v>
      </c>
      <c r="AU98" s="14">
        <f>SUM(AU6:AU97)</f>
        <v>0.0</v>
      </c>
      <c r="AV98" s="14">
        <f>SUM(AV6:AV97)</f>
        <v>0.0</v>
      </c>
      <c r="AW98" s="14">
        <f>SUM(AW6:AW97)</f>
        <v>0.0</v>
      </c>
      <c r="AX98" s="14">
        <f>SUM(AX6:AX97)</f>
        <v>0.006948660428232896</v>
      </c>
      <c r="AY98" s="14">
        <f>SUM(AY6:AY97)</f>
        <v>0.013897320856465792</v>
      </c>
      <c r="AZ98" s="14">
        <f>SUM(AZ6:AZ97)</f>
        <v>0.02084598128469869</v>
      </c>
      <c r="BA98" s="14">
        <f>SUM(BA6:BA97)</f>
        <v>0.027794641712931584</v>
      </c>
      <c r="BB98" s="14">
        <f>SUM(BB6:BB97)</f>
        <v>0.03474330214116449</v>
      </c>
      <c r="BC98" s="14">
        <f>SUM(BC6:BC97)</f>
        <v>0.04169196256939738</v>
      </c>
      <c r="BD98" s="14">
        <f>SUM(BD6:BD97)</f>
        <v>0.04743190559657641</v>
      </c>
      <c r="BE98" s="14">
        <f>SUM(BE6:BE97)</f>
        <v>0.043271031088652524</v>
      </c>
      <c r="BF98" s="14">
        <f>SUM(BF6:BF97)</f>
        <v>0.03911015658072863</v>
      </c>
      <c r="BG98" s="14">
        <f>SUM(BG6:BG97)</f>
        <v>0.03494928207280474</v>
      </c>
      <c r="BH98" s="14">
        <f>SUM(BH6:BH97)</f>
        <v>0.030788407564880844</v>
      </c>
      <c r="BI98" s="14">
        <f>SUM(BI6:BI97)</f>
        <v>0.026627533056956955</v>
      </c>
      <c r="BJ98" s="14">
        <f>SUM(BJ6:BJ97)</f>
        <v>0.022466658549033066</v>
      </c>
      <c r="BK98" s="14">
        <f>SUM(BK6:BK97)</f>
        <v>0.018305784041109177</v>
      </c>
      <c r="BL98" s="14">
        <f>SUM(BL6:BL97)</f>
        <v>0.014144909533185287</v>
      </c>
      <c r="BM98" s="14">
        <f>SUM(BM6:BM97)</f>
        <v>0.009984035025261394</v>
      </c>
      <c r="BN98" s="14">
        <f>SUM(BN6:BN97)</f>
        <v>0.005823160517337503</v>
      </c>
      <c r="BO98" s="14">
        <f>SUM(BO6:BO97)</f>
        <v>0.017341990823031145</v>
      </c>
      <c r="BP98" s="14">
        <f>SUM(BP6:BP97)</f>
        <v>0.03135940962723507</v>
      </c>
      <c r="BQ98" s="14">
        <f>SUM(BQ6:BQ97)</f>
        <v>0.047039114440852604</v>
      </c>
      <c r="BR98" s="14">
        <f>SUM(BR6:BR97)</f>
        <v>0.06271881925447013</v>
      </c>
      <c r="BS98" s="14">
        <f>SUM(BS6:BS97)</f>
        <v>0.07839852406808767</v>
      </c>
      <c r="BT98" s="14">
        <f>SUM(BT6:BT97)</f>
        <v>0.09407822888170521</v>
      </c>
      <c r="BU98" s="14">
        <f>SUM(BU6:BU97)</f>
        <v>0.10703045373751634</v>
      </c>
      <c r="BV98" s="14">
        <f>SUM(BV6:BV97)</f>
        <v>0.09764140893894298</v>
      </c>
      <c r="BW98" s="14">
        <f>SUM(BW6:BW97)</f>
        <v>0.0882523641403696</v>
      </c>
      <c r="BX98" s="14">
        <f>SUM(BX6:BX97)</f>
        <v>0.07886331934179622</v>
      </c>
      <c r="BY98" s="14">
        <f>SUM(BY6:BY97)</f>
        <v>0.06947427454322284</v>
      </c>
      <c r="BZ98" s="14">
        <f>SUM(BZ6:BZ97)</f>
        <v>0.06008522974464947</v>
      </c>
      <c r="CA98" s="14">
        <f>SUM(CA6:CA97)</f>
        <v>0.050696184946076105</v>
      </c>
      <c r="CB98" s="14">
        <f>SUM(CB6:CB97)</f>
        <v>0.04130714014750273</v>
      </c>
      <c r="CC98" s="14">
        <f>SUM(CC6:CC97)</f>
        <v>0.03191809534892935</v>
      </c>
      <c r="CD98" s="14">
        <f>SUM(CD6:CD97)</f>
        <v>0.022529050550355974</v>
      </c>
      <c r="CE98" s="14">
        <f>SUM(CE6:CE97)</f>
        <v>0.013140005751782601</v>
      </c>
      <c r="CF98" s="14">
        <f>SUM(CF6:CF97)</f>
        <v>0.003750960953209227</v>
      </c>
      <c r="CG98" s="14">
        <f>SUM(CG6:CG97)</f>
        <v>0.0</v>
      </c>
      <c r="CH98" s="14">
        <f>SUM(CH6:CH97)</f>
        <v>0.0</v>
      </c>
      <c r="CI98" s="14">
        <f>SUM(CI6:CI97)</f>
        <v>0.0</v>
      </c>
      <c r="CJ98" s="14">
        <f>SUM(CJ6:CJ97)</f>
        <v>0.0</v>
      </c>
      <c r="CK98" s="14">
        <f>SUM(CK6:CK97)</f>
        <v>0.0</v>
      </c>
      <c r="CL98" s="14">
        <f>SUM(CL6:CL97)</f>
        <v>0.0</v>
      </c>
      <c r="CM98" s="14">
        <f>SUM(CM6:CM97)</f>
        <v>0.0</v>
      </c>
      <c r="CN98" s="14">
        <f>SUM(CN6:CN97)</f>
        <v>0.01570535879933239</v>
      </c>
      <c r="CO98" s="14">
        <f>SUM(CO6:CO97)</f>
        <v>0.03141071759866478</v>
      </c>
      <c r="CP98" s="14">
        <f>SUM(CP6:CP97)</f>
        <v>0.04711607639799718</v>
      </c>
      <c r="CQ98" s="14">
        <f>SUM(CQ6:CQ97)</f>
        <v>0.06282143519732956</v>
      </c>
      <c r="CR98" s="14">
        <f>SUM(CR6:CR97)</f>
        <v>0.07852679399666196</v>
      </c>
      <c r="CS98" s="14">
        <f>SUM(CS6:CS97)</f>
        <v>0.09423215279599435</v>
      </c>
      <c r="CT98" s="14">
        <f>SUM(CT6:CT97)</f>
        <v>0.10720556913438609</v>
      </c>
      <c r="CU98" s="14">
        <f>SUM(CU6:CU97)</f>
        <v>0.09780116266772</v>
      </c>
      <c r="CV98" s="14">
        <f>SUM(CV6:CV97)</f>
        <v>0.08839675620105389</v>
      </c>
      <c r="CW98" s="14">
        <f>SUM(CW6:CW97)</f>
        <v>0.07899234973438778</v>
      </c>
      <c r="CX98" s="14">
        <f>SUM(CX6:CX97)</f>
        <v>0.06958794326772168</v>
      </c>
      <c r="CY98" s="14">
        <f>SUM(CY6:CY97)</f>
        <v>0.06018353680105557</v>
      </c>
      <c r="CZ98" s="14">
        <f>SUM(CZ6:CZ97)</f>
        <v>0.05077913033438947</v>
      </c>
      <c r="DA98" s="14">
        <f>SUM(DA6:DA97)</f>
        <v>0.04137472386772337</v>
      </c>
      <c r="DB98" s="14">
        <f>SUM(DB6:DB97)</f>
        <v>0.03197031740105726</v>
      </c>
      <c r="DC98" s="14">
        <f>SUM(DC6:DC97)</f>
        <v>0.022565910934391153</v>
      </c>
      <c r="DD98" s="14">
        <f>SUM(DD6:DD97)</f>
        <v>0.013161504467725049</v>
      </c>
      <c r="DE98" s="14">
        <f>SUM(DE6:DE97)</f>
        <v>0.0037570980010589445</v>
      </c>
      <c r="DF98" s="14">
        <f>SUM(DF6:DF97)</f>
        <v>0.0</v>
      </c>
      <c r="DG98" s="14">
        <f>SUM(DG6:DG97)</f>
        <v>0.0</v>
      </c>
      <c r="DH98" s="14">
        <f>SUM(DH6:DH97)</f>
        <v>0.0</v>
      </c>
      <c r="DI98" s="14">
        <f>SUM(DI6:DI97)</f>
        <v>0.0</v>
      </c>
    </row>
    <row r="100" spans="1:113">
      <c r="A100" s="3" t="s">
        <v>205</v>
      </c>
      <c r="F100" s="12">
        <f>MAX(C98:DI98)</f>
        <v>16.50506363692435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cols>
    <col min="1" max="1" width="56.7109375" customWidth="1"/>
    <col min="2" max="5" width="20.7109375" customWidth="1"/>
  </cols>
  <sheetData>
    <row r="1" spans="1:5">
      <c r="A1" s="1" t="s">
        <v>206</v>
      </c>
    </row>
    <row r="3" spans="1:5">
      <c r="A3" s="4" t="s">
        <v>207</v>
      </c>
      <c r="B3" s="4" t="s">
        <v>208</v>
      </c>
      <c r="C3" s="4" t="s">
        <v>209</v>
      </c>
      <c r="D3" s="4" t="s">
        <v>210</v>
      </c>
      <c r="E3" s="4" t="s">
        <v>211</v>
      </c>
    </row>
    <row r="4" spans="1:5">
      <c r="A4" t="s">
        <v>212</v>
      </c>
      <c r="B4" s="11">
        <v>62.80000343</v>
      </c>
      <c r="C4" s="10">
        <f>Serie_horaria!R10</f>
        <v>62.800003430000004</v>
      </c>
      <c r="D4" s="10">
        <f>C4-B4</f>
        <v>7.105427357601002e-15</v>
      </c>
      <c r="E4" s="10">
        <f>IF(B4=0,0,D4/B4*100)</f>
        <v>1.131437415528339e-14</v>
      </c>
    </row>
    <row r="5" spans="1:5">
      <c r="A5" t="s">
        <v>213</v>
      </c>
      <c r="B5" s="11">
        <v>79.00000218000001</v>
      </c>
      <c r="C5" s="10">
        <f>Serie_horaria!R11</f>
        <v>79.00000218000001</v>
      </c>
      <c r="D5" s="10">
        <f>C5-B5</f>
        <v>0.0</v>
      </c>
      <c r="E5" s="10">
        <f>IF(B5=0,0,D5/B5*100)</f>
        <v>0.0</v>
      </c>
    </row>
    <row r="6" spans="1:5">
      <c r="A6" t="s">
        <v>214</v>
      </c>
      <c r="B6" s="11">
        <v>74.0396279229755</v>
      </c>
      <c r="C6" s="10">
        <f>Serie_horaria!R12</f>
        <v>74.02126930920373</v>
      </c>
      <c r="D6" s="10">
        <f>C6-B6</f>
        <v>-0.01835861377176684</v>
      </c>
      <c r="E6" s="10">
        <f>IF(B6=0,0,D6/B6*100)</f>
        <v>-0.024795659144675297</v>
      </c>
    </row>
    <row r="7" spans="1:5">
      <c r="A7" t="s">
        <v>215</v>
      </c>
      <c r="B7" s="11">
        <v>2436681.600000001</v>
      </c>
      <c r="C7" s="10">
        <f>Serie_horaria!R13</f>
        <v>2436681.6000000006</v>
      </c>
      <c r="D7" s="10">
        <f>C7-B7</f>
        <v>-4.656612873077393e-10</v>
      </c>
      <c r="E7" s="10">
        <f>IF(B7=0,0,D7/B7*100)</f>
        <v>-1.9110469226169685e-14</v>
      </c>
    </row>
    <row r="8" spans="1:5">
      <c r="A8" t="s">
        <v>216</v>
      </c>
      <c r="B8" s="11">
        <v>1283688</v>
      </c>
      <c r="C8" s="10">
        <f>Serie_horaria!R14</f>
        <v>1283688.0</v>
      </c>
      <c r="D8" s="10">
        <f>C8-B8</f>
        <v>0.0</v>
      </c>
      <c r="E8" s="10">
        <f>IF(B8=0,0,D8/B8*100)</f>
        <v>0.0</v>
      </c>
    </row>
    <row r="9" spans="1:5">
      <c r="A9" t="s">
        <v>217</v>
      </c>
      <c r="B9" s="11">
        <v>1152993.6</v>
      </c>
      <c r="C9" s="10">
        <f>Serie_horaria!R15</f>
        <v>1152993.6</v>
      </c>
      <c r="D9" s="10">
        <f>C9-B9</f>
        <v>0.0</v>
      </c>
      <c r="E9" s="10">
        <f>IF(B9=0,0,D9/B9*100)</f>
        <v>0.0</v>
      </c>
    </row>
    <row r="10" spans="1:5">
      <c r="A10" t="s">
        <v>218</v>
      </c>
      <c r="B10" s="11">
        <v>1821.753506089142</v>
      </c>
      <c r="C10" s="10">
        <f>Serie_horaria!R16</f>
        <v>1821.7535060891419</v>
      </c>
      <c r="D10" s="10">
        <f>C10-B10</f>
        <v>-2.2737367544323206e-13</v>
      </c>
      <c r="E10" s="10">
        <f>IF(B10=0,0,D10/B10*100)</f>
        <v>-1.2481034052260318e-14</v>
      </c>
    </row>
    <row r="11" spans="1:5">
      <c r="A11" t="s">
        <v>219</v>
      </c>
      <c r="B11" s="11">
        <v>1239.836469266639</v>
      </c>
      <c r="C11" s="10">
        <f>Serie_horaria!R17</f>
        <v>1239.8364692666387</v>
      </c>
      <c r="D11" s="10">
        <f>C11-B11</f>
        <v>-2.2737367544323206e-13</v>
      </c>
      <c r="E11" s="10">
        <f>IF(B11=0,0,D11/B11*100)</f>
        <v>-1.8339005270406602e-14</v>
      </c>
    </row>
    <row r="12" spans="1:5">
      <c r="A12" t="s">
        <v>220</v>
      </c>
      <c r="B12" s="11">
        <v>581.9170368225031</v>
      </c>
      <c r="C12" s="10">
        <f>Serie_horaria!R18</f>
        <v>581.9170368225031</v>
      </c>
      <c r="D12" s="10">
        <f>C12-B12</f>
        <v>0.0</v>
      </c>
      <c r="E12" s="10">
        <f>IF(B12=0,0,D12/B12*100)</f>
        <v>0.0</v>
      </c>
    </row>
    <row r="13" spans="1:5">
      <c r="A13" t="s">
        <v>221</v>
      </c>
      <c r="B13" s="11">
        <v>20.95</v>
      </c>
      <c r="C13" s="10">
        <f>Serie_horaria!R7</f>
        <v>20.95</v>
      </c>
      <c r="D13" s="10">
        <f>C13-B13</f>
        <v>0.0</v>
      </c>
      <c r="E13" s="10">
        <f>IF(B13=0,0,D13/B13*100)</f>
        <v>0.0</v>
      </c>
    </row>
    <row r="14" spans="1:5">
      <c r="A14" t="s">
        <v>222</v>
      </c>
      <c r="B14" s="11">
        <v>16.50506363692435</v>
      </c>
      <c r="C14" s="10">
        <f>Qp_calc</f>
        <v>16.50506363692435</v>
      </c>
      <c r="D14" s="10">
        <f>C14-B14</f>
        <v>0.0</v>
      </c>
      <c r="E14" s="10">
        <f>IF(B14=0,0,D14/B14*100)</f>
        <v>0.0</v>
      </c>
    </row>
    <row r="16" spans="1:5">
      <c r="A16" s="3" t="s">
        <v>223</v>
      </c>
      <c r="B16" s="12">
        <f>(Qp_calc-20.95)/20.95*100</f>
        <v>-21.216880014680896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Roteiro</vt:lpstr>
      <vt:lpstr>Evento</vt:lpstr>
      <vt:lpstr>Pesos_postos</vt:lpstr>
      <vt:lpstr>Serie_horaria</vt:lpstr>
      <vt:lpstr>HU</vt:lpstr>
      <vt:lpstr>Convolucao</vt:lpstr>
      <vt:lpstr>Checagem</vt:lpstr>
      <vt:lpstr>HU_ord</vt:lpstr>
      <vt:lpstr>Qp_calc</vt:lpstr>
      <vt:lpstr>w1_DBT5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2026-10-17T01:30:22Z</dcterms:created>
  <dcterms:modified xsi:type="dcterms:W3CDTF">2026-10-17T01:30:22Z</dcterms:modified>
</cp:coreProperties>
</file>