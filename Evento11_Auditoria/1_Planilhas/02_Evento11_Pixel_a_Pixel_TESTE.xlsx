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teiro" sheetId="1" r:id="rId1"/>
    <sheet name="Parametros" sheetId="2" r:id="rId2"/>
    <sheet name="Classes" sheetId="3" r:id="rId3"/>
    <sheet name="Pixels" sheetId="4" r:id="rId4"/>
    <sheet name="Resumo" sheetId="5" r:id="rId5"/>
    <sheet name="Calibracao_c" sheetId="6" r:id="rId6"/>
    <sheet name="Conferencia" sheetId="7" r:id="rId7"/>
  </sheets>
  <definedNames>
    <definedName name="A_pixel">Parametros!$B$7</definedName>
    <definedName name="c_pura">Parametros!$B$24</definedName>
    <definedName name="c_restr">Parametros!$B$25</definedName>
    <definedName name="Classes_C">Classes!$A$14:$B$22</definedName>
    <definedName name="Classes_K">Classes!$A$5:$B$9</definedName>
    <definedName name="coef_W">Parametros!$B$20</definedName>
    <definedName name="dx_pix">Parametros!$B$5</definedName>
    <definedName name="dy_pix">Parametros!$B$6</definedName>
    <definedName name="exp_M">Parametros!$B$21</definedName>
    <definedName name="fator_f">Parametros!$B$23</definedName>
    <definedName name="fator_P">Parametros!$B$22</definedName>
    <definedName name="P_CLP">Parametros!$B$15</definedName>
    <definedName name="P_DBT5">Parametros!$B$14</definedName>
    <definedName name="p_lambda">Parametros!$B$4</definedName>
    <definedName name="R_evento_mm">Parametros!$B$17</definedName>
    <definedName name="RI_mmh">Parametros!$B$16</definedName>
    <definedName name="SY_obs_t">Parametros!$B$19</definedName>
    <definedName name="V_med_m3">Parametros!$B$18</definedName>
    <definedName name="X0_canto">Parametros!$B$8</definedName>
    <definedName name="x_CLP">Parametros!$B$12</definedName>
    <definedName name="x_DBT5">Parametros!$B$10</definedName>
    <definedName name="Y0_canto">Parametros!$B$9</definedName>
    <definedName name="y_CLP">Parametros!$B$13</definedName>
    <definedName name="y_DBT5">Parametros!$B$11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00"/>
    <numFmt numFmtId="165" formatCode="0.000000"/>
    <numFmt numFmtId="166" formatCode="0.00"/>
    <numFmt numFmtId="167" formatCode="#,##0.0"/>
    <numFmt numFmtId="168" formatCode="0.0000"/>
    <numFmt numFmtId="169" formatCode="0.000E+00"/>
    <numFmt numFmtId="170" formatCode="0.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0" fillId="3" borderId="1" xfId="0" applyFill="1" applyBorder="1"/>
    <xf numFmtId="164" fontId="0" fillId="3" borderId="1" xfId="0" applyNumberFormat="1" applyFill="1" applyBorder="1"/>
    <xf numFmtId="165" fontId="3" fillId="4" borderId="1" xfId="0" applyNumberFormat="1" applyFont="1" applyFill="1" applyBorder="1"/>
    <xf numFmtId="165" fontId="0" fillId="3" borderId="1" xfId="0" applyNumberFormat="1" applyFill="1" applyBorder="1"/>
    <xf numFmtId="0" fontId="3" fillId="0" borderId="0" xfId="0" applyFont="1"/>
    <xf numFmtId="0" fontId="0" fillId="0" borderId="0" xfId="0" applyAlignment="1">
      <alignment vertical="top" wrapText="1"/>
    </xf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5" fontId="0" fillId="0" borderId="0" xfId="0" applyNumberFormat="1"/>
    <xf numFmtId="169" fontId="0" fillId="0" borderId="0" xfId="0" applyNumberFormat="1"/>
    <xf numFmtId="164" fontId="3" fillId="4" borderId="1" xfId="0" applyNumberFormat="1" applyFont="1" applyFill="1" applyBorder="1"/>
    <xf numFmtId="0" fontId="3" fillId="5" borderId="0" xfId="0" applyFont="1" applyFill="1"/>
    <xf numFmtId="164" fontId="0" fillId="5" borderId="0" xfId="0" applyNumberFormat="1" applyFill="1"/>
    <xf numFmtId="170" fontId="0" fillId="5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8.7109375" customWidth="1"/>
    <col min="2" max="2" width="38.7109375" customWidth="1"/>
    <col min="3" max="3" width="80.7109375" customWidth="1"/>
    <col min="4" max="4" width="60.7109375" customWidth="1"/>
  </cols>
  <sheetData>
    <row r="1">
      <c r="A1" s="1" t="inlineStr">
        <is>
          <t>EVENTO 11 - Planilha 02: modelo pixel a pixel (154.667 pixels)</t>
        </is>
      </c>
    </row>
    <row r="3">
      <c r="A3" s="8" t="inlineStr">
        <is>
          <t>Como ler: a aba Pixels tem uma linha por pixel; todas as colunas em formula usam as constantes da aba Parametros. Clique em qualquer celula para ver a conta. As abas Resumo, Calibracao_c e Conferencia fecham o modelo.</t>
        </is>
      </c>
    </row>
    <row r="5">
      <c r="A5" s="2" t="inlineStr">
        <is>
          <t>Col.</t>
        </is>
      </c>
      <c r="B5" s="2" t="inlineStr">
        <is>
          <t>Variavel</t>
        </is>
      </c>
      <c r="C5" s="2" t="inlineStr">
        <is>
          <t>Formula (em palavras / Excel)</t>
        </is>
      </c>
      <c r="D5" s="2" t="inlineStr">
        <is>
          <t>Origem do dado ou funcao no modelo</t>
        </is>
      </c>
    </row>
    <row r="6">
      <c r="A6" s="8" t="inlineStr">
        <is>
          <t>A</t>
        </is>
      </c>
      <c r="B6" s="8" t="inlineStr">
        <is>
          <t>id</t>
        </is>
      </c>
      <c r="C6" s="8" t="inlineStr">
        <is>
          <t>contador 1..N</t>
        </is>
      </c>
      <c r="D6" s="8" t="inlineStr">
        <is>
          <t>chave p/ achar o pixel no QGIS (camada Pixels_Evento11.shp, campo id)</t>
        </is>
      </c>
    </row>
    <row r="7">
      <c r="A7" s="8" t="inlineStr">
        <is>
          <t>B,C</t>
        </is>
      </c>
      <c r="B7" s="8" t="inlineStr">
        <is>
          <t>lin, col</t>
        </is>
      </c>
      <c r="C7" s="8" t="inlineStr">
        <is>
          <t>indices da linha e coluna do pixel na grade 884x365</t>
        </is>
      </c>
      <c r="D7" s="8" t="inlineStr">
        <is>
          <t>posicao no raster</t>
        </is>
      </c>
    </row>
    <row r="8">
      <c r="A8" s="8" t="inlineStr">
        <is>
          <t>D</t>
        </is>
      </c>
      <c r="B8" s="8" t="inlineStr">
        <is>
          <t>X (m)</t>
        </is>
      </c>
      <c r="C8" s="8">
        <f>X0_canto + (col+0,5)*dx_pix</f>
        <v>0</v>
      </c>
      <c r="D8" s="8" t="inlineStr">
        <is>
          <t>centro do pixel (UTM 23S)</t>
        </is>
      </c>
    </row>
    <row r="9">
      <c r="A9" s="8" t="inlineStr">
        <is>
          <t>E</t>
        </is>
      </c>
      <c r="B9" s="8" t="inlineStr">
        <is>
          <t>Y (m)</t>
        </is>
      </c>
      <c r="C9" s="8">
        <f>Y0_canto - (lin+0,5)*dy_pix</f>
        <v>0</v>
      </c>
      <c r="D9" s="8" t="inlineStr">
        <is>
          <t>idem</t>
        </is>
      </c>
    </row>
    <row r="10">
      <c r="A10" s="8" t="inlineStr">
        <is>
          <t>F,G</t>
        </is>
      </c>
      <c r="B10" s="8" t="inlineStr">
        <is>
          <t>d2 aos postos (m2)</t>
        </is>
      </c>
      <c r="C10" s="8">
        <f>(X-x_posto)^2 + (Y-y_posto)^2</f>
        <v>0</v>
      </c>
      <c r="D10" s="8" t="inlineStr">
        <is>
          <t>distancia ao quadrado ate DBT5 e Campo Limpo</t>
        </is>
      </c>
    </row>
    <row r="11">
      <c r="A11" s="8" t="inlineStr">
        <is>
          <t>H</t>
        </is>
      </c>
      <c r="B11" s="8" t="inlineStr">
        <is>
          <t>P (mm)</t>
        </is>
      </c>
      <c r="C11" s="8">
        <f>(P_DBT5/d2_DBT5 + P_CLP/d2_CLP) / (1/d2_DBT5 + 1/d2_CLP)</f>
        <v>0</v>
      </c>
      <c r="D11" s="8" t="inlineStr">
        <is>
          <t>IDW potencia 2 com 2 postos. Reproduz o raster do QGIS (Interpolacao IDW, coef. 2) com dif &lt; 1e-5 mm</t>
        </is>
      </c>
    </row>
    <row r="12">
      <c r="A12" s="8" t="inlineStr">
        <is>
          <t>I</t>
        </is>
      </c>
      <c r="B12" s="8" t="inlineStr">
        <is>
          <t>CN (AMC II)</t>
        </is>
      </c>
      <c r="C12" s="8" t="inlineStr">
        <is>
          <t>valor do raster CN TCC.tif amostrado no centro do pixel</t>
        </is>
      </c>
      <c r="D12" s="8" t="inlineStr">
        <is>
          <t>QGIS/GDAL: Warp (vizinho mais proximo) do raster 973x362 para a grade 884x365. CN-II = mapa uso x grupo hidrologico (origem a confirmar)</t>
        </is>
      </c>
    </row>
    <row r="13">
      <c r="A13" s="8" t="inlineStr">
        <is>
          <t>J</t>
        </is>
      </c>
      <c r="B13" s="8" t="inlineStr">
        <is>
          <t>CN (AMC I, seco)</t>
        </is>
      </c>
      <c r="C13" s="8">
        <f>4,2*CN_II/(10-0,058*CN_II)</f>
        <v>0</v>
      </c>
      <c r="D13" s="8" t="inlineStr">
        <is>
          <t>conversao CN-II -&gt; CN-I (Hawkins; Chow et al. 1988). Reproduz CN TCC - Seco.tif com dif &lt; 4e-6</t>
        </is>
      </c>
    </row>
    <row r="14">
      <c r="A14" s="8" t="inlineStr">
        <is>
          <t>K</t>
        </is>
      </c>
      <c r="B14" s="8" t="inlineStr">
        <is>
          <t>S (mm)</t>
        </is>
      </c>
      <c r="C14" s="8">
        <f>25,4*(1000/CN_I - 10)</f>
        <v>0</v>
      </c>
      <c r="D14" s="8" t="inlineStr">
        <is>
          <t>retencao potencial maxima (SCS). Reproduz S - Seco.tif com dif &lt; 2e-5 mm</t>
        </is>
      </c>
    </row>
    <row r="15">
      <c r="A15" s="8" t="inlineStr">
        <is>
          <t>L</t>
        </is>
      </c>
      <c r="B15" s="8" t="inlineStr">
        <is>
          <t>Classe de solo</t>
        </is>
      </c>
      <c r="C15" s="8" t="inlineStr">
        <is>
          <t>ponto-em-poligono em Pedologia Alto.shp (campo Subordem)</t>
        </is>
      </c>
      <c r="D15" s="8" t="inlineStr">
        <is>
          <t>QGIS: 'Unir atributos por localizacao' (ponto no centro do pixel)</t>
        </is>
      </c>
    </row>
    <row r="16">
      <c r="A16" s="8" t="inlineStr">
        <is>
          <t>M</t>
        </is>
      </c>
      <c r="B16" s="8" t="inlineStr">
        <is>
          <t>K</t>
        </is>
      </c>
      <c r="C16" s="8">
        <f>PROCV(classe de solo; tabela Classes_K)</f>
        <v>0</v>
      </c>
      <c r="D16" s="8" t="inlineStr">
        <is>
          <t>reproduz K_raster.tif em 100% dos pixels</t>
        </is>
      </c>
    </row>
    <row r="17">
      <c r="A17" s="8" t="inlineStr">
        <is>
          <t>N</t>
        </is>
      </c>
      <c r="B17" s="8" t="inlineStr">
        <is>
          <t>Classe de uso</t>
        </is>
      </c>
      <c r="C17" s="8" t="inlineStr">
        <is>
          <t>ponto-em-poligono em Uso Solo Alto.shp (campo CLASSE)</t>
        </is>
      </c>
      <c r="D17" s="8" t="inlineStr">
        <is>
          <t>idem</t>
        </is>
      </c>
    </row>
    <row r="18">
      <c r="A18" s="8" t="inlineStr">
        <is>
          <t>O</t>
        </is>
      </c>
      <c r="B18" s="8" t="inlineStr">
        <is>
          <t>C</t>
        </is>
      </c>
      <c r="C18" s="8">
        <f>PROCV(classe de uso; tabela Classes_C)</f>
        <v>0</v>
      </c>
      <c r="D18" s="8" t="inlineStr">
        <is>
          <t>reproduz C_raster.tif em 100% dos pixels</t>
        </is>
      </c>
    </row>
    <row r="19">
      <c r="A19" s="8" t="inlineStr">
        <is>
          <t>P</t>
        </is>
      </c>
      <c r="B19" s="8" t="inlineStr">
        <is>
          <t>LS</t>
        </is>
      </c>
      <c r="C19" s="8" t="inlineStr">
        <is>
          <t>valor do raster LS_raster.tif</t>
        </is>
      </c>
      <c r="D19" s="8" t="inlineStr">
        <is>
          <t>Moore et al. (1991), SAGA, MDE</t>
        </is>
      </c>
    </row>
    <row r="20">
      <c r="A20" s="8" t="inlineStr">
        <is>
          <t>Q</t>
        </is>
      </c>
      <c r="B20" s="8" t="inlineStr">
        <is>
          <t>Valido</t>
        </is>
      </c>
      <c r="C20" s="8">
        <f>SE(M, O e P existem; 1; 0)</f>
        <v>0</v>
      </c>
      <c r="D20" s="8" t="inlineStr">
        <is>
          <t>1 = pixel entra no calculo de E_unit</t>
        </is>
      </c>
    </row>
    <row r="21">
      <c r="A21" s="8" t="inlineStr">
        <is>
          <t>R</t>
        </is>
      </c>
      <c r="B21" s="8" t="inlineStr">
        <is>
          <t>Q (mm)</t>
        </is>
      </c>
      <c r="C21" s="8">
        <f>SE(P&lt;=lambda*S; 0; (P-lambda*S)^2/(P+(1-lambda)*S))</f>
        <v>0</v>
      </c>
      <c r="D21" s="8" t="inlineStr">
        <is>
          <t>escoamento SCS-CN do pixel (previsao pura)</t>
        </is>
      </c>
    </row>
    <row r="22">
      <c r="A22" s="8" t="inlineStr">
        <is>
          <t>S</t>
        </is>
      </c>
      <c r="B22" s="8" t="inlineStr">
        <is>
          <t>pr (m3/s)</t>
        </is>
      </c>
      <c r="C22" s="8">
        <f>Q/1000*A_pixel*RI/R/3600</f>
        <v>0</v>
      </c>
      <c r="D22" s="8" t="inlineStr">
        <is>
          <t>vazao de pico local (Hao et al. 2022, Eq. 3)</t>
        </is>
      </c>
    </row>
    <row r="23">
      <c r="A23" s="8" t="inlineStr">
        <is>
          <t>T</t>
        </is>
      </c>
      <c r="B23" s="8" t="inlineStr">
        <is>
          <t>E_unit (t)</t>
        </is>
      </c>
      <c r="C23" s="8">
        <f>SE(Valido; 11,8*MAX(Q*pr*A_pixel;0)^0,56*K*C*P*LS; "")</f>
        <v>0</v>
      </c>
      <c r="D23" s="8" t="inlineStr">
        <is>
          <t>MUSLE por pixel (Hao et al. 2022, Eq. 1). Sai em toneladas/pixel (nao calibrado)</t>
        </is>
      </c>
    </row>
    <row r="24">
      <c r="A24" s="8" t="inlineStr">
        <is>
          <t>U</t>
        </is>
      </c>
      <c r="B24" s="8" t="inlineStr">
        <is>
          <t>SY (t)</t>
        </is>
      </c>
      <c r="C24" s="8">
        <f>c_pura*E_unit</f>
        <v>0</v>
      </c>
      <c r="D24" s="8" t="inlineStr">
        <is>
          <t>producao de sedimentos do pixel (previsao pura)</t>
        </is>
      </c>
    </row>
    <row r="25">
      <c r="A25" s="8" t="inlineStr">
        <is>
          <t>V</t>
        </is>
      </c>
      <c r="B25" s="8" t="inlineStr">
        <is>
          <t>Q volume restrito (mm)</t>
        </is>
      </c>
      <c r="C25" s="8">
        <f>SE(Valido; MIN(fator_f*Q; P); "")</f>
        <v>0</v>
      </c>
      <c r="D25" s="8" t="inlineStr">
        <is>
          <t>Q reescalado para o volume medido, limitado a chuva do pixel</t>
        </is>
      </c>
    </row>
    <row r="26">
      <c r="A26" s="8" t="inlineStr">
        <is>
          <t>W</t>
        </is>
      </c>
      <c r="B26" s="8" t="inlineStr">
        <is>
          <t>pr restrito (m3/s)</t>
        </is>
      </c>
      <c r="C26" s="8">
        <f>Q_restr/1000*A_pixel*RI/R/3600</f>
        <v>0</v>
      </c>
      <c r="D26" s="8"/>
    </row>
    <row r="27">
      <c r="A27" s="8" t="inlineStr">
        <is>
          <t>X</t>
        </is>
      </c>
      <c r="B27" s="8" t="inlineStr">
        <is>
          <t>E_unit restrito (t)</t>
        </is>
      </c>
      <c r="C27" s="8">
        <f>11,8*MAX(Q_restr*pr_restr*A_pixel;0)^0,56*K*C*P*LS</f>
        <v>0</v>
      </c>
      <c r="D27" s="8"/>
    </row>
    <row r="28">
      <c r="A28" s="8" t="inlineStr">
        <is>
          <t>Y</t>
        </is>
      </c>
      <c r="B28" s="8" t="inlineStr">
        <is>
          <t>SY restrito (t)</t>
        </is>
      </c>
      <c r="C28" s="8">
        <f>c_restr*E_unit_restr</f>
        <v>0</v>
      </c>
      <c r="D28" s="8" t="inlineStr">
        <is>
          <t>producao de sedimentos do pixel (volume restrito)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cols>
    <col min="1" max="1" width="34.7109375" customWidth="1"/>
    <col min="2" max="2" width="22.7109375" customWidth="1"/>
    <col min="3" max="3" width="16.7109375" customWidth="1"/>
    <col min="4" max="4" width="100.7109375" customWidth="1"/>
  </cols>
  <sheetData>
    <row r="1">
      <c r="A1" s="1" t="inlineStr">
        <is>
          <t>Parametros do evento 11 (celula amarela = entrada; verde = resultado de outra aba)</t>
        </is>
      </c>
    </row>
    <row r="3">
      <c r="A3" s="2" t="inlineStr">
        <is>
          <t>Nome (usado nas formulas)</t>
        </is>
      </c>
      <c r="B3" s="2" t="inlineStr">
        <is>
          <t>Valor</t>
        </is>
      </c>
      <c r="C3" s="2" t="inlineStr">
        <is>
          <t>Unidade</t>
        </is>
      </c>
      <c r="D3" s="2" t="inlineStr">
        <is>
          <t>Origem / significado</t>
        </is>
      </c>
    </row>
    <row r="4">
      <c r="A4" t="inlineStr">
        <is>
          <t>p_lambda</t>
        </is>
      </c>
      <c r="B4" s="3">
        <v>0.05</v>
      </c>
      <c r="C4" t="inlineStr">
        <is>
          <t>-</t>
        </is>
      </c>
      <c r="D4" t="inlineStr">
        <is>
          <t>Ia = lambda*S (razao de abstracao inicial). 0,05 em vez do classico 0,2 (calibracao do projeto; Valle Junior et al. 2019; Brandao 2025).</t>
        </is>
      </c>
    </row>
    <row r="5">
      <c r="A5" t="inlineStr">
        <is>
          <t>dx_pix</t>
        </is>
      </c>
      <c r="B5" s="4">
        <v>29.99157545248869</v>
      </c>
      <c r="C5" t="inlineStr">
        <is>
          <t>m</t>
        </is>
      </c>
      <c r="D5" t="inlineStr">
        <is>
          <t>tamanho do pixel em X (grade 884 x 365 do raster CN, SIRGAS 2000 / UTM 23S)</t>
        </is>
      </c>
    </row>
    <row r="6">
      <c r="A6" t="inlineStr">
        <is>
          <t>dy_pix</t>
        </is>
      </c>
      <c r="B6" s="4">
        <v>29.92473068492972</v>
      </c>
      <c r="C6" t="inlineStr">
        <is>
          <t>m</t>
        </is>
      </c>
      <c r="D6" t="inlineStr">
        <is>
          <t>tamanho do pixel em Y</t>
        </is>
      </c>
    </row>
    <row r="7">
      <c r="A7" t="inlineStr">
        <is>
          <t>A_pixel</t>
        </is>
      </c>
      <c r="B7" s="5">
        <f>B5*B6</f>
        <v>897.4898182324732</v>
      </c>
      <c r="C7" t="inlineStr">
        <is>
          <t>m2</t>
        </is>
      </c>
      <c r="D7" t="inlineStr">
        <is>
          <t>area do pixel = dx*dy (897,49 m2; NAO 900)</t>
        </is>
      </c>
    </row>
    <row r="8">
      <c r="A8" t="inlineStr">
        <is>
          <t>X0_canto</t>
        </is>
      </c>
      <c r="B8" s="4">
        <v>318646.3456</v>
      </c>
      <c r="C8" t="inlineStr">
        <is>
          <t>m</t>
        </is>
      </c>
      <c r="D8" t="inlineStr">
        <is>
          <t>coordenada X do canto superior esquerdo da grade</t>
        </is>
      </c>
    </row>
    <row r="9">
      <c r="A9" t="inlineStr">
        <is>
          <t>Y0_canto</t>
        </is>
      </c>
      <c r="B9" s="4">
        <v>7435057.5874</v>
      </c>
      <c r="C9" t="inlineStr">
        <is>
          <t>m</t>
        </is>
      </c>
      <c r="D9" t="inlineStr">
        <is>
          <t>coordenada Y do canto superior esquerdo da grade</t>
        </is>
      </c>
    </row>
    <row r="10">
      <c r="A10" t="inlineStr">
        <is>
          <t>x_DBT5</t>
        </is>
      </c>
      <c r="B10" s="4">
        <v>348520.8489669379</v>
      </c>
      <c r="C10" t="inlineStr">
        <is>
          <t>m</t>
        </is>
      </c>
      <c r="D10" t="inlineStr">
        <is>
          <t>posto Desemboque do Tunel 5 (lon -46,4809 / lat -23,2646) reprojetado para UTM 23S (QGIS: Reprojetar camada, EPSG:4326 -&gt; 31983)</t>
        </is>
      </c>
    </row>
    <row r="11">
      <c r="A11" t="inlineStr">
        <is>
          <t>y_DBT5</t>
        </is>
      </c>
      <c r="B11" s="4">
        <v>7426415.272690723</v>
      </c>
      <c r="C11" t="inlineStr">
        <is>
          <t>m</t>
        </is>
      </c>
      <c r="D11" t="inlineStr">
        <is>
          <t>idem</t>
        </is>
      </c>
    </row>
    <row r="12">
      <c r="A12" t="inlineStr">
        <is>
          <t>x_CLP</t>
        </is>
      </c>
      <c r="B12" s="4">
        <v>319862.3699825093</v>
      </c>
      <c r="C12" t="inlineStr">
        <is>
          <t>m</t>
        </is>
      </c>
      <c r="D12" t="inlineStr">
        <is>
          <t>posto Rio Jundiai em Campo Limpo Paulista (lon -46,760284 / lat -23,208778) reprojetado</t>
        </is>
      </c>
    </row>
    <row r="13">
      <c r="A13" t="inlineStr">
        <is>
          <t>y_CLP</t>
        </is>
      </c>
      <c r="B13" s="4">
        <v>7432277.54262968</v>
      </c>
      <c r="C13" t="inlineStr">
        <is>
          <t>m</t>
        </is>
      </c>
      <c r="D13" t="inlineStr">
        <is>
          <t>idem</t>
        </is>
      </c>
    </row>
    <row r="14">
      <c r="A14" t="inlineStr">
        <is>
          <t>P_DBT5</t>
        </is>
      </c>
      <c r="B14" s="6">
        <v>62.800003</v>
      </c>
      <c r="C14" t="inlineStr">
        <is>
          <t>mm</t>
        </is>
      </c>
      <c r="D14" t="inlineStr">
        <is>
          <t>chuva total do evento no posto DBT5 (planilha de eventos: chuva_p1_mm)</t>
        </is>
      </c>
    </row>
    <row r="15">
      <c r="A15" t="inlineStr">
        <is>
          <t>P_CLP</t>
        </is>
      </c>
      <c r="B15" s="6">
        <v>79.00000199999999</v>
      </c>
      <c r="C15" t="inlineStr">
        <is>
          <t>mm</t>
        </is>
      </c>
      <c r="D15" t="inlineStr">
        <is>
          <t>chuva total do evento no posto Campo Limpo (chuva_p2_mm)</t>
        </is>
      </c>
    </row>
    <row r="16">
      <c r="A16" t="inlineStr">
        <is>
          <t>RI_mmh</t>
        </is>
      </c>
      <c r="B16" s="6">
        <v>11.8</v>
      </c>
      <c r="C16" t="inlineStr">
        <is>
          <t>mm/h</t>
        </is>
      </c>
      <c r="D16" t="inlineStr">
        <is>
          <t>intensidade maxima de 60 min do evento = MAIOR entre os 2 postos (11,8 no DBT5; 9,4 no CLP)</t>
        </is>
      </c>
    </row>
    <row r="17">
      <c r="A17" t="inlineStr">
        <is>
          <t>R_evento_mm</t>
        </is>
      </c>
      <c r="B17" s="6">
        <v>74.0396279229755</v>
      </c>
      <c r="C17" t="inlineStr">
        <is>
          <t>mm</t>
        </is>
      </c>
      <c r="D17" t="inlineStr">
        <is>
          <t>lamina de chuva do evento = 0,3068*62,8 + 0,6932*79,0 (aba Pesos_postos da planilha 01)</t>
        </is>
      </c>
    </row>
    <row r="18">
      <c r="A18" t="inlineStr">
        <is>
          <t>V_med_m3</t>
        </is>
      </c>
      <c r="B18" s="4">
        <v>2436681.600000001</v>
      </c>
      <c r="C18" t="inlineStr">
        <is>
          <t>m3</t>
        </is>
      </c>
      <c r="D18" t="inlineStr">
        <is>
          <t>volume medido T_R_m3 (planilha de eventos) = soma das 92 vazoes horarias x 3600 (inclui vazao de base)</t>
        </is>
      </c>
    </row>
    <row r="19">
      <c r="A19" t="inlineStr">
        <is>
          <t>SY_obs_t</t>
        </is>
      </c>
      <c r="B19" s="4">
        <v>1821.753506089142</v>
      </c>
      <c r="C19" t="inlineStr">
        <is>
          <t>t</t>
        </is>
      </c>
      <c r="D19" t="inlineStr">
        <is>
          <t>SY observado do evento (SYY_t) = soma(Q*CSS*3600/1e6)</t>
        </is>
      </c>
    </row>
    <row r="20">
      <c r="A20" t="inlineStr">
        <is>
          <t>coef_W</t>
        </is>
      </c>
      <c r="B20" s="3">
        <v>11.8</v>
      </c>
      <c r="C20" t="inlineStr">
        <is>
          <t>-</t>
        </is>
      </c>
      <c r="D20" t="inlineStr">
        <is>
          <t>coeficiente de Williams (1975) da MUSLE: 11,8 (SI: t, m3, m3/s)</t>
        </is>
      </c>
    </row>
    <row r="21">
      <c r="A21" t="inlineStr">
        <is>
          <t>exp_M</t>
        </is>
      </c>
      <c r="B21" s="3">
        <v>0.5600000000000001</v>
      </c>
      <c r="C21" t="inlineStr">
        <is>
          <t>-</t>
        </is>
      </c>
      <c r="D21" t="inlineStr">
        <is>
          <t>expoente de Williams (1975): 0,56</t>
        </is>
      </c>
    </row>
    <row r="22">
      <c r="A22" t="inlineStr">
        <is>
          <t>fator_P</t>
        </is>
      </c>
      <c r="B22" s="3">
        <v>1</v>
      </c>
      <c r="C22" t="inlineStr">
        <is>
          <t>-</t>
        </is>
      </c>
      <c r="D22" t="inlineStr">
        <is>
          <t>pratica conservacionista: P = 1 (sem praticas) na bacia toda</t>
        </is>
      </c>
    </row>
    <row r="23">
      <c r="A23" t="inlineStr">
        <is>
          <t>fator_f</t>
        </is>
      </c>
      <c r="B23" s="5">
        <f>Resumo!B13</f>
        <v>1.2249225787689721</v>
      </c>
      <c r="C23" t="inlineStr">
        <is>
          <t>-</t>
        </is>
      </c>
      <c r="D23" t="inlineStr">
        <is>
          <t>f = V_med / V_calc (aba Resumo). Reescala Q para o volume medido (variante 'volume restrito')</t>
        </is>
      </c>
    </row>
    <row r="24">
      <c r="A24" t="inlineStr">
        <is>
          <t>c_pura</t>
        </is>
      </c>
      <c r="B24" s="5">
        <f>Calibracao_c!B22</f>
        <v>0.10670575603232357</v>
      </c>
      <c r="C24" t="inlineStr">
        <is>
          <t>-</t>
        </is>
      </c>
      <c r="D24" t="inlineStr">
        <is>
          <t>c da previsao pura (aba Calibracao_c): SY = c * E_unit</t>
        </is>
      </c>
    </row>
    <row r="25">
      <c r="A25" t="inlineStr">
        <is>
          <t>c_restr</t>
        </is>
      </c>
      <c r="B25" s="5">
        <f>Calibracao_c!L22</f>
        <v>0.13836172070006608</v>
      </c>
      <c r="C25" t="inlineStr">
        <is>
          <t>-</t>
        </is>
      </c>
      <c r="D25" t="inlineStr">
        <is>
          <t>c do volume restrito (aba Calibracao_c)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cols>
    <col min="1" max="1" width="36.7109375" customWidth="1"/>
    <col min="2" max="2" width="12.7109375" customWidth="1"/>
    <col min="3" max="3" width="14.7109375" customWidth="1"/>
    <col min="4" max="4" width="70.7109375" customWidth="1"/>
  </cols>
  <sheetData>
    <row r="1">
      <c r="A1" s="1" t="inlineStr">
        <is>
          <t>Tabelas de classe -&gt; fator (K e C) e origem do LS</t>
        </is>
      </c>
    </row>
    <row r="3">
      <c r="A3" s="7" t="inlineStr">
        <is>
          <t>K - erodibilidade (t.h/MJ/mm). Origem: Pedologia Alto.shp, campo Valor (Plano de Bacias, Consorcio Profill-Rhama 2020; valores por classe da IC)</t>
        </is>
      </c>
    </row>
    <row r="4">
      <c r="A4" s="2" t="inlineStr">
        <is>
          <t>Classe de solo (campo Subordem)</t>
        </is>
      </c>
      <c r="B4" s="2" t="inlineStr">
        <is>
          <t>K</t>
        </is>
      </c>
      <c r="C4" s="2" t="inlineStr">
        <is>
          <t>Pixels (COUNTIF)</t>
        </is>
      </c>
      <c r="D4" s="2" t="inlineStr">
        <is>
          <t>Observacao</t>
        </is>
      </c>
    </row>
    <row r="5">
      <c r="A5" t="inlineStr">
        <is>
          <t>Afloramento Rochoso</t>
        </is>
      </c>
      <c r="B5" s="3">
        <v>0.008699999999999999</v>
      </c>
      <c r="C5">
        <f>COUNTIF(Pixels!$L$2:$L$301,A5)</f>
        <v>0</v>
      </c>
    </row>
    <row r="6">
      <c r="A6" t="inlineStr">
        <is>
          <t>Argissolos Vermelho-Amarelos</t>
        </is>
      </c>
      <c r="B6" s="3">
        <v>0.0351</v>
      </c>
      <c r="C6">
        <f>COUNTIF(Pixels!$L$2:$L$301,A6)</f>
        <v>0</v>
      </c>
    </row>
    <row r="7">
      <c r="A7" t="inlineStr">
        <is>
          <t>Cambissolos Háplicos</t>
        </is>
      </c>
      <c r="B7" s="3">
        <v>0.0475</v>
      </c>
      <c r="C7">
        <f>COUNTIF(Pixels!$L$2:$L$301,A7)</f>
        <v>174</v>
      </c>
    </row>
    <row r="8">
      <c r="A8" t="inlineStr">
        <is>
          <t>Neossolos Litólicos</t>
        </is>
      </c>
      <c r="B8" s="3">
        <v>0.0463</v>
      </c>
      <c r="C8">
        <f>COUNTIF(Pixels!$L$2:$L$301,A8)</f>
        <v>0</v>
      </c>
    </row>
    <row r="9">
      <c r="A9" t="inlineStr">
        <is>
          <t>Área Urbana</t>
        </is>
      </c>
      <c r="B9" s="3">
        <v>0</v>
      </c>
      <c r="C9">
        <f>COUNTIF(Pixels!$L$2:$L$301,A9)</f>
        <v>101</v>
      </c>
      <c r="D9" t="inlineStr">
        <is>
          <t>K = 0: area urbana nao produz erosao no modelo (e tambem zera qualquer pixel sobreposto)</t>
        </is>
      </c>
    </row>
    <row r="12">
      <c r="A12" s="7" t="inlineStr">
        <is>
          <t>C - uso e manejo (-). Origem: Uso Solo Alto.shp, campo Valor (Plano de Bacias 2020; valores da IC)</t>
        </is>
      </c>
    </row>
    <row r="13">
      <c r="A13" s="2" t="inlineStr">
        <is>
          <t>Classe de uso (campo CLASSE)</t>
        </is>
      </c>
      <c r="B13" s="2" t="inlineStr">
        <is>
          <t>C</t>
        </is>
      </c>
      <c r="C13" s="2" t="inlineStr">
        <is>
          <t>Pixels (COUNTIF)</t>
        </is>
      </c>
      <c r="D13" s="2" t="inlineStr">
        <is>
          <t>Observacao</t>
        </is>
      </c>
    </row>
    <row r="14">
      <c r="A14" t="inlineStr">
        <is>
          <t>Afloramento Rochoso</t>
        </is>
      </c>
      <c r="B14" s="3">
        <v>1</v>
      </c>
      <c r="C14">
        <f>COUNTIF(Pixels!$N$2:$N$301,A14)</f>
        <v>0</v>
      </c>
    </row>
    <row r="15">
      <c r="A15" t="inlineStr">
        <is>
          <t>Campo</t>
        </is>
      </c>
      <c r="B15" s="3">
        <v>0.05</v>
      </c>
      <c r="C15">
        <f>COUNTIF(Pixels!$N$2:$N$301,A15)</f>
        <v>75</v>
      </c>
    </row>
    <row r="16">
      <c r="A16" t="inlineStr">
        <is>
          <t>Corpos D'Água</t>
        </is>
      </c>
      <c r="B16" s="3">
        <v>0</v>
      </c>
      <c r="C16">
        <f>COUNTIF(Pixels!$N$2:$N$301,A16)</f>
        <v>0</v>
      </c>
      <c r="D16" t="inlineStr">
        <is>
          <t>C = 0: sem erosao (urbano / agua)</t>
        </is>
      </c>
    </row>
    <row r="17">
      <c r="A17" t="inlineStr">
        <is>
          <t>Lavoura Temporária</t>
        </is>
      </c>
      <c r="B17" s="3">
        <v>0.2116</v>
      </c>
      <c r="C17">
        <f>COUNTIF(Pixels!$N$2:$N$301,A17)</f>
        <v>0</v>
      </c>
    </row>
    <row r="18">
      <c r="A18" t="inlineStr">
        <is>
          <t>Mata Nativa</t>
        </is>
      </c>
      <c r="B18" s="3">
        <v>0.015</v>
      </c>
      <c r="C18">
        <f>COUNTIF(Pixels!$N$2:$N$301,A18)</f>
        <v>96</v>
      </c>
    </row>
    <row r="19">
      <c r="A19" t="inlineStr">
        <is>
          <t>Mineração</t>
        </is>
      </c>
      <c r="B19" s="3">
        <v>1</v>
      </c>
      <c r="C19">
        <f>COUNTIF(Pixels!$N$2:$N$301,A19)</f>
        <v>0</v>
      </c>
    </row>
    <row r="20">
      <c r="A20" t="inlineStr">
        <is>
          <t>Silvicultura</t>
        </is>
      </c>
      <c r="B20" s="3">
        <v>0.121</v>
      </c>
      <c r="C20">
        <f>COUNTIF(Pixels!$N$2:$N$301,A20)</f>
        <v>3</v>
      </c>
    </row>
    <row r="21">
      <c r="A21" t="inlineStr">
        <is>
          <t>Solo exposto</t>
        </is>
      </c>
      <c r="B21" s="3">
        <v>1</v>
      </c>
      <c r="C21">
        <f>COUNTIF(Pixels!$N$2:$N$301,A21)</f>
        <v>0</v>
      </c>
    </row>
    <row r="22">
      <c r="A22" t="inlineStr">
        <is>
          <t>Área Urbanizada</t>
        </is>
      </c>
      <c r="B22" s="3">
        <v>0</v>
      </c>
      <c r="C22">
        <f>COUNTIF(Pixels!$N$2:$N$301,A22)</f>
        <v>101</v>
      </c>
      <c r="D22" t="inlineStr">
        <is>
          <t>C = 0: sem erosao (urbano / agua)</t>
        </is>
      </c>
    </row>
    <row r="24">
      <c r="A24" s="7" t="inlineStr">
        <is>
          <t>LS - fator topografico</t>
        </is>
      </c>
    </row>
    <row r="25">
      <c r="A25" t="inlineStr">
        <is>
          <t>Nao e recalculado nesta planilha: vem de LS_raster.tif (metodo de Moore et al. 1991 no SAGA a partir do MDE, segundo a IC). A coluna LS da aba Pixels e o valor do raster amostrado no centro do pixel.</t>
        </is>
      </c>
    </row>
    <row r="26">
      <c r="A26" t="inlineStr">
        <is>
          <t>Pixels sem classe de solo/uso/LS (656): coluna 'Valido'=0 -&gt; sem E_unit (so entram no volume 'todos os pixels').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3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3" width="8.7109375" customWidth="1"/>
    <col min="4" max="5" width="13.7109375" customWidth="1"/>
    <col min="6" max="7" width="14.7109375" customWidth="1"/>
    <col min="8" max="11" width="10.7109375" customWidth="1"/>
    <col min="12" max="12" width="26.7109375" customWidth="1"/>
    <col min="13" max="13" width="8.7109375" customWidth="1"/>
    <col min="14" max="14" width="20.7109375" customWidth="1"/>
    <col min="15" max="17" width="8.7109375" customWidth="1"/>
    <col min="18" max="25" width="13.7109375" customWidth="1"/>
  </cols>
  <sheetData>
    <row r="1" ht="45" customHeight="1">
      <c r="A1" s="2" t="inlineStr">
        <is>
          <t>id</t>
        </is>
      </c>
      <c r="B1" s="2" t="inlineStr">
        <is>
          <t>lin</t>
        </is>
      </c>
      <c r="C1" s="2" t="inlineStr">
        <is>
          <t>col</t>
        </is>
      </c>
      <c r="D1" s="2" t="inlineStr">
        <is>
          <t>X (m)</t>
        </is>
      </c>
      <c r="E1" s="2" t="inlineStr">
        <is>
          <t>Y (m)</t>
        </is>
      </c>
      <c r="F1" s="2" t="inlineStr">
        <is>
          <t>d2 ao DBT5 (m2)</t>
        </is>
      </c>
      <c r="G1" s="2" t="inlineStr">
        <is>
          <t>d2 ao Campo Limpo (m2)</t>
        </is>
      </c>
      <c r="H1" s="2" t="inlineStr">
        <is>
          <t>P (mm)</t>
        </is>
      </c>
      <c r="I1" s="2" t="inlineStr">
        <is>
          <t>CN AMC II</t>
        </is>
      </c>
      <c r="J1" s="2" t="inlineStr">
        <is>
          <t>CN AMC I</t>
        </is>
      </c>
      <c r="K1" s="2" t="inlineStr">
        <is>
          <t>S (mm)</t>
        </is>
      </c>
      <c r="L1" s="2" t="inlineStr">
        <is>
          <t>Classe de solo</t>
        </is>
      </c>
      <c r="M1" s="2" t="inlineStr">
        <is>
          <t>K</t>
        </is>
      </c>
      <c r="N1" s="2" t="inlineStr">
        <is>
          <t>Classe de uso</t>
        </is>
      </c>
      <c r="O1" s="2" t="inlineStr">
        <is>
          <t>C</t>
        </is>
      </c>
      <c r="P1" s="2" t="inlineStr">
        <is>
          <t>LS</t>
        </is>
      </c>
      <c r="Q1" s="2" t="inlineStr">
        <is>
          <t>Valido</t>
        </is>
      </c>
      <c r="R1" s="2" t="inlineStr">
        <is>
          <t>Q (mm)</t>
        </is>
      </c>
      <c r="S1" s="2" t="inlineStr">
        <is>
          <t>pr (m3/s)</t>
        </is>
      </c>
      <c r="T1" s="2" t="inlineStr">
        <is>
          <t>E_unit (t)</t>
        </is>
      </c>
      <c r="U1" s="2" t="inlineStr">
        <is>
          <t>SY previsao pura (t)</t>
        </is>
      </c>
      <c r="V1" s="2" t="inlineStr">
        <is>
          <t>Q restrito (mm)</t>
        </is>
      </c>
      <c r="W1" s="2" t="inlineStr">
        <is>
          <t>pr restrito (m3/s)</t>
        </is>
      </c>
      <c r="X1" s="2" t="inlineStr">
        <is>
          <t>E_unit restrito (t)</t>
        </is>
      </c>
      <c r="Y1" s="2" t="inlineStr">
        <is>
          <t>SY restrito (t)</t>
        </is>
      </c>
    </row>
    <row r="2">
      <c r="A2">
        <v>1</v>
      </c>
      <c r="B2">
        <v>8</v>
      </c>
      <c r="C2">
        <v>140</v>
      </c>
      <c r="D2" s="9">
        <f>X0_canto+(C2+0.5)*dx_pix</f>
        <v>322860.16195107467</v>
      </c>
      <c r="E2" s="9">
        <f>Y0_canto-(B2+0.5)*dy_pix</f>
        <v>7434803.227189178</v>
      </c>
      <c r="F2" s="10">
        <f>(D2-x_DBT5)^2+(E2-y_DBT5)^2</f>
        <v>728828638.7942432</v>
      </c>
      <c r="G2" s="10">
        <f>(D2-x_CLP)^2+(E2-y_CLP)^2</f>
        <v>15365839.18088159</v>
      </c>
      <c r="H2" s="11">
        <f>(P_DBT5/F2+P_CLP/G2)/(1/F2+1/G2)</f>
        <v>78.66551069869156</v>
      </c>
      <c r="I2" s="11">
        <v>65</v>
      </c>
      <c r="J2" s="11">
        <f>4.2*I2/(10-0.058*I2)</f>
        <v>43.82022471910112</v>
      </c>
      <c r="K2" s="11">
        <f>25.4*(1000/J2-10)</f>
        <v>325.64102564102564</v>
      </c>
      <c r="L2" t="inlineStr">
        <is>
          <t>Cambissolos Háplicos</t>
        </is>
      </c>
      <c r="M2" s="11">
        <f>IFERROR(VLOOKUP(L2,Classes_K,2,FALSE),"")</f>
        <v>0.04749999940395355</v>
      </c>
      <c r="N2" t="inlineStr">
        <is>
          <t>Mata Nativa</t>
        </is>
      </c>
      <c r="O2" s="11">
        <f>IFERROR(VLOOKUP(N2,Classes_C,2,FALSE),"")</f>
        <v>0.014999999664723873</v>
      </c>
      <c r="P2" s="12">
        <v>0.3580549359321594</v>
      </c>
      <c r="Q2">
        <f>IF(COUNT(M2,O2,P2)=3,1,0)</f>
        <v>1</v>
      </c>
      <c r="R2" s="12">
        <f>IF(H2&lt;=p_lambda*K2,0,(H2-p_lambda*K2)^2/(H2+(1-p_lambda)*K2))</f>
        <v>10.029511432015028</v>
      </c>
      <c r="S2" s="13">
        <f>R2/1000*A_pixel*RI_mmh/R_evento_mm/3600</f>
        <v>0.0003984965694356069</v>
      </c>
      <c r="T2" s="13">
        <f>IF(Q2=1,coef_W*MAX(R2*S2*A_pixel,0)^exp_M*M2*O2*fator_P*P2,"")</f>
        <v>0.0061555591246148554</v>
      </c>
      <c r="U2" s="13">
        <f>IF(Q2=1,c_pura*T2,"")</f>
        <v>0.000656833590193696</v>
      </c>
      <c r="V2" s="12">
        <f>IF(Q2=1,MIN(fator_f*R2,H2),"")</f>
        <v>12.285375007096734</v>
      </c>
      <c r="W2" s="13">
        <f>IF(Q2=1,V2/1000*A_pixel*RI_mmh/R_evento_mm/3600,"")</f>
        <v>0.00048812744546365233</v>
      </c>
      <c r="X2" s="13">
        <f>IF(Q2=1,coef_W*MAX(V2*W2*A_pixel,0)^exp_M*M2*O2*fator_P*P2,"")</f>
        <v>0.007725901802373536</v>
      </c>
      <c r="Y2" s="13">
        <f>IF(Q2=1,c_restr*X2,"")</f>
        <v>0.0010689690673361444</v>
      </c>
    </row>
    <row r="3">
      <c r="A3">
        <v>2</v>
      </c>
      <c r="B3">
        <v>8</v>
      </c>
      <c r="C3">
        <v>141</v>
      </c>
      <c r="D3" s="9">
        <f>X0_canto+(C3+0.5)*dx_pix</f>
        <v>322890.15352652717</v>
      </c>
      <c r="E3" s="9">
        <f>Y0_canto-(B3+0.5)*dy_pix</f>
        <v>7434803.227189178</v>
      </c>
      <c r="F3" s="10">
        <f>(D3-x_DBT5)^2+(E3-y_DBT5)^2</f>
        <v>727290329.4272429</v>
      </c>
      <c r="G3" s="10">
        <f>(D3-x_CLP)^2+(E3-y_CLP)^2</f>
        <v>15546555.683511961</v>
      </c>
      <c r="H3" s="11">
        <f>(P_DBT5/F3+P_CLP/G3)/(1/F3+1/G3)</f>
        <v>78.6609582724005</v>
      </c>
      <c r="I3" s="11">
        <v>65</v>
      </c>
      <c r="J3" s="11">
        <f>4.2*I3/(10-0.058*I3)</f>
        <v>43.82022471910112</v>
      </c>
      <c r="K3" s="11">
        <f>25.4*(1000/J3-10)</f>
        <v>325.64102564102564</v>
      </c>
      <c r="L3" t="inlineStr">
        <is>
          <t>Cambissolos Háplicos</t>
        </is>
      </c>
      <c r="M3" s="11">
        <f>IFERROR(VLOOKUP(L3,Classes_K,2,FALSE),"")</f>
        <v>0.04749999940395355</v>
      </c>
      <c r="N3" t="inlineStr">
        <is>
          <t>Mata Nativa</t>
        </is>
      </c>
      <c r="O3" s="11">
        <f>IFERROR(VLOOKUP(N3,Classes_C,2,FALSE),"")</f>
        <v>0.014999999664723873</v>
      </c>
      <c r="P3" s="12">
        <v>0.4159745573997498</v>
      </c>
      <c r="Q3">
        <f>IF(COUNT(M3,O3,P3)=3,1,0)</f>
        <v>1</v>
      </c>
      <c r="R3" s="12">
        <f>IF(H3&lt;=p_lambda*K3,0,(H3-p_lambda*K3)^2/(H3+(1-p_lambda)*K3))</f>
        <v>10.028165333988841</v>
      </c>
      <c r="S3" s="13">
        <f>R3/1000*A_pixel*RI_mmh/R_evento_mm/3600</f>
        <v>0.0003984430857291278</v>
      </c>
      <c r="T3" s="13">
        <f>IF(Q3=1,coef_W*MAX(R3*S3*A_pixel,0)^exp_M*M3*O3*fator_P*P3,"")</f>
        <v>0.007150218660426933</v>
      </c>
      <c r="U3" s="13">
        <f>IF(Q3=1,c_pura*T3,"")</f>
        <v>0.0007629694879572838</v>
      </c>
      <c r="V3" s="12">
        <f>IF(Q3=1,MIN(fator_f*R3,H3),"")</f>
        <v>12.283726141231222</v>
      </c>
      <c r="W3" s="13">
        <f>IF(Q3=1,V3/1000*A_pixel*RI_mmh/R_evento_mm/3600,"")</f>
        <v>0.00048806193206398977</v>
      </c>
      <c r="X3" s="13">
        <f>IF(Q3=1,coef_W*MAX(V3*W3*A_pixel,0)^exp_M*M3*O3*fator_P*P3,"")</f>
        <v>0.00897430860749205</v>
      </c>
      <c r="Y3" s="13">
        <f>IF(Q3=1,c_restr*X3,"")</f>
        <v>0.001241700781026014</v>
      </c>
    </row>
    <row r="4">
      <c r="A4">
        <v>3</v>
      </c>
      <c r="B4">
        <v>8</v>
      </c>
      <c r="C4">
        <v>142</v>
      </c>
      <c r="D4" s="9">
        <f>X0_canto+(C4+0.5)*dx_pix</f>
        <v>322920.14510197967</v>
      </c>
      <c r="E4" s="9">
        <f>Y0_canto-(B4+0.5)*dy_pix</f>
        <v>7434803.227189178</v>
      </c>
      <c r="F4" s="10">
        <f>(D4-x_DBT5)^2+(E4-y_DBT5)^2</f>
        <v>725753819.0494387</v>
      </c>
      <c r="G4" s="10">
        <f>(D4-x_CLP)^2+(E4-y_CLP)^2</f>
        <v>15729071.175338577</v>
      </c>
      <c r="H4" s="11">
        <f>(P_DBT5/F4+P_CLP/G4)/(1/F4+1/G4)</f>
        <v>78.65635153864656</v>
      </c>
      <c r="I4" s="11">
        <v>77</v>
      </c>
      <c r="J4" s="11">
        <f>4.2*I4/(10-0.058*I4)</f>
        <v>58.438742320202394</v>
      </c>
      <c r="K4" s="11">
        <f>25.4*(1000/J4-10)</f>
        <v>180.64316635745197</v>
      </c>
      <c r="L4" t="inlineStr">
        <is>
          <t/>
        </is>
      </c>
      <c r="M4" s="11">
        <f>IFERROR(VLOOKUP(L4,Classes_K,2,FALSE),"")</f>
        <v/>
      </c>
      <c r="N4" t="inlineStr">
        <is>
          <t/>
        </is>
      </c>
      <c r="O4" s="11">
        <f>IFERROR(VLOOKUP(N4,Classes_C,2,FALSE),"")</f>
        <v/>
      </c>
      <c r="Q4">
        <f>IF(COUNT(M4,O4,P4)=3,1,0)</f>
        <v>0</v>
      </c>
      <c r="R4" s="12">
        <f>IF(H4&lt;=p_lambda*K4,0,(H4-p_lambda*K4)^2/(H4+(1-p_lambda)*K4))</f>
        <v>19.369398749454092</v>
      </c>
      <c r="S4" s="13">
        <f>R4/1000*A_pixel*RI_mmh/R_evento_mm/3600</f>
        <v>0.0007695927170539192</v>
      </c>
      <c r="T4" s="13">
        <f>IF(Q4=1,coef_W*MAX(R4*S4*A_pixel,0)^exp_M*M4*O4*fator_P*P4,"")</f>
        <v/>
      </c>
      <c r="U4" s="13">
        <f>IF(Q4=1,c_pura*T4,"")</f>
        <v/>
      </c>
      <c r="V4" s="12">
        <f>IF(Q4=1,MIN(fator_f*R4,H4),"")</f>
        <v/>
      </c>
      <c r="W4" s="13">
        <f>IF(Q4=1,V4/1000*A_pixel*RI_mmh/R_evento_mm/3600,"")</f>
        <v/>
      </c>
      <c r="X4" s="13">
        <f>IF(Q4=1,coef_W*MAX(V4*W4*A_pixel,0)^exp_M*M4*O4*fator_P*P4,"")</f>
        <v/>
      </c>
      <c r="Y4" s="13">
        <f>IF(Q4=1,c_restr*X4,"")</f>
        <v/>
      </c>
    </row>
    <row r="5">
      <c r="A5">
        <v>4</v>
      </c>
      <c r="B5">
        <v>9</v>
      </c>
      <c r="C5">
        <v>139</v>
      </c>
      <c r="D5" s="9">
        <f>X0_canto+(C5+0.5)*dx_pix</f>
        <v>322830.17037562217</v>
      </c>
      <c r="E5" s="9">
        <f>Y0_canto-(B5+0.5)*dy_pix</f>
        <v>7434773.302458493</v>
      </c>
      <c r="F5" s="10">
        <f>(D5-x_DBT5)^2+(E5-y_DBT5)^2</f>
        <v>729867628.0812242</v>
      </c>
      <c r="G5" s="10">
        <f>(D5-x_CLP)^2+(E5-y_CLP)^2</f>
        <v>15036656.296479508</v>
      </c>
      <c r="H5" s="11">
        <f>(P_DBT5/F5+P_CLP/G5)/(1/F5+1/G5)</f>
        <v>78.67298841976557</v>
      </c>
      <c r="I5" s="11">
        <v>77</v>
      </c>
      <c r="J5" s="11">
        <f>4.2*I5/(10-0.058*I5)</f>
        <v>58.438742320202394</v>
      </c>
      <c r="K5" s="11">
        <f>25.4*(1000/J5-10)</f>
        <v>180.64316635745197</v>
      </c>
      <c r="L5" t="inlineStr">
        <is>
          <t>Cambissolos Háplicos</t>
        </is>
      </c>
      <c r="M5" s="11">
        <f>IFERROR(VLOOKUP(L5,Classes_K,2,FALSE),"")</f>
        <v>0.04749999940395355</v>
      </c>
      <c r="N5" t="inlineStr">
        <is>
          <t>Mata Nativa</t>
        </is>
      </c>
      <c r="O5" s="11">
        <f>IFERROR(VLOOKUP(N5,Classes_C,2,FALSE),"")</f>
        <v>0.014999999664723873</v>
      </c>
      <c r="P5" s="12">
        <v>0.4311360120773315</v>
      </c>
      <c r="Q5">
        <f>IF(COUNT(M5,O5,P5)=3,1,0)</f>
        <v>1</v>
      </c>
      <c r="R5" s="12">
        <f>IF(H5&lt;=p_lambda*K5,0,(H5-p_lambda*K5)^2/(H5+(1-p_lambda)*K5))</f>
        <v>19.377368452994602</v>
      </c>
      <c r="S5" s="13">
        <f>R5/1000*A_pixel*RI_mmh/R_evento_mm/3600</f>
        <v>0.000769909372510353</v>
      </c>
      <c r="T5" s="13">
        <f>IF(Q5=1,coef_W*MAX(R5*S5*A_pixel,0)^exp_M*M5*O5*fator_P*P5,"")</f>
        <v>0.015497761183059691</v>
      </c>
      <c r="U5" s="13">
        <f>IF(Q5=1,c_pura*T5,"")</f>
        <v>0.0016537003238467818</v>
      </c>
      <c r="V5" s="12">
        <f>IF(Q5=1,MIN(fator_f*R5,H5),"")</f>
        <v>23.735776135198677</v>
      </c>
      <c r="W5" s="13">
        <f>IF(Q5=1,V5/1000*A_pixel*RI_mmh/R_evento_mm/3600,"")</f>
        <v>0.0009430793739937828</v>
      </c>
      <c r="X5" s="13">
        <f>IF(Q5=1,coef_W*MAX(V5*W5*A_pixel,0)^exp_M*M5*O5*fator_P*P5,"")</f>
        <v>0.019451389976608675</v>
      </c>
      <c r="Y5" s="13">
        <f>IF(Q5=1,c_restr*X5,"")</f>
        <v>0.0026913277871715943</v>
      </c>
    </row>
    <row r="6">
      <c r="A6">
        <v>5</v>
      </c>
      <c r="B6">
        <v>9</v>
      </c>
      <c r="C6">
        <v>140</v>
      </c>
      <c r="D6" s="9">
        <f>X0_canto+(C6+0.5)*dx_pix</f>
        <v>322860.16195107467</v>
      </c>
      <c r="E6" s="9">
        <f>Y0_canto-(B6+0.5)*dy_pix</f>
        <v>7434773.302458493</v>
      </c>
      <c r="F6" s="10">
        <f>(D6-x_DBT5)^2+(E6-y_DBT5)^2</f>
        <v>728327519.7250277</v>
      </c>
      <c r="G6" s="10">
        <f>(D6-x_CLP)^2+(E6-y_CLP)^2</f>
        <v>15215573.809913635</v>
      </c>
      <c r="H6" s="11">
        <f>(P_DBT5/F6+P_CLP/G6)/(1/F6+1/G6)</f>
        <v>78.66849158365929</v>
      </c>
      <c r="I6" s="11">
        <v>77</v>
      </c>
      <c r="J6" s="11">
        <f>4.2*I6/(10-0.058*I6)</f>
        <v>58.438742320202394</v>
      </c>
      <c r="K6" s="11">
        <f>25.4*(1000/J6-10)</f>
        <v>180.64316635745197</v>
      </c>
      <c r="L6" t="inlineStr">
        <is>
          <t>Cambissolos Háplicos</t>
        </is>
      </c>
      <c r="M6" s="11">
        <f>IFERROR(VLOOKUP(L6,Classes_K,2,FALSE),"")</f>
        <v>0.04749999940395355</v>
      </c>
      <c r="N6" t="inlineStr">
        <is>
          <t>Mata Nativa</t>
        </is>
      </c>
      <c r="O6" s="11">
        <f>IFERROR(VLOOKUP(N6,Classes_C,2,FALSE),"")</f>
        <v>0.014999999664723873</v>
      </c>
      <c r="P6" s="12">
        <v>0.3413705825805664</v>
      </c>
      <c r="Q6">
        <f>IF(COUNT(M6,O6,P6)=3,1,0)</f>
        <v>1</v>
      </c>
      <c r="R6" s="12">
        <f>IF(H6&lt;=p_lambda*K6,0,(H6-p_lambda*K6)^2/(H6+(1-p_lambda)*K6))</f>
        <v>19.375214182558068</v>
      </c>
      <c r="S6" s="13">
        <f>R6/1000*A_pixel*RI_mmh/R_evento_mm/3600</f>
        <v>0.0007698237781736384</v>
      </c>
      <c r="T6" s="13">
        <f>IF(Q6=1,coef_W*MAX(R6*S6*A_pixel,0)^exp_M*M6*O6*fator_P*P6,"")</f>
        <v>0.01226949471440198</v>
      </c>
      <c r="U6" s="13">
        <f>IF(Q6=1,c_pura*T6,"")</f>
        <v>0.0013092257096348613</v>
      </c>
      <c r="V6" s="12">
        <f>IF(Q6=1,MIN(fator_f*R6,H6),"")</f>
        <v>23.73313732070019</v>
      </c>
      <c r="W6" s="13">
        <f>IF(Q6=1,V6/1000*A_pixel*RI_mmh/R_evento_mm/3600,"")</f>
        <v>0.0009429745275581262</v>
      </c>
      <c r="X6" s="13">
        <f>IF(Q6=1,coef_W*MAX(V6*W6*A_pixel,0)^exp_M*M6*O6*fator_P*P6,"")</f>
        <v>0.015399561503544466</v>
      </c>
      <c r="Y6" s="13">
        <f>IF(Q6=1,c_restr*X6,"")</f>
        <v>0.002130709827656909</v>
      </c>
    </row>
    <row r="7">
      <c r="A7">
        <v>6</v>
      </c>
      <c r="B7">
        <v>9</v>
      </c>
      <c r="C7">
        <v>141</v>
      </c>
      <c r="D7" s="9">
        <f>X0_canto+(C7+0.5)*dx_pix</f>
        <v>322890.15352652717</v>
      </c>
      <c r="E7" s="9">
        <f>Y0_canto-(B7+0.5)*dy_pix</f>
        <v>7434773.302458493</v>
      </c>
      <c r="F7" s="10">
        <f>(D7-x_DBT5)^2+(E7-y_DBT5)^2</f>
        <v>726789210.3580273</v>
      </c>
      <c r="G7" s="10">
        <f>(D7-x_CLP)^2+(E7-y_CLP)^2</f>
        <v>15396290.312544007</v>
      </c>
      <c r="H7" s="11">
        <f>(P_DBT5/F7+P_CLP/G7)/(1/F7+1/G7)</f>
        <v>78.6639406144817</v>
      </c>
      <c r="I7" s="11">
        <v>77</v>
      </c>
      <c r="J7" s="11">
        <f>4.2*I7/(10-0.058*I7)</f>
        <v>58.438742320202394</v>
      </c>
      <c r="K7" s="11">
        <f>25.4*(1000/J7-10)</f>
        <v>180.64316635745197</v>
      </c>
      <c r="L7" t="inlineStr">
        <is>
          <t>Cambissolos Háplicos</t>
        </is>
      </c>
      <c r="M7" s="11">
        <f>IFERROR(VLOOKUP(L7,Classes_K,2,FALSE),"")</f>
        <v>0.04749999940395355</v>
      </c>
      <c r="N7" t="inlineStr">
        <is>
          <t>Mata Nativa</t>
        </is>
      </c>
      <c r="O7" s="11">
        <f>IFERROR(VLOOKUP(N7,Classes_C,2,FALSE),"")</f>
        <v>0.014999999664723873</v>
      </c>
      <c r="P7" s="12">
        <v>0.3539305031299591</v>
      </c>
      <c r="Q7">
        <f>IF(COUNT(M7,O7,P7)=3,1,0)</f>
        <v>1</v>
      </c>
      <c r="R7" s="12">
        <f>IF(H7&lt;=p_lambda*K7,0,(H7-p_lambda*K7)^2/(H7+(1-p_lambda)*K7))</f>
        <v>19.373034064644845</v>
      </c>
      <c r="S7" s="13">
        <f>R7/1000*A_pixel*RI_mmh/R_evento_mm/3600</f>
        <v>0.0007697371568546167</v>
      </c>
      <c r="T7" s="13">
        <f>IF(Q7=1,coef_W*MAX(R7*S7*A_pixel,0)^exp_M*M7*O7*fator_P*P7,"")</f>
        <v>0.012719318534103415</v>
      </c>
      <c r="U7" s="13">
        <f>IF(Q7=1,c_pura*T7,"")</f>
        <v>0.0013572245003974504</v>
      </c>
      <c r="V7" s="12">
        <f>IF(Q7=1,MIN(fator_f*R7,H7),"")</f>
        <v>23.730466845043907</v>
      </c>
      <c r="W7" s="13">
        <f>IF(Q7=1,V7/1000*A_pixel*RI_mmh/R_evento_mm/3600,"")</f>
        <v>0.0009428684231486538</v>
      </c>
      <c r="X7" s="13">
        <f>IF(Q7=1,coef_W*MAX(V7*W7*A_pixel,0)^exp_M*M7*O7*fator_P*P7,"")</f>
        <v>0.015964139730968982</v>
      </c>
      <c r="Y7" s="13">
        <f>IF(Q7=1,c_restr*X7,"")</f>
        <v>0.0022088258426731584</v>
      </c>
    </row>
    <row r="8">
      <c r="A8">
        <v>7</v>
      </c>
      <c r="B8">
        <v>9</v>
      </c>
      <c r="C8">
        <v>142</v>
      </c>
      <c r="D8" s="9">
        <f>X0_canto+(C8+0.5)*dx_pix</f>
        <v>322920.14510197967</v>
      </c>
      <c r="E8" s="9">
        <f>Y0_canto-(B8+0.5)*dy_pix</f>
        <v>7434773.302458493</v>
      </c>
      <c r="F8" s="10">
        <f>(D8-x_DBT5)^2+(E8-y_DBT5)^2</f>
        <v>725252699.9802232</v>
      </c>
      <c r="G8" s="10">
        <f>(D8-x_CLP)^2+(E8-y_CLP)^2</f>
        <v>15578805.804370623</v>
      </c>
      <c r="H8" s="11">
        <f>(P_DBT5/F8+P_CLP/G8)/(1/F8+1/G8)</f>
        <v>78.65933528093989</v>
      </c>
      <c r="I8" s="11">
        <v>77</v>
      </c>
      <c r="J8" s="11">
        <f>4.2*I8/(10-0.058*I8)</f>
        <v>58.438742320202394</v>
      </c>
      <c r="K8" s="11">
        <f>25.4*(1000/J8-10)</f>
        <v>180.64316635745197</v>
      </c>
      <c r="L8" t="inlineStr">
        <is>
          <t>Cambissolos Háplicos</t>
        </is>
      </c>
      <c r="M8" s="11">
        <f>IFERROR(VLOOKUP(L8,Classes_K,2,FALSE),"")</f>
        <v>0.04749999940395355</v>
      </c>
      <c r="N8" t="inlineStr">
        <is>
          <t>Mata Nativa</t>
        </is>
      </c>
      <c r="O8" s="11">
        <f>IFERROR(VLOOKUP(N8,Classes_C,2,FALSE),"")</f>
        <v>0.014999999664723873</v>
      </c>
      <c r="P8" s="12">
        <v>0.337883859872818</v>
      </c>
      <c r="Q8">
        <f>IF(COUNT(M8,O8,P8)=3,1,0)</f>
        <v>1</v>
      </c>
      <c r="R8" s="12">
        <f>IF(H8&lt;=p_lambda*K8,0,(H8-p_lambda*K8)^2/(H8+(1-p_lambda)*K8))</f>
        <v>19.370827991543386</v>
      </c>
      <c r="S8" s="13">
        <f>R8/1000*A_pixel*RI_mmh/R_evento_mm/3600</f>
        <v>0.0007696495042736494</v>
      </c>
      <c r="T8" s="13">
        <f>IF(Q8=1,coef_W*MAX(R8*S8*A_pixel,0)^exp_M*M8*O8*fator_P*P8,"")</f>
        <v>0.012141096322996777</v>
      </c>
      <c r="U8" s="13">
        <f>IF(Q8=1,c_pura*T8,"")</f>
        <v>0.001295524862206635</v>
      </c>
      <c r="V8" s="12">
        <f>IF(Q8=1,MIN(fator_f*R8,H8),"")</f>
        <v>23.727764576291513</v>
      </c>
      <c r="W8" s="13">
        <f>IF(Q8=1,V8/1000*A_pixel*RI_mmh/R_evento_mm/3600,"")</f>
        <v>0.0009427610555231398</v>
      </c>
      <c r="X8" s="13">
        <f>IF(Q8=1,coef_W*MAX(V8*W8*A_pixel,0)^exp_M*M8*O8*fator_P*P8,"")</f>
        <v>0.015238407440445224</v>
      </c>
      <c r="Y8" s="13">
        <f>IF(Q8=1,c_restr*X8,"")</f>
        <v>0.002108412274188691</v>
      </c>
    </row>
    <row r="9">
      <c r="A9">
        <v>8</v>
      </c>
      <c r="B9">
        <v>9</v>
      </c>
      <c r="C9">
        <v>143</v>
      </c>
      <c r="D9" s="9">
        <f>X0_canto+(C9+0.5)*dx_pix</f>
        <v>322950.1366774321</v>
      </c>
      <c r="E9" s="9">
        <f>Y0_canto-(B9+0.5)*dy_pix</f>
        <v>7434773.302458493</v>
      </c>
      <c r="F9" s="10">
        <f>(D9-x_DBT5)^2+(E9-y_DBT5)^2</f>
        <v>723717988.5916184</v>
      </c>
      <c r="G9" s="10">
        <f>(D9-x_CLP)^2+(E9-y_CLP)^2</f>
        <v>15763120.285393126</v>
      </c>
      <c r="H9" s="11">
        <f>(P_DBT5/F9+P_CLP/G9)/(1/F9+1/G9)</f>
        <v>78.6546753516316</v>
      </c>
      <c r="I9" s="11">
        <v>77</v>
      </c>
      <c r="J9" s="11">
        <f>4.2*I9/(10-0.058*I9)</f>
        <v>58.438742320202394</v>
      </c>
      <c r="K9" s="11">
        <f>25.4*(1000/J9-10)</f>
        <v>180.64316635745197</v>
      </c>
      <c r="L9" t="inlineStr">
        <is>
          <t>Cambissolos Háplicos</t>
        </is>
      </c>
      <c r="M9" s="11">
        <f>IFERROR(VLOOKUP(L9,Classes_K,2,FALSE),"")</f>
        <v>0.04749999940395355</v>
      </c>
      <c r="N9" t="inlineStr">
        <is>
          <t>Campo</t>
        </is>
      </c>
      <c r="O9" s="11">
        <f>IFERROR(VLOOKUP(N9,Classes_C,2,FALSE),"")</f>
        <v>0.05000000074505806</v>
      </c>
      <c r="P9" s="12">
        <v>0.358159989118576</v>
      </c>
      <c r="Q9">
        <f>IF(COUNT(M9,O9,P9)=3,1,0)</f>
        <v>1</v>
      </c>
      <c r="R9" s="12">
        <f>IF(H9&lt;=p_lambda*K9,0,(H9-p_lambda*K9)^2/(H9+(1-p_lambda)*K9))</f>
        <v>19.368595855544662</v>
      </c>
      <c r="S9" s="13">
        <f>R9/1000*A_pixel*RI_mmh/R_evento_mm/3600</f>
        <v>0.0007695608161511986</v>
      </c>
      <c r="T9" s="13">
        <f>IF(Q9=1,coef_W*MAX(R9*S9*A_pixel,0)^exp_M*M9*O9*fator_P*P9,"")</f>
        <v>0.04289337648288629</v>
      </c>
      <c r="U9" s="13">
        <f>IF(Q9=1,c_pura*T9,"")</f>
        <v>0.00457697016638547</v>
      </c>
      <c r="V9" s="12">
        <f>IF(Q9=1,MIN(fator_f*R9,H9),"")</f>
        <v>23.725030382507793</v>
      </c>
      <c r="W9" s="13">
        <f>IF(Q9=1,V9/1000*A_pixel*RI_mmh/R_evento_mm/3600,"")</f>
        <v>0.0009426524194394811</v>
      </c>
      <c r="X9" s="13">
        <f>IF(Q9=1,coef_W*MAX(V9*W9*A_pixel,0)^exp_M*M9*O9*fator_P*P9,"")</f>
        <v>0.05383589174764889</v>
      </c>
      <c r="Y9" s="13">
        <f>IF(Q9=1,c_restr*X9,"")</f>
        <v>0.0074488266176271885</v>
      </c>
    </row>
    <row r="10">
      <c r="A10">
        <v>9</v>
      </c>
      <c r="B10">
        <v>10</v>
      </c>
      <c r="C10">
        <v>134</v>
      </c>
      <c r="D10" s="9">
        <f>X0_canto+(C10+0.5)*dx_pix</f>
        <v>322680.21249835973</v>
      </c>
      <c r="E10" s="9">
        <f>Y0_canto-(B10+0.5)*dy_pix</f>
        <v>7434743.3777278075</v>
      </c>
      <c r="F10" s="10">
        <f>(D10-x_DBT5)^2+(E10-y_DBT5)^2</f>
        <v>737095826.6099299</v>
      </c>
      <c r="G10" s="10">
        <f>(D10-x_CLP)^2+(E10-y_CLP)^2</f>
        <v>14020579.175293442</v>
      </c>
      <c r="H10" s="11">
        <f>(P_DBT5/F10+P_CLP/G10)/(1/F10+1/G10)</f>
        <v>78.69760763493255</v>
      </c>
      <c r="I10" s="11">
        <v>81</v>
      </c>
      <c r="J10" s="11">
        <f>4.2*I10/(10-0.058*I10)</f>
        <v>64.16446623915503</v>
      </c>
      <c r="K10" s="11">
        <f>25.4*(1000/J10-10)</f>
        <v>141.85773074661967</v>
      </c>
      <c r="L10" t="inlineStr">
        <is>
          <t/>
        </is>
      </c>
      <c r="M10" s="11">
        <f>IFERROR(VLOOKUP(L10,Classes_K,2,FALSE),"")</f>
        <v/>
      </c>
      <c r="N10" t="inlineStr">
        <is>
          <t/>
        </is>
      </c>
      <c r="O10" s="11">
        <f>IFERROR(VLOOKUP(N10,Classes_C,2,FALSE),"")</f>
        <v/>
      </c>
      <c r="Q10">
        <f>IF(COUNT(M10,O10,P10)=3,1,0)</f>
        <v>0</v>
      </c>
      <c r="R10" s="12">
        <f>IF(H10&lt;=p_lambda*K10,0,(H10-p_lambda*K10)^2/(H10+(1-p_lambda)*K10))</f>
        <v>24.01938157820382</v>
      </c>
      <c r="S10" s="13">
        <f>R10/1000*A_pixel*RI_mmh/R_evento_mm/3600</f>
        <v>0.0009543476991636469</v>
      </c>
      <c r="T10" s="13">
        <f>IF(Q10=1,coef_W*MAX(R10*S10*A_pixel,0)^exp_M*M10*O10*fator_P*P10,"")</f>
        <v/>
      </c>
      <c r="U10" s="13">
        <f>IF(Q10=1,c_pura*T10,"")</f>
        <v/>
      </c>
      <c r="V10" s="12">
        <f>IF(Q10=1,MIN(fator_f*R10,H10),"")</f>
        <v/>
      </c>
      <c r="W10" s="13">
        <f>IF(Q10=1,V10/1000*A_pixel*RI_mmh/R_evento_mm/3600,"")</f>
        <v/>
      </c>
      <c r="X10" s="13">
        <f>IF(Q10=1,coef_W*MAX(V10*W10*A_pixel,0)^exp_M*M10*O10*fator_P*P10,"")</f>
        <v/>
      </c>
      <c r="Y10" s="13">
        <f>IF(Q10=1,c_restr*X10,"")</f>
        <v/>
      </c>
    </row>
    <row r="11">
      <c r="A11">
        <v>10</v>
      </c>
      <c r="B11">
        <v>10</v>
      </c>
      <c r="C11">
        <v>135</v>
      </c>
      <c r="D11" s="9">
        <f>X0_canto+(C11+0.5)*dx_pix</f>
        <v>322710.20407381223</v>
      </c>
      <c r="E11" s="9">
        <f>Y0_canto-(B11+0.5)*dy_pix</f>
        <v>7434743.3777278075</v>
      </c>
      <c r="F11" s="10">
        <f>(D11-x_DBT5)^2+(E11-y_DBT5)^2</f>
        <v>735546723.3077521</v>
      </c>
      <c r="G11" s="10">
        <f>(D11-x_CLP)^2+(E11-y_CLP)^2</f>
        <v>14190501.742746342</v>
      </c>
      <c r="H11" s="11">
        <f>(P_DBT5/F11+P_CLP/G11)/(1/F11+1/G11)</f>
        <v>78.69337975108272</v>
      </c>
      <c r="I11" s="11">
        <v>77</v>
      </c>
      <c r="J11" s="11">
        <f>4.2*I11/(10-0.058*I11)</f>
        <v>58.438742320202394</v>
      </c>
      <c r="K11" s="11">
        <f>25.4*(1000/J11-10)</f>
        <v>180.64316635745197</v>
      </c>
      <c r="L11" t="inlineStr">
        <is>
          <t/>
        </is>
      </c>
      <c r="M11" s="11">
        <f>IFERROR(VLOOKUP(L11,Classes_K,2,FALSE),"")</f>
        <v/>
      </c>
      <c r="N11" t="inlineStr">
        <is>
          <t/>
        </is>
      </c>
      <c r="O11" s="11">
        <f>IFERROR(VLOOKUP(N11,Classes_C,2,FALSE),"")</f>
        <v/>
      </c>
      <c r="P11" s="12">
        <v>0.3243472278118134</v>
      </c>
      <c r="Q11">
        <f>IF(COUNT(M11,O11,P11)=3,1,0)</f>
        <v>0</v>
      </c>
      <c r="R11" s="12">
        <f>IF(H11&lt;=p_lambda*K11,0,(H11-p_lambda*K11)^2/(H11+(1-p_lambda)*K11))</f>
        <v>19.387138253545903</v>
      </c>
      <c r="S11" s="13">
        <f>R11/1000*A_pixel*RI_mmh/R_evento_mm/3600</f>
        <v>0.0007702975501429478</v>
      </c>
      <c r="T11" s="13">
        <f>IF(Q11=1,coef_W*MAX(R11*S11*A_pixel,0)^exp_M*M11*O11*fator_P*P11,"")</f>
        <v/>
      </c>
      <c r="U11" s="13">
        <f>IF(Q11=1,c_pura*T11,"")</f>
        <v/>
      </c>
      <c r="V11" s="12">
        <f>IF(Q11=1,MIN(fator_f*R11,H11),"")</f>
        <v/>
      </c>
      <c r="W11" s="13">
        <f>IF(Q11=1,V11/1000*A_pixel*RI_mmh/R_evento_mm/3600,"")</f>
        <v/>
      </c>
      <c r="X11" s="13">
        <f>IF(Q11=1,coef_W*MAX(V11*W11*A_pixel,0)^exp_M*M11*O11*fator_P*P11,"")</f>
        <v/>
      </c>
      <c r="Y11" s="13">
        <f>IF(Q11=1,c_restr*X11,"")</f>
        <v/>
      </c>
    </row>
    <row r="12">
      <c r="A12">
        <v>11</v>
      </c>
      <c r="B12">
        <v>10</v>
      </c>
      <c r="C12">
        <v>136</v>
      </c>
      <c r="D12" s="9">
        <f>X0_canto+(C12+0.5)*dx_pix</f>
        <v>322740.19564926473</v>
      </c>
      <c r="E12" s="9">
        <f>Y0_canto-(B12+0.5)*dy_pix</f>
        <v>7434743.3777278075</v>
      </c>
      <c r="F12" s="10">
        <f>(D12-x_DBT5)^2+(E12-y_DBT5)^2</f>
        <v>733999418.9947706</v>
      </c>
      <c r="G12" s="10">
        <f>(D12-x_CLP)^2+(E12-y_CLP)^2</f>
        <v>14362223.299395487</v>
      </c>
      <c r="H12" s="11">
        <f>(P_DBT5/F12+P_CLP/G12)/(1/F12+1/G12)</f>
        <v>78.689098835088</v>
      </c>
      <c r="I12" s="11">
        <v>77</v>
      </c>
      <c r="J12" s="11">
        <f>4.2*I12/(10-0.058*I12)</f>
        <v>58.438742320202394</v>
      </c>
      <c r="K12" s="11">
        <f>25.4*(1000/J12-10)</f>
        <v>180.64316635745197</v>
      </c>
      <c r="L12" t="inlineStr">
        <is>
          <t/>
        </is>
      </c>
      <c r="M12" s="11">
        <f>IFERROR(VLOOKUP(L12,Classes_K,2,FALSE),"")</f>
        <v/>
      </c>
      <c r="N12" t="inlineStr">
        <is>
          <t/>
        </is>
      </c>
      <c r="O12" s="11">
        <f>IFERROR(VLOOKUP(N12,Classes_C,2,FALSE),"")</f>
        <v/>
      </c>
      <c r="P12" s="12">
        <v>0.3312332928180695</v>
      </c>
      <c r="Q12">
        <f>IF(COUNT(M12,O12,P12)=3,1,0)</f>
        <v>0</v>
      </c>
      <c r="R12" s="12">
        <f>IF(H12&lt;=p_lambda*K12,0,(H12-p_lambda*K12)^2/(H12+(1-p_lambda)*K12))</f>
        <v>19.385087057307846</v>
      </c>
      <c r="S12" s="13">
        <f>R12/1000*A_pixel*RI_mmh/R_evento_mm/3600</f>
        <v>0.0007702160511916137</v>
      </c>
      <c r="T12" s="13">
        <f>IF(Q12=1,coef_W*MAX(R12*S12*A_pixel,0)^exp_M*M12*O12*fator_P*P12,"")</f>
        <v/>
      </c>
      <c r="U12" s="13">
        <f>IF(Q12=1,c_pura*T12,"")</f>
        <v/>
      </c>
      <c r="V12" s="12">
        <f>IF(Q12=1,MIN(fator_f*R12,H12),"")</f>
        <v/>
      </c>
      <c r="W12" s="13">
        <f>IF(Q12=1,V12/1000*A_pixel*RI_mmh/R_evento_mm/3600,"")</f>
        <v/>
      </c>
      <c r="X12" s="13">
        <f>IF(Q12=1,coef_W*MAX(V12*W12*A_pixel,0)^exp_M*M12*O12*fator_P*P12,"")</f>
        <v/>
      </c>
      <c r="Y12" s="13">
        <f>IF(Q12=1,c_restr*X12,"")</f>
        <v/>
      </c>
    </row>
    <row r="13">
      <c r="A13">
        <v>12</v>
      </c>
      <c r="B13">
        <v>10</v>
      </c>
      <c r="C13">
        <v>137</v>
      </c>
      <c r="D13" s="9">
        <f>X0_canto+(C13+0.5)*dx_pix</f>
        <v>322770.18722471717</v>
      </c>
      <c r="E13" s="9">
        <f>Y0_canto-(B13+0.5)*dy_pix</f>
        <v>7434743.3777278075</v>
      </c>
      <c r="F13" s="10">
        <f>(D13-x_DBT5)^2+(E13-y_DBT5)^2</f>
        <v>732453913.6709883</v>
      </c>
      <c r="G13" s="10">
        <f>(D13-x_CLP)^2+(E13-y_CLP)^2</f>
        <v>14535743.84524054</v>
      </c>
      <c r="H13" s="11">
        <f>(P_DBT5/F13+P_CLP/G13)/(1/F13+1/G13)</f>
        <v>78.68476465583096</v>
      </c>
      <c r="I13" s="11">
        <v>77</v>
      </c>
      <c r="J13" s="11">
        <f>4.2*I13/(10-0.058*I13)</f>
        <v>58.438742320202394</v>
      </c>
      <c r="K13" s="11">
        <f>25.4*(1000/J13-10)</f>
        <v>180.64316635745197</v>
      </c>
      <c r="L13" t="inlineStr">
        <is>
          <t>Área Urbana</t>
        </is>
      </c>
      <c r="M13" s="11">
        <f>IFERROR(VLOOKUP(L13,Classes_K,2,FALSE),"")</f>
        <v>0.0</v>
      </c>
      <c r="N13" t="inlineStr">
        <is>
          <t>Campo</t>
        </is>
      </c>
      <c r="O13" s="11">
        <f>IFERROR(VLOOKUP(N13,Classes_C,2,FALSE),"")</f>
        <v>0.05000000074505806</v>
      </c>
      <c r="P13" s="12">
        <v>0.3648571074008942</v>
      </c>
      <c r="Q13">
        <f>IF(COUNT(M13,O13,P13)=3,1,0)</f>
        <v>1</v>
      </c>
      <c r="R13" s="12">
        <f>IF(H13&lt;=p_lambda*K13,0,(H13-p_lambda*K13)^2/(H13+(1-p_lambda)*K13))</f>
        <v>19.383010417736706</v>
      </c>
      <c r="S13" s="13">
        <f>R13/1000*A_pixel*RI_mmh/R_evento_mm/3600</f>
        <v>0.0007701335413155679</v>
      </c>
      <c r="T13" s="13">
        <f>IF(Q13=1,coef_W*MAX(R13*S13*A_pixel,0)^exp_M*M13*O13*fator_P*P13,"")</f>
        <v>0.0</v>
      </c>
      <c r="U13" s="13">
        <f>IF(Q13=1,c_pura*T13,"")</f>
        <v>0.0</v>
      </c>
      <c r="V13" s="12">
        <f>IF(Q13=1,MIN(fator_f*R13,H13),"")</f>
        <v>23.7426871051999</v>
      </c>
      <c r="W13" s="13">
        <f>IF(Q13=1,V13/1000*A_pixel*RI_mmh/R_evento_mm/3600,"")</f>
        <v>0.0009433539634247464</v>
      </c>
      <c r="X13" s="13">
        <f>IF(Q13=1,coef_W*MAX(V13*W13*A_pixel,0)^exp_M*M13*O13*fator_P*P13,"")</f>
        <v>0.0</v>
      </c>
      <c r="Y13" s="13">
        <f>IF(Q13=1,c_restr*X13,"")</f>
        <v>0.0</v>
      </c>
    </row>
    <row r="14">
      <c r="A14">
        <v>13</v>
      </c>
      <c r="B14">
        <v>10</v>
      </c>
      <c r="C14">
        <v>138</v>
      </c>
      <c r="D14" s="9">
        <f>X0_canto+(C14+0.5)*dx_pix</f>
        <v>322800.17880016967</v>
      </c>
      <c r="E14" s="9">
        <f>Y0_canto-(B14+0.5)*dy_pix</f>
        <v>7434743.3777278075</v>
      </c>
      <c r="F14" s="10">
        <f>(D14-x_DBT5)^2+(E14-y_DBT5)^2</f>
        <v>730910207.3363992</v>
      </c>
      <c r="G14" s="10">
        <f>(D14-x_CLP)^2+(E14-y_CLP)^2</f>
        <v>14711063.380282175</v>
      </c>
      <c r="H14" s="11">
        <f>(P_DBT5/F14+P_CLP/G14)/(1/F14+1/G14)</f>
        <v>78.68037698203284</v>
      </c>
      <c r="I14" s="11">
        <v>77</v>
      </c>
      <c r="J14" s="11">
        <f>4.2*I14/(10-0.058*I14)</f>
        <v>58.438742320202394</v>
      </c>
      <c r="K14" s="11">
        <f>25.4*(1000/J14-10)</f>
        <v>180.64316635745197</v>
      </c>
      <c r="L14" t="inlineStr">
        <is>
          <t>Área Urbana</t>
        </is>
      </c>
      <c r="M14" s="11">
        <f>IFERROR(VLOOKUP(L14,Classes_K,2,FALSE),"")</f>
        <v>0.0</v>
      </c>
      <c r="N14" t="inlineStr">
        <is>
          <t>Mata Nativa</t>
        </is>
      </c>
      <c r="O14" s="11">
        <f>IFERROR(VLOOKUP(N14,Classes_C,2,FALSE),"")</f>
        <v>0.014999999664723873</v>
      </c>
      <c r="P14" s="12">
        <v>0.4723723530769348</v>
      </c>
      <c r="Q14">
        <f>IF(COUNT(M14,O14,P14)=3,1,0)</f>
        <v>1</v>
      </c>
      <c r="R14" s="12">
        <f>IF(H14&lt;=p_lambda*K14,0,(H14-p_lambda*K14)^2/(H14+(1-p_lambda)*K14))</f>
        <v>19.38090822691246</v>
      </c>
      <c r="S14" s="13">
        <f>R14/1000*A_pixel*RI_mmh/R_evento_mm/3600</f>
        <v>0.0007700500162268895</v>
      </c>
      <c r="T14" s="13">
        <f>IF(Q14=1,coef_W*MAX(R14*S14*A_pixel,0)^exp_M*M14*O14*fator_P*P14,"")</f>
        <v>0.0</v>
      </c>
      <c r="U14" s="13">
        <f>IF(Q14=1,c_pura*T14,"")</f>
        <v>0.0</v>
      </c>
      <c r="V14" s="12">
        <f>IF(Q14=1,MIN(fator_f*R14,H14),"")</f>
        <v>23.740112084194397</v>
      </c>
      <c r="W14" s="13">
        <f>IF(Q14=1,V14/1000*A_pixel*RI_mmh/R_evento_mm/3600,"")</f>
        <v>0.0009432516516577304</v>
      </c>
      <c r="X14" s="13">
        <f>IF(Q14=1,coef_W*MAX(V14*W14*A_pixel,0)^exp_M*M14*O14*fator_P*P14,"")</f>
        <v>0.0</v>
      </c>
      <c r="Y14" s="13">
        <f>IF(Q14=1,c_restr*X14,"")</f>
        <v>0.0</v>
      </c>
    </row>
    <row r="15">
      <c r="A15">
        <v>14</v>
      </c>
      <c r="B15">
        <v>10</v>
      </c>
      <c r="C15">
        <v>139</v>
      </c>
      <c r="D15" s="9">
        <f>X0_canto+(C15+0.5)*dx_pix</f>
        <v>322830.17037562217</v>
      </c>
      <c r="E15" s="9">
        <f>Y0_canto-(B15+0.5)*dy_pix</f>
        <v>7434743.3777278075</v>
      </c>
      <c r="F15" s="10">
        <f>(D15-x_DBT5)^2+(E15-y_DBT5)^2</f>
        <v>729368299.9910064</v>
      </c>
      <c r="G15" s="10">
        <f>(D15-x_CLP)^2+(E15-y_CLP)^2</f>
        <v>14888181.904520053</v>
      </c>
      <c r="H15" s="11">
        <f>(P_DBT5/F15+P_CLP/G15)/(1/F15+1/G15)</f>
        <v>78.6759355822635</v>
      </c>
      <c r="I15" s="11">
        <v>77</v>
      </c>
      <c r="J15" s="11">
        <f>4.2*I15/(10-0.058*I15)</f>
        <v>58.438742320202394</v>
      </c>
      <c r="K15" s="11">
        <f>25.4*(1000/J15-10)</f>
        <v>180.64316635745197</v>
      </c>
      <c r="L15" t="inlineStr">
        <is>
          <t>Cambissolos Háplicos</t>
        </is>
      </c>
      <c r="M15" s="11">
        <f>IFERROR(VLOOKUP(L15,Classes_K,2,FALSE),"")</f>
        <v>0.04749999940395355</v>
      </c>
      <c r="N15" t="inlineStr">
        <is>
          <t>Mata Nativa</t>
        </is>
      </c>
      <c r="O15" s="11">
        <f>IFERROR(VLOOKUP(N15,Classes_C,2,FALSE),"")</f>
        <v>0.014999999664723873</v>
      </c>
      <c r="P15" s="12">
        <v>0.4643254280090332</v>
      </c>
      <c r="Q15">
        <f>IF(COUNT(M15,O15,P15)=3,1,0)</f>
        <v>1</v>
      </c>
      <c r="R15" s="12">
        <f>IF(H15&lt;=p_lambda*K15,0,(H15-p_lambda*K15)^2/(H15+(1-p_lambda)*K15))</f>
        <v>19.378780376895396</v>
      </c>
      <c r="S15" s="13">
        <f>R15/1000*A_pixel*RI_mmh/R_evento_mm/3600</f>
        <v>0.0007699654716368741</v>
      </c>
      <c r="T15" s="13">
        <f>IF(Q15=1,coef_W*MAX(R15*S15*A_pixel,0)^exp_M*M15*O15*fator_P*P15,"")</f>
        <v>0.016692161288844987</v>
      </c>
      <c r="U15" s="13">
        <f>IF(Q15=1,c_pura*T15,"")</f>
        <v>0.001781149690139689</v>
      </c>
      <c r="V15" s="12">
        <f>IF(Q15=1,MIN(fator_f*R15,H15),"")</f>
        <v>23.737505632664263</v>
      </c>
      <c r="W15" s="13">
        <f>IF(Q15=1,V15/1000*A_pixel*RI_mmh/R_evento_mm/3600,"")</f>
        <v>0.0009431480910805079</v>
      </c>
      <c r="X15" s="13">
        <f>IF(Q15=1,coef_W*MAX(V15*W15*A_pixel,0)^exp_M*M15*O15*fator_P*P15,"")</f>
        <v>0.020950493103267236</v>
      </c>
      <c r="Y15" s="13">
        <f>IF(Q15=1,c_restr*X15,"")</f>
        <v>0.002898746275282922</v>
      </c>
    </row>
    <row r="16">
      <c r="A16">
        <v>15</v>
      </c>
      <c r="B16">
        <v>10</v>
      </c>
      <c r="C16">
        <v>140</v>
      </c>
      <c r="D16" s="9">
        <f>X0_canto+(C16+0.5)*dx_pix</f>
        <v>322860.16195107467</v>
      </c>
      <c r="E16" s="9">
        <f>Y0_canto-(B16+0.5)*dy_pix</f>
        <v>7434743.3777278075</v>
      </c>
      <c r="F16" s="10">
        <f>(D16-x_DBT5)^2+(E16-y_DBT5)^2</f>
        <v>727828191.6348099</v>
      </c>
      <c r="G16" s="10">
        <f>(D16-x_CLP)^2+(E16-y_CLP)^2</f>
        <v>15067099.41795418</v>
      </c>
      <c r="H16" s="11">
        <f>(P_DBT5/F16+P_CLP/G16)/(1/F16+1/G16)</f>
        <v>78.6714402249511</v>
      </c>
      <c r="I16" s="11">
        <v>77</v>
      </c>
      <c r="J16" s="11">
        <f>4.2*I16/(10-0.058*I16)</f>
        <v>58.438742320202394</v>
      </c>
      <c r="K16" s="11">
        <f>25.4*(1000/J16-10)</f>
        <v>180.64316635745197</v>
      </c>
      <c r="L16" t="inlineStr">
        <is>
          <t>Cambissolos Háplicos</t>
        </is>
      </c>
      <c r="M16" s="11">
        <f>IFERROR(VLOOKUP(L16,Classes_K,2,FALSE),"")</f>
        <v>0.04749999940395355</v>
      </c>
      <c r="N16" t="inlineStr">
        <is>
          <t>Mata Nativa</t>
        </is>
      </c>
      <c r="O16" s="11">
        <f>IFERROR(VLOOKUP(N16,Classes_C,2,FALSE),"")</f>
        <v>0.014999999664723873</v>
      </c>
      <c r="P16" s="12">
        <v>0.3423141241073608</v>
      </c>
      <c r="Q16">
        <f>IF(COUNT(M16,O16,P16)=3,1,0)</f>
        <v>1</v>
      </c>
      <c r="R16" s="12">
        <f>IF(H16&lt;=p_lambda*K16,0,(H16-p_lambda*K16)^2/(H16+(1-p_lambda)*K16))</f>
        <v>19.37662675973124</v>
      </c>
      <c r="S16" s="13">
        <f>R16/1000*A_pixel*RI_mmh/R_evento_mm/3600</f>
        <v>0.0007698799032562397</v>
      </c>
      <c r="T16" s="13">
        <f>IF(Q16=1,coef_W*MAX(R16*S16*A_pixel,0)^exp_M*M16*O16*fator_P*P16,"")</f>
        <v>0.012304411995931568</v>
      </c>
      <c r="U16" s="13">
        <f>IF(Q16=1,c_pura*T16,"")</f>
        <v>0.0013129515845590695</v>
      </c>
      <c r="V16" s="12">
        <f>IF(Q16=1,MIN(fator_f*R16,H16),"")</f>
        <v>23.734867618373865</v>
      </c>
      <c r="W16" s="13">
        <f>IF(Q16=1,V16/1000*A_pixel*RI_mmh/R_evento_mm/3600,"")</f>
        <v>0.00094304327643904</v>
      </c>
      <c r="X16" s="13">
        <f>IF(Q16=1,coef_W*MAX(V16*W16*A_pixel,0)^exp_M*M16*O16*fator_P*P16,"")</f>
        <v>0.015443386521360425</v>
      </c>
      <c r="Y16" s="13">
        <f>IF(Q16=1,c_restr*X16,"")</f>
        <v>0.002136773532531636</v>
      </c>
    </row>
    <row r="17">
      <c r="A17">
        <v>16</v>
      </c>
      <c r="B17">
        <v>10</v>
      </c>
      <c r="C17">
        <v>141</v>
      </c>
      <c r="D17" s="9">
        <f>X0_canto+(C17+0.5)*dx_pix</f>
        <v>322890.15352652717</v>
      </c>
      <c r="E17" s="9">
        <f>Y0_canto-(B17+0.5)*dy_pix</f>
        <v>7434743.3777278075</v>
      </c>
      <c r="F17" s="10">
        <f>(D17-x_DBT5)^2+(E17-y_DBT5)^2</f>
        <v>726289882.2678095</v>
      </c>
      <c r="G17" s="10">
        <f>(D17-x_CLP)^2+(E17-y_CLP)^2</f>
        <v>15247815.920584552</v>
      </c>
      <c r="H17" s="11">
        <f>(P_DBT5/F17+P_CLP/G17)/(1/F17+1/G17)</f>
        <v>78.66689067839205</v>
      </c>
      <c r="I17" s="11">
        <v>77</v>
      </c>
      <c r="J17" s="11">
        <f>4.2*I17/(10-0.058*I17)</f>
        <v>58.438742320202394</v>
      </c>
      <c r="K17" s="11">
        <f>25.4*(1000/J17-10)</f>
        <v>180.64316635745197</v>
      </c>
      <c r="L17" t="inlineStr">
        <is>
          <t>Cambissolos Háplicos</t>
        </is>
      </c>
      <c r="M17" s="11">
        <f>IFERROR(VLOOKUP(L17,Classes_K,2,FALSE),"")</f>
        <v>0.04749999940395355</v>
      </c>
      <c r="N17" t="inlineStr">
        <is>
          <t>Mata Nativa</t>
        </is>
      </c>
      <c r="O17" s="11">
        <f>IFERROR(VLOOKUP(N17,Classes_C,2,FALSE),"")</f>
        <v>0.014999999664723873</v>
      </c>
      <c r="P17" s="12">
        <v>0.324964702129364</v>
      </c>
      <c r="Q17">
        <f>IF(COUNT(M17,O17,P17)=3,1,0)</f>
        <v>1</v>
      </c>
      <c r="R17" s="12">
        <f>IF(H17&lt;=p_lambda*K17,0,(H17-p_lambda*K17)^2/(H17+(1-p_lambda)*K17))</f>
        <v>19.374447267456574</v>
      </c>
      <c r="S17" s="13">
        <f>R17/1000*A_pixel*RI_mmh/R_evento_mm/3600</f>
        <v>0.0007697933067953398</v>
      </c>
      <c r="T17" s="13">
        <f>IF(Q17=1,coef_W*MAX(R17*S17*A_pixel,0)^exp_M*M17*O17*fator_P*P17,"")</f>
        <v>0.011679319015628437</v>
      </c>
      <c r="U17" s="13">
        <f>IF(Q17=1,c_pura*T17,"")</f>
        <v>0.0012462505655053255</v>
      </c>
      <c r="V17" s="12">
        <f>IF(Q17=1,MIN(fator_f*R17,H17),"")</f>
        <v>23.732197909076373</v>
      </c>
      <c r="W17" s="13">
        <f>IF(Q17=1,V17/1000*A_pixel*RI_mmh/R_evento_mm/3600,"")</f>
        <v>0.0009429372024788423</v>
      </c>
      <c r="X17" s="13">
        <f>IF(Q17=1,coef_W*MAX(V17*W17*A_pixel,0)^exp_M*M17*O17*fator_P*P17,"")</f>
        <v>0.014658826275019335</v>
      </c>
      <c r="Y17" s="13">
        <f>IF(Q17=1,c_restr*X17,"")</f>
        <v>0.002028220426855015</v>
      </c>
    </row>
    <row r="18">
      <c r="A18">
        <v>17</v>
      </c>
      <c r="B18">
        <v>10</v>
      </c>
      <c r="C18">
        <v>142</v>
      </c>
      <c r="D18" s="9">
        <f>X0_canto+(C18+0.5)*dx_pix</f>
        <v>322920.14510197967</v>
      </c>
      <c r="E18" s="9">
        <f>Y0_canto-(B18+0.5)*dy_pix</f>
        <v>7434743.3777278075</v>
      </c>
      <c r="F18" s="10">
        <f>(D18-x_DBT5)^2+(E18-y_DBT5)^2</f>
        <v>724753371.8900054</v>
      </c>
      <c r="G18" s="10">
        <f>(D18-x_CLP)^2+(E18-y_CLP)^2</f>
        <v>15430331.412411168</v>
      </c>
      <c r="H18" s="11">
        <f>(P_DBT5/F18+P_CLP/G18)/(1/F18+1/G18)</f>
        <v>78.66228671076107</v>
      </c>
      <c r="I18" s="11">
        <v>77</v>
      </c>
      <c r="J18" s="11">
        <f>4.2*I18/(10-0.058*I18)</f>
        <v>58.438742320202394</v>
      </c>
      <c r="K18" s="11">
        <f>25.4*(1000/J18-10)</f>
        <v>180.64316635745197</v>
      </c>
      <c r="L18" t="inlineStr">
        <is>
          <t>Cambissolos Háplicos</t>
        </is>
      </c>
      <c r="M18" s="11">
        <f>IFERROR(VLOOKUP(L18,Classes_K,2,FALSE),"")</f>
        <v>0.04749999940395355</v>
      </c>
      <c r="N18" t="inlineStr">
        <is>
          <t>Mata Nativa</t>
        </is>
      </c>
      <c r="O18" s="11">
        <f>IFERROR(VLOOKUP(N18,Classes_C,2,FALSE),"")</f>
        <v>0.014999999664723873</v>
      </c>
      <c r="P18" s="12">
        <v>0.3220609724521637</v>
      </c>
      <c r="Q18">
        <f>IF(COUNT(M18,O18,P18)=3,1,0)</f>
        <v>1</v>
      </c>
      <c r="R18" s="12">
        <f>IF(H18&lt;=p_lambda*K18,0,(H18-p_lambda*K18)^2/(H18+(1-p_lambda)*K18))</f>
        <v>19.3722417921041</v>
      </c>
      <c r="S18" s="13">
        <f>R18/1000*A_pixel*RI_mmh/R_evento_mm/3600</f>
        <v>0.000769705677964375</v>
      </c>
      <c r="T18" s="13">
        <f>IF(Q18=1,coef_W*MAX(R18*S18*A_pixel,0)^exp_M*M18*O18*fator_P*P18,"")</f>
        <v>0.011573482456498042</v>
      </c>
      <c r="U18" s="13">
        <f>IF(Q18=1,c_pura*T18,"")</f>
        <v>0.001234957195447457</v>
      </c>
      <c r="V18" s="12">
        <f>IF(Q18=1,MIN(fator_f*R18,H18),"")</f>
        <v>23.729496372520206</v>
      </c>
      <c r="W18" s="13">
        <f>IF(Q18=1,V18/1000*A_pixel*RI_mmh/R_evento_mm/3600,"")</f>
        <v>0.0009428298639452422</v>
      </c>
      <c r="X18" s="13">
        <f>IF(Q18=1,coef_W*MAX(V18*W18*A_pixel,0)^exp_M*M18*O18*fator_P*P18,"")</f>
        <v>0.014525989785857401</v>
      </c>
      <c r="Y18" s="13">
        <f>IF(Q18=1,c_restr*X18,"")</f>
        <v>0.0020098409416428147</v>
      </c>
    </row>
    <row r="19">
      <c r="A19">
        <v>18</v>
      </c>
      <c r="B19">
        <v>10</v>
      </c>
      <c r="C19">
        <v>143</v>
      </c>
      <c r="D19" s="9">
        <f>X0_canto+(C19+0.5)*dx_pix</f>
        <v>322950.1366774321</v>
      </c>
      <c r="E19" s="9">
        <f>Y0_canto-(B19+0.5)*dy_pix</f>
        <v>7434743.3777278075</v>
      </c>
      <c r="F19" s="10">
        <f>(D19-x_DBT5)^2+(E19-y_DBT5)^2</f>
        <v>723218660.5014006</v>
      </c>
      <c r="G19" s="10">
        <f>(D19-x_CLP)^2+(E19-y_CLP)^2</f>
        <v>15614645.893433671</v>
      </c>
      <c r="H19" s="11">
        <f>(P_DBT5/F19+P_CLP/G19)/(1/F19+1/G19)</f>
        <v>78.65762809012135</v>
      </c>
      <c r="I19" s="11">
        <v>77</v>
      </c>
      <c r="J19" s="11">
        <f>4.2*I19/(10-0.058*I19)</f>
        <v>58.438742320202394</v>
      </c>
      <c r="K19" s="11">
        <f>25.4*(1000/J19-10)</f>
        <v>180.64316635745197</v>
      </c>
      <c r="L19" t="inlineStr">
        <is>
          <t>Cambissolos Háplicos</t>
        </is>
      </c>
      <c r="M19" s="11">
        <f>IFERROR(VLOOKUP(L19,Classes_K,2,FALSE),"")</f>
        <v>0.04749999940395355</v>
      </c>
      <c r="N19" t="inlineStr">
        <is>
          <t>Mata Nativa</t>
        </is>
      </c>
      <c r="O19" s="11">
        <f>IFERROR(VLOOKUP(N19,Classes_C,2,FALSE),"")</f>
        <v>0.014999999664723873</v>
      </c>
      <c r="P19" s="12">
        <v>0.3322959244251251</v>
      </c>
      <c r="Q19">
        <f>IF(COUNT(M19,O19,P19)=3,1,0)</f>
        <v>1</v>
      </c>
      <c r="R19" s="12">
        <f>IF(H19&lt;=p_lambda*K19,0,(H19-p_lambda*K19)^2/(H19+(1-p_lambda)*K19))</f>
        <v>19.370010225708107</v>
      </c>
      <c r="S19" s="13">
        <f>R19/1000*A_pixel*RI_mmh/R_evento_mm/3600</f>
        <v>0.0007696170124736083</v>
      </c>
      <c r="T19" s="13">
        <f>IF(Q19=1,coef_W*MAX(R19*S19*A_pixel,0)^exp_M*M19*O19*fator_P*P19,"")</f>
        <v>0.011939741870604393</v>
      </c>
      <c r="U19" s="13">
        <f>IF(Q19=1,c_pura*T19,"")</f>
        <v>0.0012740391831336311</v>
      </c>
      <c r="V19" s="12">
        <f>IF(Q19=1,MIN(fator_f*R19,H19),"")</f>
        <v>23.726762876455734</v>
      </c>
      <c r="W19" s="13">
        <f>IF(Q19=1,V19/1000*A_pixel*RI_mmh/R_evento_mm/3600,"")</f>
        <v>0.0009427212555836444</v>
      </c>
      <c r="X19" s="13">
        <f>IF(Q19=1,coef_W*MAX(V19*W19*A_pixel,0)^exp_M*M19*O19*fator_P*P19,"")</f>
        <v>0.014985685519469182</v>
      </c>
      <c r="Y19" s="13">
        <f>IF(Q19=1,c_restr*X19,"")</f>
        <v>0.0020734452343438197</v>
      </c>
    </row>
    <row r="20">
      <c r="A20">
        <v>19</v>
      </c>
      <c r="B20">
        <v>10</v>
      </c>
      <c r="C20">
        <v>144</v>
      </c>
      <c r="D20" s="9">
        <f>X0_canto+(C20+0.5)*dx_pix</f>
        <v>322980.1282528846</v>
      </c>
      <c r="E20" s="9">
        <f>Y0_canto-(B20+0.5)*dy_pix</f>
        <v>7434743.3777278075</v>
      </c>
      <c r="F20" s="10">
        <f>(D20-x_DBT5)^2+(E20-y_DBT5)^2</f>
        <v>721685748.1019889</v>
      </c>
      <c r="G20" s="10">
        <f>(D20-x_CLP)^2+(E20-y_CLP)^2</f>
        <v>15800759.363652777</v>
      </c>
      <c r="H20" s="11">
        <f>(P_DBT5/F20+P_CLP/G20)/(1/F20+1/G20)</f>
        <v>78.65291458443484</v>
      </c>
      <c r="I20" s="11">
        <v>77</v>
      </c>
      <c r="J20" s="11">
        <f>4.2*I20/(10-0.058*I20)</f>
        <v>58.438742320202394</v>
      </c>
      <c r="K20" s="11">
        <f>25.4*(1000/J20-10)</f>
        <v>180.64316635745197</v>
      </c>
      <c r="L20" t="inlineStr">
        <is>
          <t>Cambissolos Háplicos</t>
        </is>
      </c>
      <c r="M20" s="11">
        <f>IFERROR(VLOOKUP(L20,Classes_K,2,FALSE),"")</f>
        <v>0.04749999940395355</v>
      </c>
      <c r="N20" t="inlineStr">
        <is>
          <t>Campo</t>
        </is>
      </c>
      <c r="O20" s="11">
        <f>IFERROR(VLOOKUP(N20,Classes_C,2,FALSE),"")</f>
        <v>0.05000000074505806</v>
      </c>
      <c r="P20" s="12">
        <v>0.3211846947669983</v>
      </c>
      <c r="Q20">
        <f>IF(COUNT(M20,O20,P20)=3,1,0)</f>
        <v>1</v>
      </c>
      <c r="R20" s="12">
        <f>IF(H20&lt;=p_lambda*K20,0,(H20-p_lambda*K20)^2/(H20+(1-p_lambda)*K20))</f>
        <v>19.367752460309934</v>
      </c>
      <c r="S20" s="13">
        <f>R20/1000*A_pixel*RI_mmh/R_evento_mm/3600</f>
        <v>0.0007695273060335828</v>
      </c>
      <c r="T20" s="13">
        <f>IF(Q20=1,coef_W*MAX(R20*S20*A_pixel,0)^exp_M*M20*O20*fator_P*P20,"")</f>
        <v>0.03846332523642989</v>
      </c>
      <c r="U20" s="13">
        <f>IF(Q20=1,c_pura*T20,"")</f>
        <v>0.004104258198870402</v>
      </c>
      <c r="V20" s="12">
        <f>IF(Q20=1,MIN(fator_f*R20,H20),"")</f>
        <v>23.72399728864195</v>
      </c>
      <c r="W20" s="13">
        <f>IF(Q20=1,V20/1000*A_pixel*RI_mmh/R_evento_mm/3600,"")</f>
        <v>0.0009426113721397963</v>
      </c>
      <c r="X20" s="13">
        <f>IF(Q20=1,coef_W*MAX(V20*W20*A_pixel,0)^exp_M*M20*O20*fator_P*P20,"")</f>
        <v>0.04827569157464739</v>
      </c>
      <c r="Y20" s="13">
        <f>IF(Q20=1,c_restr*X20,"")</f>
        <v>0.006679507754253895</v>
      </c>
    </row>
    <row r="21">
      <c r="A21">
        <v>20</v>
      </c>
      <c r="B21">
        <v>10</v>
      </c>
      <c r="C21">
        <v>156</v>
      </c>
      <c r="D21" s="9">
        <f>X0_canto+(C21+0.5)*dx_pix</f>
        <v>323340.0271583145</v>
      </c>
      <c r="E21" s="9">
        <f>Y0_canto-(B21+0.5)*dy_pix</f>
        <v>7434743.3777278075</v>
      </c>
      <c r="F21" s="10">
        <f>(D21-x_DBT5)^2+(E21-y_DBT5)^2</f>
        <v>703431120.4663628</v>
      </c>
      <c r="G21" s="10">
        <f>(D21-x_CLP)^2+(E21-y_CLP)^2</f>
        <v>18174442.163588416</v>
      </c>
      <c r="H21" s="11">
        <f>(P_DBT5/F21+P_CLP/G21)/(1/F21+1/G21)</f>
        <v>78.59198692899274</v>
      </c>
      <c r="I21" s="11">
        <v>77</v>
      </c>
      <c r="J21" s="11">
        <f>4.2*I21/(10-0.058*I21)</f>
        <v>58.438742320202394</v>
      </c>
      <c r="K21" s="11">
        <f>25.4*(1000/J21-10)</f>
        <v>180.64316635745197</v>
      </c>
      <c r="L21" t="inlineStr">
        <is>
          <t>Área Urbana</t>
        </is>
      </c>
      <c r="M21" s="11">
        <f>IFERROR(VLOOKUP(L21,Classes_K,2,FALSE),"")</f>
        <v>0.0</v>
      </c>
      <c r="N21" t="inlineStr">
        <is>
          <t>Área Urbanizada</t>
        </is>
      </c>
      <c r="O21" s="11">
        <f>IFERROR(VLOOKUP(N21,Classes_C,2,FALSE),"")</f>
        <v>0.0</v>
      </c>
      <c r="P21" s="12">
        <v>0.3610219359397888</v>
      </c>
      <c r="Q21">
        <f>IF(COUNT(M21,O21,P21)=3,1,0)</f>
        <v>1</v>
      </c>
      <c r="R21" s="12">
        <f>IF(H21&lt;=p_lambda*K21,0,(H21-p_lambda*K21)^2/(H21+(1-p_lambda)*K21))</f>
        <v>19.338576490725774</v>
      </c>
      <c r="S21" s="13">
        <f>R21/1000*A_pixel*RI_mmh/R_evento_mm/3600</f>
        <v>0.0007683680747122909</v>
      </c>
      <c r="T21" s="13">
        <f>IF(Q21=1,coef_W*MAX(R21*S21*A_pixel,0)^exp_M*M21*O21*fator_P*P21,"")</f>
        <v>0.0</v>
      </c>
      <c r="U21" s="13">
        <f>IF(Q21=1,c_pura*T21,"")</f>
        <v>0.0</v>
      </c>
      <c r="V21" s="12">
        <f>IF(Q21=1,MIN(fator_f*R21,H21),"")</f>
        <v>23.688258984740834</v>
      </c>
      <c r="W21" s="13">
        <f>IF(Q21=1,V21/1000*A_pixel*RI_mmh/R_evento_mm/3600,"")</f>
        <v>0.0009411914035203295</v>
      </c>
      <c r="X21" s="13">
        <f>IF(Q21=1,coef_W*MAX(V21*W21*A_pixel,0)^exp_M*M21*O21*fator_P*P21,"")</f>
        <v>0.0</v>
      </c>
      <c r="Y21" s="13">
        <f>IF(Q21=1,c_restr*X21,"")</f>
        <v>0.0</v>
      </c>
    </row>
    <row r="22">
      <c r="A22">
        <v>21</v>
      </c>
      <c r="B22">
        <v>10</v>
      </c>
      <c r="C22">
        <v>157</v>
      </c>
      <c r="D22" s="9">
        <f>X0_canto+(C22+0.5)*dx_pix</f>
        <v>323370.018733767</v>
      </c>
      <c r="E22" s="9">
        <f>Y0_canto-(B22+0.5)*dy_pix</f>
        <v>7434743.3777278075</v>
      </c>
      <c r="F22" s="10">
        <f>(D22-x_DBT5)^2+(E22-y_DBT5)^2</f>
        <v>701921594.9265025</v>
      </c>
      <c r="G22" s="10">
        <f>(D22-x_CLP)^2+(E22-y_CLP)^2</f>
        <v>18383942.49335871</v>
      </c>
      <c r="H22" s="11">
        <f>(P_DBT5/F22+P_CLP/G22)/(1/F22+1/G22)</f>
        <v>78.5865387756643</v>
      </c>
      <c r="I22" s="11">
        <v>77</v>
      </c>
      <c r="J22" s="11">
        <f>4.2*I22/(10-0.058*I22)</f>
        <v>58.438742320202394</v>
      </c>
      <c r="K22" s="11">
        <f>25.4*(1000/J22-10)</f>
        <v>180.64316635745197</v>
      </c>
      <c r="L22" t="inlineStr">
        <is>
          <t>Área Urbana</t>
        </is>
      </c>
      <c r="M22" s="11">
        <f>IFERROR(VLOOKUP(L22,Classes_K,2,FALSE),"")</f>
        <v>0.0</v>
      </c>
      <c r="N22" t="inlineStr">
        <is>
          <t>Área Urbanizada</t>
        </is>
      </c>
      <c r="O22" s="11">
        <f>IFERROR(VLOOKUP(N22,Classes_C,2,FALSE),"")</f>
        <v>0.0</v>
      </c>
      <c r="P22" s="12">
        <v>0.2845085263252258</v>
      </c>
      <c r="Q22">
        <f>IF(COUNT(M22,O22,P22)=3,1,0)</f>
        <v>1</v>
      </c>
      <c r="R22" s="12">
        <f>IF(H22&lt;=p_lambda*K22,0,(H22-p_lambda*K22)^2/(H22+(1-p_lambda)*K22))</f>
        <v>19.33596832761785</v>
      </c>
      <c r="S22" s="13">
        <f>R22/1000*A_pixel*RI_mmh/R_evento_mm/3600</f>
        <v>0.0007682644461299734</v>
      </c>
      <c r="T22" s="13">
        <f>IF(Q22=1,coef_W*MAX(R22*S22*A_pixel,0)^exp_M*M22*O22*fator_P*P22,"")</f>
        <v>0.0</v>
      </c>
      <c r="U22" s="13">
        <f>IF(Q22=1,c_pura*T22,"")</f>
        <v>0.0</v>
      </c>
      <c r="V22" s="12">
        <f>IF(Q22=1,MIN(fator_f*R22,H22),"")</f>
        <v>23.685064186860824</v>
      </c>
      <c r="W22" s="13">
        <f>IF(Q22=1,V22/1000*A_pixel*RI_mmh/R_evento_mm/3600,"")</f>
        <v>0.0009410644665300431</v>
      </c>
      <c r="X22" s="13">
        <f>IF(Q22=1,coef_W*MAX(V22*W22*A_pixel,0)^exp_M*M22*O22*fator_P*P22,"")</f>
        <v>0.0</v>
      </c>
      <c r="Y22" s="13">
        <f>IF(Q22=1,c_restr*X22,"")</f>
        <v>0.0</v>
      </c>
    </row>
    <row r="23">
      <c r="A23">
        <v>22</v>
      </c>
      <c r="B23">
        <v>11</v>
      </c>
      <c r="C23">
        <v>125</v>
      </c>
      <c r="D23" s="9">
        <f>X0_canto+(C23+0.5)*dx_pix</f>
        <v>322410.28831928736</v>
      </c>
      <c r="E23" s="9">
        <f>Y0_canto-(B23+0.5)*dy_pix</f>
        <v>7434713.452997123</v>
      </c>
      <c r="F23" s="10">
        <f>(D23-x_DBT5)^2+(E23-y_DBT5)^2</f>
        <v>750621173.7321659</v>
      </c>
      <c r="G23" s="10">
        <f>(D23-x_CLP)^2+(E23-y_CLP)^2</f>
        <v>12425547.169107292</v>
      </c>
      <c r="H23" s="11">
        <f>(P_DBT5/F23+P_CLP/G23)/(1/F23+1/G23)</f>
        <v>78.73619921283091</v>
      </c>
      <c r="I23" s="11">
        <v>77</v>
      </c>
      <c r="J23" s="11">
        <f>4.2*I23/(10-0.058*I23)</f>
        <v>58.438742320202394</v>
      </c>
      <c r="K23" s="11">
        <f>25.4*(1000/J23-10)</f>
        <v>180.64316635745197</v>
      </c>
      <c r="L23" t="inlineStr">
        <is>
          <t>Área Urbana</t>
        </is>
      </c>
      <c r="M23" s="11">
        <f>IFERROR(VLOOKUP(L23,Classes_K,2,FALSE),"")</f>
        <v>0.0</v>
      </c>
      <c r="N23" t="inlineStr">
        <is>
          <t>Área Urbanizada</t>
        </is>
      </c>
      <c r="O23" s="11">
        <f>IFERROR(VLOOKUP(N23,Classes_C,2,FALSE),"")</f>
        <v>0.0</v>
      </c>
      <c r="P23" s="12">
        <v>0.2699033617973328</v>
      </c>
      <c r="Q23">
        <f>IF(COUNT(M23,O23,P23)=3,1,0)</f>
        <v>1</v>
      </c>
      <c r="R23" s="12">
        <f>IF(H23&lt;=p_lambda*K23,0,(H23-p_lambda*K23)^2/(H23+(1-p_lambda)*K23))</f>
        <v>19.4076593480323</v>
      </c>
      <c r="S23" s="13">
        <f>R23/1000*A_pixel*RI_mmh/R_evento_mm/3600</f>
        <v>0.0007711129024967814</v>
      </c>
      <c r="T23" s="13">
        <f>IF(Q23=1,coef_W*MAX(R23*S23*A_pixel,0)^exp_M*M23*O23*fator_P*P23,"")</f>
        <v>0.0</v>
      </c>
      <c r="U23" s="13">
        <f>IF(Q23=1,c_pura*T23,"")</f>
        <v>0.0</v>
      </c>
      <c r="V23" s="12">
        <f>IF(Q23=1,MIN(fator_f*R23,H23),"")</f>
        <v>23.772880136461474</v>
      </c>
      <c r="W23" s="13">
        <f>IF(Q23=1,V23/1000*A_pixel*RI_mmh/R_evento_mm/3600,"")</f>
        <v>0.0009445536050483844</v>
      </c>
      <c r="X23" s="13">
        <f>IF(Q23=1,coef_W*MAX(V23*W23*A_pixel,0)^exp_M*M23*O23*fator_P*P23,"")</f>
        <v>0.0</v>
      </c>
      <c r="Y23" s="13">
        <f>IF(Q23=1,c_restr*X23,"")</f>
        <v>0.0</v>
      </c>
    </row>
    <row r="24">
      <c r="A24">
        <v>23</v>
      </c>
      <c r="B24">
        <v>11</v>
      </c>
      <c r="C24">
        <v>126</v>
      </c>
      <c r="D24" s="9">
        <f>X0_canto+(C24+0.5)*dx_pix</f>
        <v>322440.2798947398</v>
      </c>
      <c r="E24" s="9">
        <f>Y0_canto-(B24+0.5)*dy_pix</f>
        <v>7434713.452997123</v>
      </c>
      <c r="F24" s="10">
        <f>(D24-x_DBT5)^2+(E24-y_DBT5)^2</f>
        <v>749055879.5272249</v>
      </c>
      <c r="G24" s="10">
        <f>(D24-x_CLP)^2+(E24-y_CLP)^2</f>
        <v>12579278.833793685</v>
      </c>
      <c r="H24" s="11">
        <f>(P_DBT5/F24+P_CLP/G24)/(1/F24+1/G24)</f>
        <v>78.73244042239806</v>
      </c>
      <c r="I24" s="11">
        <v>77</v>
      </c>
      <c r="J24" s="11">
        <f>4.2*I24/(10-0.058*I24)</f>
        <v>58.438742320202394</v>
      </c>
      <c r="K24" s="11">
        <f>25.4*(1000/J24-10)</f>
        <v>180.64316635745197</v>
      </c>
      <c r="L24" t="inlineStr">
        <is>
          <t>Área Urbana</t>
        </is>
      </c>
      <c r="M24" s="11">
        <f>IFERROR(VLOOKUP(L24,Classes_K,2,FALSE),"")</f>
        <v>0.0</v>
      </c>
      <c r="N24" t="inlineStr">
        <is>
          <t>Área Urbanizada</t>
        </is>
      </c>
      <c r="O24" s="11">
        <f>IFERROR(VLOOKUP(N24,Classes_C,2,FALSE),"")</f>
        <v>0.0</v>
      </c>
      <c r="P24" s="12">
        <v>0.35914346575737</v>
      </c>
      <c r="Q24">
        <f>IF(COUNT(M24,O24,P24)=3,1,0)</f>
        <v>1</v>
      </c>
      <c r="R24" s="12">
        <f>IF(H24&lt;=p_lambda*K24,0,(H24-p_lambda*K24)^2/(H24+(1-p_lambda)*K24))</f>
        <v>19.40585765394333</v>
      </c>
      <c r="S24" s="13">
        <f>R24/1000*A_pixel*RI_mmh/R_evento_mm/3600</f>
        <v>0.0007710413168648696</v>
      </c>
      <c r="T24" s="13">
        <f>IF(Q24=1,coef_W*MAX(R24*S24*A_pixel,0)^exp_M*M24*O24*fator_P*P24,"")</f>
        <v>0.0</v>
      </c>
      <c r="U24" s="13">
        <f>IF(Q24=1,c_pura*T24,"")</f>
        <v>0.0</v>
      </c>
      <c r="V24" s="12">
        <f>IF(Q24=1,MIN(fator_f*R24,H24),"")</f>
        <v>23.77067320069186</v>
      </c>
      <c r="W24" s="13">
        <f>IF(Q24=1,V24/1000*A_pixel*RI_mmh/R_evento_mm/3600,"")</f>
        <v>0.0009444659181915404</v>
      </c>
      <c r="X24" s="13">
        <f>IF(Q24=1,coef_W*MAX(V24*W24*A_pixel,0)^exp_M*M24*O24*fator_P*P24,"")</f>
        <v>0.0</v>
      </c>
      <c r="Y24" s="13">
        <f>IF(Q24=1,c_restr*X24,"")</f>
        <v>0.0</v>
      </c>
    </row>
    <row r="25">
      <c r="A25">
        <v>24</v>
      </c>
      <c r="B25">
        <v>11</v>
      </c>
      <c r="C25">
        <v>127</v>
      </c>
      <c r="D25" s="9">
        <f>X0_canto+(C25+0.5)*dx_pix</f>
        <v>322470.2714701923</v>
      </c>
      <c r="E25" s="9">
        <f>Y0_canto-(B25+0.5)*dy_pix</f>
        <v>7434713.452997123</v>
      </c>
      <c r="F25" s="10">
        <f>(D25-x_DBT5)^2+(E25-y_DBT5)^2</f>
        <v>747492384.3114772</v>
      </c>
      <c r="G25" s="10">
        <f>(D25-x_CLP)^2+(E25-y_CLP)^2</f>
        <v>12734809.48767662</v>
      </c>
      <c r="H25" s="11">
        <f>(P_DBT5/F25+P_CLP/G25)/(1/F25+1/G25)</f>
        <v>78.72863062227465</v>
      </c>
      <c r="I25" s="11">
        <v>77</v>
      </c>
      <c r="J25" s="11">
        <f>4.2*I25/(10-0.058*I25)</f>
        <v>58.438742320202394</v>
      </c>
      <c r="K25" s="11">
        <f>25.4*(1000/J25-10)</f>
        <v>180.64316635745197</v>
      </c>
      <c r="L25" t="inlineStr">
        <is>
          <t>Área Urbana</t>
        </is>
      </c>
      <c r="M25" s="11">
        <f>IFERROR(VLOOKUP(L25,Classes_K,2,FALSE),"")</f>
        <v>0.0</v>
      </c>
      <c r="N25" t="inlineStr">
        <is>
          <t>Área Urbanizada</t>
        </is>
      </c>
      <c r="O25" s="11">
        <f>IFERROR(VLOOKUP(N25,Classes_C,2,FALSE),"")</f>
        <v>0.0</v>
      </c>
      <c r="P25" s="12">
        <v>0.3272358179092407</v>
      </c>
      <c r="Q25">
        <f>IF(COUNT(M25,O25,P25)=3,1,0)</f>
        <v>1</v>
      </c>
      <c r="R25" s="12">
        <f>IF(H25&lt;=p_lambda*K25,0,(H25-p_lambda*K25)^2/(H25+(1-p_lambda)*K25))</f>
        <v>19.404031569445852</v>
      </c>
      <c r="S25" s="13">
        <f>R25/1000*A_pixel*RI_mmh/R_evento_mm/3600</f>
        <v>0.0007709687621434681</v>
      </c>
      <c r="T25" s="13">
        <f>IF(Q25=1,coef_W*MAX(R25*S25*A_pixel,0)^exp_M*M25*O25*fator_P*P25,"")</f>
        <v>0.0</v>
      </c>
      <c r="U25" s="13">
        <f>IF(Q25=1,c_pura*T25,"")</f>
        <v>0.0</v>
      </c>
      <c r="V25" s="12">
        <f>IF(Q25=1,MIN(fator_f*R25,H25),"")</f>
        <v>23.768436388560158</v>
      </c>
      <c r="W25" s="13">
        <f>IF(Q25=1,V25/1000*A_pixel*RI_mmh/R_evento_mm/3600,"")</f>
        <v>0.000944377044275099</v>
      </c>
      <c r="X25" s="13">
        <f>IF(Q25=1,coef_W*MAX(V25*W25*A_pixel,0)^exp_M*M25*O25*fator_P*P25,"")</f>
        <v>0.0</v>
      </c>
      <c r="Y25" s="13">
        <f>IF(Q25=1,c_restr*X25,"")</f>
        <v>0.0</v>
      </c>
    </row>
    <row r="26">
      <c r="A26">
        <v>25</v>
      </c>
      <c r="B26">
        <v>11</v>
      </c>
      <c r="C26">
        <v>128</v>
      </c>
      <c r="D26" s="9">
        <f>X0_canto+(C26+0.5)*dx_pix</f>
        <v>322500.2630456448</v>
      </c>
      <c r="E26" s="9">
        <f>Y0_canto-(B26+0.5)*dy_pix</f>
        <v>7434713.452997123</v>
      </c>
      <c r="F26" s="10">
        <f>(D26-x_DBT5)^2+(E26-y_DBT5)^2</f>
        <v>745930688.0849257</v>
      </c>
      <c r="G26" s="10">
        <f>(D26-x_CLP)^2+(E26-y_CLP)^2</f>
        <v>12892139.130755803</v>
      </c>
      <c r="H26" s="11">
        <f>(P_DBT5/F26+P_CLP/G26)/(1/F26+1/G26)</f>
        <v>78.72476958271434</v>
      </c>
      <c r="I26" s="11">
        <v>81</v>
      </c>
      <c r="J26" s="11">
        <f>4.2*I26/(10-0.058*I26)</f>
        <v>64.16446623915503</v>
      </c>
      <c r="K26" s="11">
        <f>25.4*(1000/J26-10)</f>
        <v>141.85773074661967</v>
      </c>
      <c r="L26" t="inlineStr">
        <is>
          <t>Área Urbana</t>
        </is>
      </c>
      <c r="M26" s="11">
        <f>IFERROR(VLOOKUP(L26,Classes_K,2,FALSE),"")</f>
        <v>0.0</v>
      </c>
      <c r="N26" t="inlineStr">
        <is>
          <t>Área Urbanizada</t>
        </is>
      </c>
      <c r="O26" s="11">
        <f>IFERROR(VLOOKUP(N26,Classes_C,2,FALSE),"")</f>
        <v>0.0</v>
      </c>
      <c r="P26" s="12">
        <v>0.2539410293102264</v>
      </c>
      <c r="Q26">
        <f>IF(COUNT(M26,O26,P26)=3,1,0)</f>
        <v>1</v>
      </c>
      <c r="R26" s="12">
        <f>IF(H26&lt;=p_lambda*K26,0,(H26-p_lambda*K26)^2/(H26+(1-p_lambda)*K26))</f>
        <v>24.034549397923378</v>
      </c>
      <c r="S26" s="13">
        <f>R26/1000*A_pixel*RI_mmh/R_evento_mm/3600</f>
        <v>0.0009549503530581096</v>
      </c>
      <c r="T26" s="13">
        <f>IF(Q26=1,coef_W*MAX(R26*S26*A_pixel,0)^exp_M*M26*O26*fator_P*P26,"")</f>
        <v>0.0</v>
      </c>
      <c r="U26" s="13">
        <f>IF(Q26=1,c_pura*T26,"")</f>
        <v>0.0</v>
      </c>
      <c r="V26" s="12">
        <f>IF(Q26=1,MIN(fator_f*R26,H26),"")</f>
        <v>29.44046222805455</v>
      </c>
      <c r="W26" s="13">
        <f>IF(Q26=1,V26/1000*A_pixel*RI_mmh/R_evento_mm/3600,"")</f>
        <v>0.00116974024906428</v>
      </c>
      <c r="X26" s="13">
        <f>IF(Q26=1,coef_W*MAX(V26*W26*A_pixel,0)^exp_M*M26*O26*fator_P*P26,"")</f>
        <v>0.0</v>
      </c>
      <c r="Y26" s="13">
        <f>IF(Q26=1,c_restr*X26,"")</f>
        <v>0.0</v>
      </c>
    </row>
    <row r="27">
      <c r="A27">
        <v>26</v>
      </c>
      <c r="B27">
        <v>11</v>
      </c>
      <c r="C27">
        <v>134</v>
      </c>
      <c r="D27" s="9">
        <f>X0_canto+(C27+0.5)*dx_pix</f>
        <v>322680.21249835973</v>
      </c>
      <c r="E27" s="9">
        <f>Y0_canto-(B27+0.5)*dy_pix</f>
        <v>7434713.452997123</v>
      </c>
      <c r="F27" s="10">
        <f>(D27-x_DBT5)^2+(E27-y_DBT5)^2</f>
        <v>736598289.4987407</v>
      </c>
      <c r="G27" s="10">
        <f>(D27-x_CLP)^2+(E27-y_CLP)^2</f>
        <v>13873895.762351729</v>
      </c>
      <c r="H27" s="11">
        <f>(P_DBT5/F27+P_CLP/G27)/(1/F27+1/G27)</f>
        <v>78.70051442152565</v>
      </c>
      <c r="I27" s="11">
        <v>81</v>
      </c>
      <c r="J27" s="11">
        <f>4.2*I27/(10-0.058*I27)</f>
        <v>64.16446623915503</v>
      </c>
      <c r="K27" s="11">
        <f>25.4*(1000/J27-10)</f>
        <v>141.85773074661967</v>
      </c>
      <c r="L27" t="inlineStr">
        <is>
          <t>Área Urbana</t>
        </is>
      </c>
      <c r="M27" s="11">
        <f>IFERROR(VLOOKUP(L27,Classes_K,2,FALSE),"")</f>
        <v>0.0</v>
      </c>
      <c r="N27" t="inlineStr">
        <is>
          <t>Campo</t>
        </is>
      </c>
      <c r="O27" s="11">
        <f>IFERROR(VLOOKUP(N27,Classes_C,2,FALSE),"")</f>
        <v>0.05000000074505806</v>
      </c>
      <c r="Q27">
        <f>IF(COUNT(M27,O27,P27)=3,1,0)</f>
        <v>0</v>
      </c>
      <c r="R27" s="12">
        <f>IF(H27&lt;=p_lambda*K27,0,(H27-p_lambda*K27)^2/(H27+(1-p_lambda)*K27))</f>
        <v>24.021004644924638</v>
      </c>
      <c r="S27" s="13">
        <f>R27/1000*A_pixel*RI_mmh/R_evento_mm/3600</f>
        <v>0.0009544121875013485</v>
      </c>
      <c r="T27" s="13">
        <f>IF(Q27=1,coef_W*MAX(R27*S27*A_pixel,0)^exp_M*M27*O27*fator_P*P27,"")</f>
        <v/>
      </c>
      <c r="U27" s="13">
        <f>IF(Q27=1,c_pura*T27,"")</f>
        <v/>
      </c>
      <c r="V27" s="12">
        <f>IF(Q27=1,MIN(fator_f*R27,H27),"")</f>
        <v/>
      </c>
      <c r="W27" s="13">
        <f>IF(Q27=1,V27/1000*A_pixel*RI_mmh/R_evento_mm/3600,"")</f>
        <v/>
      </c>
      <c r="X27" s="13">
        <f>IF(Q27=1,coef_W*MAX(V27*W27*A_pixel,0)^exp_M*M27*O27*fator_P*P27,"")</f>
        <v/>
      </c>
      <c r="Y27" s="13">
        <f>IF(Q27=1,c_restr*X27,"")</f>
        <v/>
      </c>
    </row>
    <row r="28">
      <c r="A28">
        <v>27</v>
      </c>
      <c r="B28">
        <v>11</v>
      </c>
      <c r="C28">
        <v>135</v>
      </c>
      <c r="D28" s="9">
        <f>X0_canto+(C28+0.5)*dx_pix</f>
        <v>322710.20407381223</v>
      </c>
      <c r="E28" s="9">
        <f>Y0_canto-(B28+0.5)*dy_pix</f>
        <v>7434713.452997123</v>
      </c>
      <c r="F28" s="10">
        <f>(D28-x_DBT5)^2+(E28-y_DBT5)^2</f>
        <v>735049186.1965629</v>
      </c>
      <c r="G28" s="10">
        <f>(D28-x_CLP)^2+(E28-y_CLP)^2</f>
        <v>14043818.32980463</v>
      </c>
      <c r="H28" s="11">
        <f>(P_DBT5/F28+P_CLP/G28)/(1/F28+1/G28)</f>
        <v>78.69628825347681</v>
      </c>
      <c r="I28" s="11">
        <v>77</v>
      </c>
      <c r="J28" s="11">
        <f>4.2*I28/(10-0.058*I28)</f>
        <v>58.438742320202394</v>
      </c>
      <c r="K28" s="11">
        <f>25.4*(1000/J28-10)</f>
        <v>180.64316635745197</v>
      </c>
      <c r="L28" t="inlineStr">
        <is>
          <t>Área Urbana</t>
        </is>
      </c>
      <c r="M28" s="11">
        <f>IFERROR(VLOOKUP(L28,Classes_K,2,FALSE),"")</f>
        <v>0.0</v>
      </c>
      <c r="N28" t="inlineStr">
        <is>
          <t>Campo</t>
        </is>
      </c>
      <c r="O28" s="11">
        <f>IFERROR(VLOOKUP(N28,Classes_C,2,FALSE),"")</f>
        <v>0.05000000074505806</v>
      </c>
      <c r="P28" s="12">
        <v>0.3202016949653625</v>
      </c>
      <c r="Q28">
        <f>IF(COUNT(M28,O28,P28)=3,1,0)</f>
        <v>1</v>
      </c>
      <c r="R28" s="12">
        <f>IF(H28&lt;=p_lambda*K28,0,(H28-p_lambda*K28)^2/(H28+(1-p_lambda)*K28))</f>
        <v>19.388531902812844</v>
      </c>
      <c r="S28" s="13">
        <f>R28/1000*A_pixel*RI_mmh/R_evento_mm/3600</f>
        <v>0.0007703529231743899</v>
      </c>
      <c r="T28" s="13">
        <f>IF(Q28=1,coef_W*MAX(R28*S28*A_pixel,0)^exp_M*M28*O28*fator_P*P28,"")</f>
        <v>0.0</v>
      </c>
      <c r="U28" s="13">
        <f>IF(Q28=1,c_pura*T28,"")</f>
        <v>0.0</v>
      </c>
      <c r="V28" s="12">
        <f>IF(Q28=1,MIN(fator_f*R28,H28),"")</f>
        <v>23.749450496937996</v>
      </c>
      <c r="W28" s="13">
        <f>IF(Q28=1,V28/1000*A_pixel*RI_mmh/R_evento_mm/3600,"")</f>
        <v>0.0009436226892169897</v>
      </c>
      <c r="X28" s="13">
        <f>IF(Q28=1,coef_W*MAX(V28*W28*A_pixel,0)^exp_M*M28*O28*fator_P*P28,"")</f>
        <v>0.0</v>
      </c>
      <c r="Y28" s="13">
        <f>IF(Q28=1,c_restr*X28,"")</f>
        <v>0.0</v>
      </c>
    </row>
    <row r="29">
      <c r="A29">
        <v>28</v>
      </c>
      <c r="B29">
        <v>11</v>
      </c>
      <c r="C29">
        <v>136</v>
      </c>
      <c r="D29" s="9">
        <f>X0_canto+(C29+0.5)*dx_pix</f>
        <v>322740.19564926473</v>
      </c>
      <c r="E29" s="9">
        <f>Y0_canto-(B29+0.5)*dy_pix</f>
        <v>7434713.452997123</v>
      </c>
      <c r="F29" s="10">
        <f>(D29-x_DBT5)^2+(E29-y_DBT5)^2</f>
        <v>733501881.8835814</v>
      </c>
      <c r="G29" s="10">
        <f>(D29-x_CLP)^2+(E29-y_CLP)^2</f>
        <v>14215539.886453774</v>
      </c>
      <c r="H29" s="11">
        <f>(P_DBT5/F29+P_CLP/G29)/(1/F29+1/G29)</f>
        <v>78.69200899991735</v>
      </c>
      <c r="I29" s="11">
        <v>77</v>
      </c>
      <c r="J29" s="11">
        <f>4.2*I29/(10-0.058*I29)</f>
        <v>58.438742320202394</v>
      </c>
      <c r="K29" s="11">
        <f>25.4*(1000/J29-10)</f>
        <v>180.64316635745197</v>
      </c>
      <c r="L29" t="inlineStr">
        <is>
          <t>Área Urbana</t>
        </is>
      </c>
      <c r="M29" s="11">
        <f>IFERROR(VLOOKUP(L29,Classes_K,2,FALSE),"")</f>
        <v>0.0</v>
      </c>
      <c r="N29" t="inlineStr">
        <is>
          <t>Campo</t>
        </is>
      </c>
      <c r="O29" s="11">
        <f>IFERROR(VLOOKUP(N29,Classes_C,2,FALSE),"")</f>
        <v>0.05000000074505806</v>
      </c>
      <c r="P29" s="12">
        <v>0.3557600378990173</v>
      </c>
      <c r="Q29">
        <f>IF(COUNT(M29,O29,P29)=3,1,0)</f>
        <v>1</v>
      </c>
      <c r="R29" s="12">
        <f>IF(H29&lt;=p_lambda*K29,0,(H29-p_lambda*K29)^2/(H29+(1-p_lambda)*K29))</f>
        <v>19.386481451316538</v>
      </c>
      <c r="S29" s="13">
        <f>R29/1000*A_pixel*RI_mmh/R_evento_mm/3600</f>
        <v>0.0007702714538134332</v>
      </c>
      <c r="T29" s="13">
        <f>IF(Q29=1,coef_W*MAX(R29*S29*A_pixel,0)^exp_M*M29*O29*fator_P*P29,"")</f>
        <v>0.0</v>
      </c>
      <c r="U29" s="13">
        <f>IF(Q29=1,c_pura*T29,"")</f>
        <v>0.0</v>
      </c>
      <c r="V29" s="12">
        <f>IF(Q29=1,MIN(fator_f*R29,H29),"")</f>
        <v>23.7469388526035</v>
      </c>
      <c r="W29" s="13">
        <f>IF(Q29=1,V29/1000*A_pixel*RI_mmh/R_evento_mm/3600,"")</f>
        <v>0.0009435228955572763</v>
      </c>
      <c r="X29" s="13">
        <f>IF(Q29=1,coef_W*MAX(V29*W29*A_pixel,0)^exp_M*M29*O29*fator_P*P29,"")</f>
        <v>0.0</v>
      </c>
      <c r="Y29" s="13">
        <f>IF(Q29=1,c_restr*X29,"")</f>
        <v>0.0</v>
      </c>
    </row>
    <row r="30">
      <c r="A30">
        <v>29</v>
      </c>
      <c r="B30">
        <v>11</v>
      </c>
      <c r="C30">
        <v>137</v>
      </c>
      <c r="D30" s="9">
        <f>X0_canto+(C30+0.5)*dx_pix</f>
        <v>322770.18722471717</v>
      </c>
      <c r="E30" s="9">
        <f>Y0_canto-(B30+0.5)*dy_pix</f>
        <v>7434713.452997123</v>
      </c>
      <c r="F30" s="10">
        <f>(D30-x_DBT5)^2+(E30-y_DBT5)^2</f>
        <v>731956376.5597991</v>
      </c>
      <c r="G30" s="10">
        <f>(D30-x_CLP)^2+(E30-y_CLP)^2</f>
        <v>14389060.432298828</v>
      </c>
      <c r="H30" s="11">
        <f>(P_DBT5/F30+P_CLP/G30)/(1/F30+1/G30)</f>
        <v>78.68767642921118</v>
      </c>
      <c r="I30" s="11">
        <v>77</v>
      </c>
      <c r="J30" s="11">
        <f>4.2*I30/(10-0.058*I30)</f>
        <v>58.438742320202394</v>
      </c>
      <c r="K30" s="11">
        <f>25.4*(1000/J30-10)</f>
        <v>180.64316635745197</v>
      </c>
      <c r="L30" t="inlineStr">
        <is>
          <t>Área Urbana</t>
        </is>
      </c>
      <c r="M30" s="11">
        <f>IFERROR(VLOOKUP(L30,Classes_K,2,FALSE),"")</f>
        <v>0.0</v>
      </c>
      <c r="N30" t="inlineStr">
        <is>
          <t>Campo</t>
        </is>
      </c>
      <c r="O30" s="11">
        <f>IFERROR(VLOOKUP(N30,Classes_C,2,FALSE),"")</f>
        <v>0.05000000074505806</v>
      </c>
      <c r="P30" s="12">
        <v>0.4119267165660858</v>
      </c>
      <c r="Q30">
        <f>IF(COUNT(M30,O30,P30)=3,1,0)</f>
        <v>1</v>
      </c>
      <c r="R30" s="12">
        <f>IF(H30&lt;=p_lambda*K30,0,(H30-p_lambda*K30)^2/(H30+(1-p_lambda)*K30))</f>
        <v>19.384405529961917</v>
      </c>
      <c r="S30" s="13">
        <f>R30/1000*A_pixel*RI_mmh/R_evento_mm/3600</f>
        <v>0.0007701889724738546</v>
      </c>
      <c r="T30" s="13">
        <f>IF(Q30=1,coef_W*MAX(R30*S30*A_pixel,0)^exp_M*M30*O30*fator_P*P30,"")</f>
        <v>0.0</v>
      </c>
      <c r="U30" s="13">
        <f>IF(Q30=1,c_pura*T30,"")</f>
        <v>0.0</v>
      </c>
      <c r="V30" s="12">
        <f>IF(Q30=1,MIN(fator_f*R30,H30),"")</f>
        <v>23.744396009664477</v>
      </c>
      <c r="W30" s="13">
        <f>IF(Q30=1,V30/1000*A_pixel*RI_mmh/R_evento_mm/3600,"")</f>
        <v>0.0009434218623020988</v>
      </c>
      <c r="X30" s="13">
        <f>IF(Q30=1,coef_W*MAX(V30*W30*A_pixel,0)^exp_M*M30*O30*fator_P*P30,"")</f>
        <v>0.0</v>
      </c>
      <c r="Y30" s="13">
        <f>IF(Q30=1,c_restr*X30,"")</f>
        <v>0.0</v>
      </c>
    </row>
    <row r="31">
      <c r="A31">
        <v>30</v>
      </c>
      <c r="B31">
        <v>11</v>
      </c>
      <c r="C31">
        <v>138</v>
      </c>
      <c r="D31" s="9">
        <f>X0_canto+(C31+0.5)*dx_pix</f>
        <v>322800.17880016967</v>
      </c>
      <c r="E31" s="9">
        <f>Y0_canto-(B31+0.5)*dy_pix</f>
        <v>7434713.452997123</v>
      </c>
      <c r="F31" s="10">
        <f>(D31-x_DBT5)^2+(E31-y_DBT5)^2</f>
        <v>730412670.22521</v>
      </c>
      <c r="G31" s="10">
        <f>(D31-x_CLP)^2+(E31-y_CLP)^2</f>
        <v>14564379.967340462</v>
      </c>
      <c r="H31" s="11">
        <f>(P_DBT5/F31+P_CLP/G31)/(1/F31+1/G31)</f>
        <v>78.68329030955859</v>
      </c>
      <c r="I31" s="11">
        <v>77</v>
      </c>
      <c r="J31" s="11">
        <f>4.2*I31/(10-0.058*I31)</f>
        <v>58.438742320202394</v>
      </c>
      <c r="K31" s="11">
        <f>25.4*(1000/J31-10)</f>
        <v>180.64316635745197</v>
      </c>
      <c r="L31" t="inlineStr">
        <is>
          <t>Área Urbana</t>
        </is>
      </c>
      <c r="M31" s="11">
        <f>IFERROR(VLOOKUP(L31,Classes_K,2,FALSE),"")</f>
        <v>0.0</v>
      </c>
      <c r="N31" t="inlineStr">
        <is>
          <t>Campo</t>
        </is>
      </c>
      <c r="O31" s="11">
        <f>IFERROR(VLOOKUP(N31,Classes_C,2,FALSE),"")</f>
        <v>0.05000000074505806</v>
      </c>
      <c r="P31" s="12">
        <v>0.4871875047683716</v>
      </c>
      <c r="Q31">
        <f>IF(COUNT(M31,O31,P31)=3,1,0)</f>
        <v>1</v>
      </c>
      <c r="R31" s="12">
        <f>IF(H31&lt;=p_lambda*K31,0,(H31-p_lambda*K31)^2/(H31+(1-p_lambda)*K31))</f>
        <v>19.382304030578297</v>
      </c>
      <c r="S31" s="13">
        <f>R31/1000*A_pixel*RI_mmh/R_evento_mm/3600</f>
        <v>0.0007701054748577722</v>
      </c>
      <c r="T31" s="13">
        <f>IF(Q31=1,coef_W*MAX(R31*S31*A_pixel,0)^exp_M*M31*O31*fator_P*P31,"")</f>
        <v>0.0</v>
      </c>
      <c r="U31" s="13">
        <f>IF(Q31=1,c_pura*T31,"")</f>
        <v>0.0</v>
      </c>
      <c r="V31" s="12">
        <f>IF(Q31=1,MIN(fator_f*R31,H31),"")</f>
        <v>23.74182183562021</v>
      </c>
      <c r="W31" s="13">
        <f>IF(Q31=1,V31/1000*A_pixel*RI_mmh/R_evento_mm/3600,"")</f>
        <v>0.0009433195841868861</v>
      </c>
      <c r="X31" s="13">
        <f>IF(Q31=1,coef_W*MAX(V31*W31*A_pixel,0)^exp_M*M31*O31*fator_P*P31,"")</f>
        <v>0.0</v>
      </c>
      <c r="Y31" s="13">
        <f>IF(Q31=1,c_restr*X31,"")</f>
        <v>0.0</v>
      </c>
    </row>
    <row r="32">
      <c r="A32">
        <v>31</v>
      </c>
      <c r="B32">
        <v>11</v>
      </c>
      <c r="C32">
        <v>139</v>
      </c>
      <c r="D32" s="9">
        <f>X0_canto+(C32+0.5)*dx_pix</f>
        <v>322830.17037562217</v>
      </c>
      <c r="E32" s="9">
        <f>Y0_canto-(B32+0.5)*dy_pix</f>
        <v>7434713.452997123</v>
      </c>
      <c r="F32" s="10">
        <f>(D32-x_DBT5)^2+(E32-y_DBT5)^2</f>
        <v>728870762.8798171</v>
      </c>
      <c r="G32" s="10">
        <f>(D32-x_CLP)^2+(E32-y_CLP)^2</f>
        <v>14741498.49157834</v>
      </c>
      <c r="H32" s="11">
        <f>(P_DBT5/F32+P_CLP/G32)/(1/F32+1/G32)</f>
        <v>78.67885040900599</v>
      </c>
      <c r="I32" s="11">
        <v>77</v>
      </c>
      <c r="J32" s="11">
        <f>4.2*I32/(10-0.058*I32)</f>
        <v>58.438742320202394</v>
      </c>
      <c r="K32" s="11">
        <f>25.4*(1000/J32-10)</f>
        <v>180.64316635745197</v>
      </c>
      <c r="L32" t="inlineStr">
        <is>
          <t>Cambissolos Háplicos</t>
        </is>
      </c>
      <c r="M32" s="11">
        <f>IFERROR(VLOOKUP(L32,Classes_K,2,FALSE),"")</f>
        <v>0.04749999940395355</v>
      </c>
      <c r="N32" t="inlineStr">
        <is>
          <t>Mata Nativa</t>
        </is>
      </c>
      <c r="O32" s="11">
        <f>IFERROR(VLOOKUP(N32,Classes_C,2,FALSE),"")</f>
        <v>0.014999999664723873</v>
      </c>
      <c r="P32" s="12">
        <v>0.5398436784744263</v>
      </c>
      <c r="Q32">
        <f>IF(COUNT(M32,O32,P32)=3,1,0)</f>
        <v>1</v>
      </c>
      <c r="R32" s="12">
        <f>IF(H32&lt;=p_lambda*K32,0,(H32-p_lambda*K32)^2/(H32+(1-p_lambda)*K32))</f>
        <v>19.380176844974194</v>
      </c>
      <c r="S32" s="13">
        <f>R32/1000*A_pixel*RI_mmh/R_evento_mm/3600</f>
        <v>0.0007700209566664791</v>
      </c>
      <c r="T32" s="13">
        <f>IF(Q32=1,coef_W*MAX(R32*S32*A_pixel,0)^exp_M*M32*O32*fator_P*P32,"")</f>
        <v>0.019408553772788148</v>
      </c>
      <c r="U32" s="13">
        <f>IF(Q32=1,c_pura*T32,"")</f>
        <v>0.0020710044038193655</v>
      </c>
      <c r="V32" s="12">
        <f>IF(Q32=1,MIN(fator_f*R32,H32),"")</f>
        <v>23.73921619794451</v>
      </c>
      <c r="W32" s="13">
        <f>IF(Q32=1,V32/1000*A_pixel*RI_mmh/R_evento_mm/3600,"")</f>
        <v>0.0009432160559460544</v>
      </c>
      <c r="X32" s="13">
        <f>IF(Q32=1,coef_W*MAX(V32*W32*A_pixel,0)^exp_M*M32*O32*fator_P*P32,"")</f>
        <v>0.02435986358656407</v>
      </c>
      <c r="Y32" s="13">
        <f>IF(Q32=1,c_restr*X32,"")</f>
        <v>0.003370472641855888</v>
      </c>
    </row>
    <row r="33">
      <c r="A33">
        <v>32</v>
      </c>
      <c r="B33">
        <v>11</v>
      </c>
      <c r="C33">
        <v>140</v>
      </c>
      <c r="D33" s="9">
        <f>X0_canto+(C33+0.5)*dx_pix</f>
        <v>322860.16195107467</v>
      </c>
      <c r="E33" s="9">
        <f>Y0_canto-(B33+0.5)*dy_pix</f>
        <v>7434713.452997123</v>
      </c>
      <c r="F33" s="10">
        <f>(D33-x_DBT5)^2+(E33-y_DBT5)^2</f>
        <v>727330654.5236206</v>
      </c>
      <c r="G33" s="10">
        <f>(D33-x_CLP)^2+(E33-y_CLP)^2</f>
        <v>14920416.005012468</v>
      </c>
      <c r="H33" s="11">
        <f>(P_DBT5/F33+P_CLP/G33)/(1/F33+1/G33)</f>
        <v>78.6743564954558</v>
      </c>
      <c r="I33" s="11">
        <v>77</v>
      </c>
      <c r="J33" s="11">
        <f>4.2*I33/(10-0.058*I33)</f>
        <v>58.438742320202394</v>
      </c>
      <c r="K33" s="11">
        <f>25.4*(1000/J33-10)</f>
        <v>180.64316635745197</v>
      </c>
      <c r="L33" t="inlineStr">
        <is>
          <t>Cambissolos Háplicos</t>
        </is>
      </c>
      <c r="M33" s="11">
        <f>IFERROR(VLOOKUP(L33,Classes_K,2,FALSE),"")</f>
        <v>0.04749999940395355</v>
      </c>
      <c r="N33" t="inlineStr">
        <is>
          <t>Mata Nativa</t>
        </is>
      </c>
      <c r="O33" s="11">
        <f>IFERROR(VLOOKUP(N33,Classes_C,2,FALSE),"")</f>
        <v>0.014999999664723873</v>
      </c>
      <c r="P33" s="12">
        <v>0.4784235656261444</v>
      </c>
      <c r="Q33">
        <f>IF(COUNT(M33,O33,P33)=3,1,0)</f>
        <v>1</v>
      </c>
      <c r="R33" s="12">
        <f>IF(H33&lt;=p_lambda*K33,0,(H33-p_lambda*K33)^2/(H33+(1-p_lambda)*K33))</f>
        <v>19.37802386494261</v>
      </c>
      <c r="S33" s="13">
        <f>R33/1000*A_pixel*RI_mmh/R_evento_mm/3600</f>
        <v>0.0007699354136006511</v>
      </c>
      <c r="T33" s="13">
        <f>IF(Q33=1,coef_W*MAX(R33*S33*A_pixel,0)^exp_M*M33*O33*fator_P*P33,"")</f>
        <v>0.017198227093487437</v>
      </c>
      <c r="U33" s="13">
        <f>IF(Q33=1,c_pura*T33,"")</f>
        <v>0.0018351498244261676</v>
      </c>
      <c r="V33" s="12">
        <f>IF(Q33=1,MIN(fator_f*R33,H33),"")</f>
        <v>23.736578964092185</v>
      </c>
      <c r="W33" s="13">
        <f>IF(Q33=1,V33/1000*A_pixel*RI_mmh/R_evento_mm/3600,"")</f>
        <v>0.000943111272313265</v>
      </c>
      <c r="X33" s="13">
        <f>IF(Q33=1,coef_W*MAX(V33*W33*A_pixel,0)^exp_M*M33*O33*fator_P*P33,"")</f>
        <v>0.021585661190041378</v>
      </c>
      <c r="Y33" s="13">
        <f>IF(Q33=1,c_restr*X33,"")</f>
        <v>0.002986629224702761</v>
      </c>
    </row>
    <row r="34">
      <c r="A34">
        <v>33</v>
      </c>
      <c r="B34">
        <v>11</v>
      </c>
      <c r="C34">
        <v>141</v>
      </c>
      <c r="D34" s="9">
        <f>X0_canto+(C34+0.5)*dx_pix</f>
        <v>322890.15352652717</v>
      </c>
      <c r="E34" s="9">
        <f>Y0_canto-(B34+0.5)*dy_pix</f>
        <v>7434713.452997123</v>
      </c>
      <c r="F34" s="10">
        <f>(D34-x_DBT5)^2+(E34-y_DBT5)^2</f>
        <v>725792345.1566203</v>
      </c>
      <c r="G34" s="10">
        <f>(D34-x_CLP)^2+(E34-y_CLP)^2</f>
        <v>15101132.50764284</v>
      </c>
      <c r="H34" s="11">
        <f>(P_DBT5/F34+P_CLP/G34)/(1/F34+1/G34)</f>
        <v>78.6698083366762</v>
      </c>
      <c r="I34" s="11">
        <v>77</v>
      </c>
      <c r="J34" s="11">
        <f>4.2*I34/(10-0.058*I34)</f>
        <v>58.438742320202394</v>
      </c>
      <c r="K34" s="11">
        <f>25.4*(1000/J34-10)</f>
        <v>180.64316635745197</v>
      </c>
      <c r="L34" t="inlineStr">
        <is>
          <t>Cambissolos Háplicos</t>
        </is>
      </c>
      <c r="M34" s="11">
        <f>IFERROR(VLOOKUP(L34,Classes_K,2,FALSE),"")</f>
        <v>0.04749999940395355</v>
      </c>
      <c r="N34" t="inlineStr">
        <is>
          <t>Mata Nativa</t>
        </is>
      </c>
      <c r="O34" s="11">
        <f>IFERROR(VLOOKUP(N34,Classes_C,2,FALSE),"")</f>
        <v>0.014999999664723873</v>
      </c>
      <c r="P34" s="12">
        <v>0.352425217628479</v>
      </c>
      <c r="Q34">
        <f>IF(COUNT(M34,O34,P34)=3,1,0)</f>
        <v>1</v>
      </c>
      <c r="R34" s="12">
        <f>IF(H34&lt;=p_lambda*K34,0,(H34-p_lambda*K34)^2/(H34+(1-p_lambda)*K34))</f>
        <v>19.37584498226627</v>
      </c>
      <c r="S34" s="13">
        <f>R34/1000*A_pixel*RI_mmh/R_evento_mm/3600</f>
        <v>0.0007698488413605566</v>
      </c>
      <c r="T34" s="13">
        <f>IF(Q34=1,coef_W*MAX(R34*S34*A_pixel,0)^exp_M*M34*O34*fator_P*P34,"")</f>
        <v>0.012667280775297591</v>
      </c>
      <c r="U34" s="13">
        <f>IF(Q34=1,c_pura*T34,"")</f>
        <v>0.0013516717720018475</v>
      </c>
      <c r="V34" s="12">
        <f>IF(Q34=1,MIN(fator_f*R34,H34),"")</f>
        <v>23.733910001505446</v>
      </c>
      <c r="W34" s="13">
        <f>IF(Q34=1,V34/1000*A_pixel*RI_mmh/R_evento_mm/3600,"")</f>
        <v>0.0009430052280216783</v>
      </c>
      <c r="X34" s="13">
        <f>IF(Q34=1,coef_W*MAX(V34*W34*A_pixel,0)^exp_M*M34*O34*fator_P*P34,"")</f>
        <v>0.01589882663651072</v>
      </c>
      <c r="Y34" s="13">
        <f>IF(Q34=1,c_restr*X34,"")</f>
        <v>0.0021997890105396674</v>
      </c>
    </row>
    <row r="35">
      <c r="A35">
        <v>34</v>
      </c>
      <c r="B35">
        <v>11</v>
      </c>
      <c r="C35">
        <v>142</v>
      </c>
      <c r="D35" s="9">
        <f>X0_canto+(C35+0.5)*dx_pix</f>
        <v>322920.14510197967</v>
      </c>
      <c r="E35" s="9">
        <f>Y0_canto-(B35+0.5)*dy_pix</f>
        <v>7434713.452997123</v>
      </c>
      <c r="F35" s="10">
        <f>(D35-x_DBT5)^2+(E35-y_DBT5)^2</f>
        <v>724255834.7788161</v>
      </c>
      <c r="G35" s="10">
        <f>(D35-x_CLP)^2+(E35-y_CLP)^2</f>
        <v>15283647.999469455</v>
      </c>
      <c r="H35" s="11">
        <f>(P_DBT5/F35+P_CLP/G35)/(1/F35+1/G35)</f>
        <v>78.66520570031145</v>
      </c>
      <c r="I35" s="11">
        <v>77</v>
      </c>
      <c r="J35" s="11">
        <f>4.2*I35/(10-0.058*I35)</f>
        <v>58.438742320202394</v>
      </c>
      <c r="K35" s="11">
        <f>25.4*(1000/J35-10)</f>
        <v>180.64316635745197</v>
      </c>
      <c r="L35" t="inlineStr">
        <is>
          <t>Cambissolos Háplicos</t>
        </is>
      </c>
      <c r="M35" s="11">
        <f>IFERROR(VLOOKUP(L35,Classes_K,2,FALSE),"")</f>
        <v>0.04749999940395355</v>
      </c>
      <c r="N35" t="inlineStr">
        <is>
          <t>Mata Nativa</t>
        </is>
      </c>
      <c r="O35" s="11">
        <f>IFERROR(VLOOKUP(N35,Classes_C,2,FALSE),"")</f>
        <v>0.014999999664723873</v>
      </c>
      <c r="P35" s="12">
        <v>0.3567695617675781</v>
      </c>
      <c r="Q35">
        <f>IF(COUNT(M35,O35,P35)=3,1,0)</f>
        <v>1</v>
      </c>
      <c r="R35" s="12">
        <f>IF(H35&lt;=p_lambda*K35,0,(H35-p_lambda*K35)^2/(H35+(1-p_lambda)*K35))</f>
        <v>19.373640088723075</v>
      </c>
      <c r="S35" s="13">
        <f>R35/1000*A_pixel*RI_mmh/R_evento_mm/3600</f>
        <v>0.0007697612356462715</v>
      </c>
      <c r="T35" s="13">
        <f>IF(Q35=1,coef_W*MAX(R35*S35*A_pixel,0)^exp_M*M35*O35*fator_P*P35,"")</f>
        <v>0.012821795936391697</v>
      </c>
      <c r="U35" s="13">
        <f>IF(Q35=1,c_pura*T35,"")</f>
        <v>0.0013681594290848502</v>
      </c>
      <c r="V35" s="12">
        <f>IF(Q35=1,MIN(fator_f*R35,H35),"")</f>
        <v>23.731209177620606</v>
      </c>
      <c r="W35" s="13">
        <f>IF(Q35=1,V35/1000*A_pixel*RI_mmh/R_evento_mm/3600,"")</f>
        <v>0.0009428979178042211</v>
      </c>
      <c r="X35" s="13">
        <f>IF(Q35=1,coef_W*MAX(V35*W35*A_pixel,0)^exp_M*M35*O35*fator_P*P35,"")</f>
        <v>0.01609276010988397</v>
      </c>
      <c r="Y35" s="13">
        <f>IF(Q35=1,c_restr*X35,"")</f>
        <v>0.002226621979616931</v>
      </c>
    </row>
    <row r="36">
      <c r="A36">
        <v>35</v>
      </c>
      <c r="B36">
        <v>11</v>
      </c>
      <c r="C36">
        <v>143</v>
      </c>
      <c r="D36" s="9">
        <f>X0_canto+(C36+0.5)*dx_pix</f>
        <v>322950.1366774321</v>
      </c>
      <c r="E36" s="9">
        <f>Y0_canto-(B36+0.5)*dy_pix</f>
        <v>7434713.452997123</v>
      </c>
      <c r="F36" s="10">
        <f>(D36-x_DBT5)^2+(E36-y_DBT5)^2</f>
        <v>722721123.3902113</v>
      </c>
      <c r="G36" s="10">
        <f>(D36-x_CLP)^2+(E36-y_CLP)^2</f>
        <v>15467962.480491959</v>
      </c>
      <c r="H36" s="11">
        <f>(P_DBT5/F36+P_CLP/G36)/(1/F36+1/G36)</f>
        <v>78.6605483538919</v>
      </c>
      <c r="I36" s="11">
        <v>77</v>
      </c>
      <c r="J36" s="11">
        <f>4.2*I36/(10-0.058*I36)</f>
        <v>58.438742320202394</v>
      </c>
      <c r="K36" s="11">
        <f>25.4*(1000/J36-10)</f>
        <v>180.64316635745197</v>
      </c>
      <c r="L36" t="inlineStr">
        <is>
          <t>Cambissolos Háplicos</t>
        </is>
      </c>
      <c r="M36" s="11">
        <f>IFERROR(VLOOKUP(L36,Classes_K,2,FALSE),"")</f>
        <v>0.04749999940395355</v>
      </c>
      <c r="N36" t="inlineStr">
        <is>
          <t>Mata Nativa</t>
        </is>
      </c>
      <c r="O36" s="11">
        <f>IFERROR(VLOOKUP(N36,Classes_C,2,FALSE),"")</f>
        <v>0.014999999664723873</v>
      </c>
      <c r="P36" s="12">
        <v>0.335045337677002</v>
      </c>
      <c r="Q36">
        <f>IF(COUNT(M36,O36,P36)=3,1,0)</f>
        <v>1</v>
      </c>
      <c r="R36" s="12">
        <f>IF(H36&lt;=p_lambda*K36,0,(H36-p_lambda*K36)^2/(H36+(1-p_lambda)*K36))</f>
        <v>19.371409076091485</v>
      </c>
      <c r="S36" s="13">
        <f>R36/1000*A_pixel*RI_mmh/R_evento_mm/3600</f>
        <v>0.000769672592157894</v>
      </c>
      <c r="T36" s="13">
        <f>IF(Q36=1,coef_W*MAX(R36*S36*A_pixel,0)^exp_M*M36*O36*fator_P*P36,"")</f>
        <v>0.012039504900540359</v>
      </c>
      <c r="U36" s="13">
        <f>IF(Q36=1,c_pura*T36,"")</f>
        <v>0.0012846844726670237</v>
      </c>
      <c r="V36" s="12">
        <f>IF(Q36=1,MIN(fator_f*R36,H36),"")</f>
        <v>23.728476359874655</v>
      </c>
      <c r="W36" s="13">
        <f>IF(Q36=1,V36/1000*A_pixel*RI_mmh/R_evento_mm/3600,"")</f>
        <v>0.0009427893363938468</v>
      </c>
      <c r="X36" s="13">
        <f>IF(Q36=1,coef_W*MAX(V36*W36*A_pixel,0)^exp_M*M36*O36*fator_P*P36,"")</f>
        <v>0.015110899063387624</v>
      </c>
      <c r="Y36" s="13">
        <f>IF(Q36=1,c_restr*X36,"")</f>
        <v>0.0020907699957353285</v>
      </c>
    </row>
    <row r="37">
      <c r="A37">
        <v>36</v>
      </c>
      <c r="B37">
        <v>11</v>
      </c>
      <c r="C37">
        <v>144</v>
      </c>
      <c r="D37" s="9">
        <f>X0_canto+(C37+0.5)*dx_pix</f>
        <v>322980.1282528846</v>
      </c>
      <c r="E37" s="9">
        <f>Y0_canto-(B37+0.5)*dy_pix</f>
        <v>7434713.452997123</v>
      </c>
      <c r="F37" s="10">
        <f>(D37-x_DBT5)^2+(E37-y_DBT5)^2</f>
        <v>721188210.9907997</v>
      </c>
      <c r="G37" s="10">
        <f>(D37-x_CLP)^2+(E37-y_CLP)^2</f>
        <v>15654075.950711064</v>
      </c>
      <c r="H37" s="11">
        <f>(P_DBT5/F37+P_CLP/G37)/(1/F37+1/G37)</f>
        <v>78.65583606484435</v>
      </c>
      <c r="I37" s="11">
        <v>85</v>
      </c>
      <c r="J37" s="11">
        <f>4.2*I37/(10-0.058*I37)</f>
        <v>70.41420118343196</v>
      </c>
      <c r="K37" s="11">
        <f>25.4*(1000/J37-10)</f>
        <v>106.72268907563023</v>
      </c>
      <c r="L37" t="inlineStr">
        <is>
          <t>Cambissolos Háplicos</t>
        </is>
      </c>
      <c r="M37" s="11">
        <f>IFERROR(VLOOKUP(L37,Classes_K,2,FALSE),"")</f>
        <v>0.04749999940395355</v>
      </c>
      <c r="N37" t="inlineStr">
        <is>
          <t>Área Urbanizada</t>
        </is>
      </c>
      <c r="O37" s="11">
        <f>IFERROR(VLOOKUP(N37,Classes_C,2,FALSE),"")</f>
        <v>0.0</v>
      </c>
      <c r="P37" s="12">
        <v>0.3146838545799255</v>
      </c>
      <c r="Q37">
        <f>IF(COUNT(M37,O37,P37)=3,1,0)</f>
        <v>1</v>
      </c>
      <c r="R37" s="12">
        <f>IF(H37&lt;=p_lambda*K37,0,(H37-p_lambda*K37)^2/(H37+(1-p_lambda)*K37))</f>
        <v>29.858405144653606</v>
      </c>
      <c r="S37" s="13">
        <f>R37/1000*A_pixel*RI_mmh/R_evento_mm/3600</f>
        <v>0.0011863461245960629</v>
      </c>
      <c r="T37" s="13">
        <f>IF(Q37=1,coef_W*MAX(R37*S37*A_pixel,0)^exp_M*M37*O37*fator_P*P37,"")</f>
        <v>0.0</v>
      </c>
      <c r="U37" s="13">
        <f>IF(Q37=1,c_pura*T37,"")</f>
        <v>0.0</v>
      </c>
      <c r="V37" s="12">
        <f>IF(Q37=1,MIN(fator_f*R37,H37),"")</f>
        <v>36.57423462771784</v>
      </c>
      <c r="W37" s="13">
        <f>IF(Q37=1,V37/1000*A_pixel*RI_mmh/R_evento_mm/3600,"")</f>
        <v>0.0014531821542527858</v>
      </c>
      <c r="X37" s="13">
        <f>IF(Q37=1,coef_W*MAX(V37*W37*A_pixel,0)^exp_M*M37*O37*fator_P*P37,"")</f>
        <v>0.0</v>
      </c>
      <c r="Y37" s="13">
        <f>IF(Q37=1,c_restr*X37,"")</f>
        <v>0.0</v>
      </c>
    </row>
    <row r="38">
      <c r="A38">
        <v>37</v>
      </c>
      <c r="B38">
        <v>11</v>
      </c>
      <c r="C38">
        <v>145</v>
      </c>
      <c r="D38" s="9">
        <f>X0_canto+(C38+0.5)*dx_pix</f>
        <v>323010.1198283371</v>
      </c>
      <c r="E38" s="9">
        <f>Y0_canto-(B38+0.5)*dy_pix</f>
        <v>7434713.452997123</v>
      </c>
      <c r="F38" s="10">
        <f>(D38-x_DBT5)^2+(E38-y_DBT5)^2</f>
        <v>719657097.5805844</v>
      </c>
      <c r="G38" s="10">
        <f>(D38-x_CLP)^2+(E38-y_CLP)^2</f>
        <v>15841988.410126418</v>
      </c>
      <c r="H38" s="11">
        <f>(P_DBT5/F38+P_CLP/G38)/(1/F38+1/G38)</f>
        <v>78.65106860050247</v>
      </c>
      <c r="I38" s="11">
        <v>85</v>
      </c>
      <c r="J38" s="11">
        <f>4.2*I38/(10-0.058*I38)</f>
        <v>70.41420118343196</v>
      </c>
      <c r="K38" s="11">
        <f>25.4*(1000/J38-10)</f>
        <v>106.72268907563023</v>
      </c>
      <c r="L38" t="inlineStr">
        <is>
          <t>Área Urbana</t>
        </is>
      </c>
      <c r="M38" s="11">
        <f>IFERROR(VLOOKUP(L38,Classes_K,2,FALSE),"")</f>
        <v>0.0</v>
      </c>
      <c r="N38" t="inlineStr">
        <is>
          <t>Campo</t>
        </is>
      </c>
      <c r="O38" s="11">
        <f>IFERROR(VLOOKUP(N38,Classes_C,2,FALSE),"")</f>
        <v>0.05000000074505806</v>
      </c>
      <c r="P38" s="12">
        <v>0.3355790674686432</v>
      </c>
      <c r="Q38">
        <f>IF(COUNT(M38,O38,P38)=3,1,0)</f>
        <v>1</v>
      </c>
      <c r="R38" s="12">
        <f>IF(H38&lt;=p_lambda*K38,0,(H38-p_lambda*K38)^2/(H38+(1-p_lambda)*K38))</f>
        <v>29.855312865909514</v>
      </c>
      <c r="S38" s="13">
        <f>R38/1000*A_pixel*RI_mmh/R_evento_mm/3600</f>
        <v>0.0011862232609371887</v>
      </c>
      <c r="T38" s="13">
        <f>IF(Q38=1,coef_W*MAX(R38*S38*A_pixel,0)^exp_M*M38*O38*fator_P*P38,"")</f>
        <v>0.0</v>
      </c>
      <c r="U38" s="13">
        <f>IF(Q38=1,c_pura*T38,"")</f>
        <v>0.0</v>
      </c>
      <c r="V38" s="12">
        <f>IF(Q38=1,MIN(fator_f*R38,H38),"")</f>
        <v>36.570446825664355</v>
      </c>
      <c r="W38" s="13">
        <f>IF(Q38=1,V38/1000*A_pixel*RI_mmh/R_evento_mm/3600,"")</f>
        <v>0.0014530316557829204</v>
      </c>
      <c r="X38" s="13">
        <f>IF(Q38=1,coef_W*MAX(V38*W38*A_pixel,0)^exp_M*M38*O38*fator_P*P38,"")</f>
        <v>0.0</v>
      </c>
      <c r="Y38" s="13">
        <f>IF(Q38=1,c_restr*X38,"")</f>
        <v>0.0</v>
      </c>
    </row>
    <row r="39">
      <c r="A39">
        <v>38</v>
      </c>
      <c r="B39">
        <v>11</v>
      </c>
      <c r="C39">
        <v>154</v>
      </c>
      <c r="D39" s="9">
        <f>X0_canto+(C39+0.5)*dx_pix</f>
        <v>323280.0440074095</v>
      </c>
      <c r="E39" s="9">
        <f>Y0_canto-(B39+0.5)*dy_pix</f>
        <v>7434713.452997123</v>
      </c>
      <c r="F39" s="10">
        <f>(D39-x_DBT5)^2+(E39-y_DBT5)^2</f>
        <v>705958031.4024831</v>
      </c>
      <c r="G39" s="10">
        <f>(D39-x_CLP)^2+(E39-y_CLP)^2</f>
        <v>17614155.05869485</v>
      </c>
      <c r="H39" s="11">
        <f>(P_DBT5/F39+P_CLP/G39)/(1/F39+1/G39)</f>
        <v>78.6056401109226</v>
      </c>
      <c r="I39" s="11">
        <v>77</v>
      </c>
      <c r="J39" s="11">
        <f>4.2*I39/(10-0.058*I39)</f>
        <v>58.438742320202394</v>
      </c>
      <c r="K39" s="11">
        <f>25.4*(1000/J39-10)</f>
        <v>180.64316635745197</v>
      </c>
      <c r="L39" t="inlineStr">
        <is>
          <t/>
        </is>
      </c>
      <c r="M39" s="11">
        <f>IFERROR(VLOOKUP(L39,Classes_K,2,FALSE),"")</f>
        <v/>
      </c>
      <c r="N39" t="inlineStr">
        <is>
          <t/>
        </is>
      </c>
      <c r="O39" s="11">
        <f>IFERROR(VLOOKUP(N39,Classes_C,2,FALSE),"")</f>
        <v/>
      </c>
      <c r="Q39">
        <f>IF(COUNT(M39,O39,P39)=3,1,0)</f>
        <v>0</v>
      </c>
      <c r="R39" s="12">
        <f>IF(H39&lt;=p_lambda*K39,0,(H39-p_lambda*K39)^2/(H39+(1-p_lambda)*K39))</f>
        <v>19.34511314329645</v>
      </c>
      <c r="S39" s="13">
        <f>R39/1000*A_pixel*RI_mmh/R_evento_mm/3600</f>
        <v>0.0007686277916130257</v>
      </c>
      <c r="T39" s="13">
        <f>IF(Q39=1,coef_W*MAX(R39*S39*A_pixel,0)^exp_M*M39*O39*fator_P*P39,"")</f>
        <v/>
      </c>
      <c r="U39" s="13">
        <f>IF(Q39=1,c_pura*T39,"")</f>
        <v/>
      </c>
      <c r="V39" s="12">
        <f>IF(Q39=1,MIN(fator_f*R39,H39),"")</f>
        <v/>
      </c>
      <c r="W39" s="13">
        <f>IF(Q39=1,V39/1000*A_pixel*RI_mmh/R_evento_mm/3600,"")</f>
        <v/>
      </c>
      <c r="X39" s="13">
        <f>IF(Q39=1,coef_W*MAX(V39*W39*A_pixel,0)^exp_M*M39*O39*fator_P*P39,"")</f>
        <v/>
      </c>
      <c r="Y39" s="13">
        <f>IF(Q39=1,c_restr*X39,"")</f>
        <v/>
      </c>
    </row>
    <row r="40">
      <c r="A40">
        <v>39</v>
      </c>
      <c r="B40">
        <v>11</v>
      </c>
      <c r="C40">
        <v>155</v>
      </c>
      <c r="D40" s="9">
        <f>X0_canto+(C40+0.5)*dx_pix</f>
        <v>323310.035582862</v>
      </c>
      <c r="E40" s="9">
        <f>Y0_canto-(B40+0.5)*dy_pix</f>
        <v>7434713.452997123</v>
      </c>
      <c r="F40" s="10">
        <f>(D40-x_DBT5)^2+(E40-y_DBT5)^2</f>
        <v>704444907.8842303</v>
      </c>
      <c r="G40" s="10">
        <f>(D40-x_CLP)^2+(E40-y_CLP)^2</f>
        <v>17820057.410072654</v>
      </c>
      <c r="H40" s="11">
        <f>(P_DBT5/F40+P_CLP/G40)/(1/F40+1/G40)</f>
        <v>78.6003080842007</v>
      </c>
      <c r="I40" s="11">
        <v>77</v>
      </c>
      <c r="J40" s="11">
        <f>4.2*I40/(10-0.058*I40)</f>
        <v>58.438742320202394</v>
      </c>
      <c r="K40" s="11">
        <f>25.4*(1000/J40-10)</f>
        <v>180.64316635745197</v>
      </c>
      <c r="L40" t="inlineStr">
        <is>
          <t>Área Urbana</t>
        </is>
      </c>
      <c r="M40" s="11">
        <f>IFERROR(VLOOKUP(L40,Classes_K,2,FALSE),"")</f>
        <v>0.0</v>
      </c>
      <c r="N40" t="inlineStr">
        <is>
          <t>Mata Nativa</t>
        </is>
      </c>
      <c r="O40" s="11">
        <f>IFERROR(VLOOKUP(N40,Classes_C,2,FALSE),"")</f>
        <v>0.014999999664723873</v>
      </c>
      <c r="P40" s="12">
        <v>0.4443247318267822</v>
      </c>
      <c r="Q40">
        <f>IF(COUNT(M40,O40,P40)=3,1,0)</f>
        <v>1</v>
      </c>
      <c r="R40" s="12">
        <f>IF(H40&lt;=p_lambda*K40,0,(H40-p_lambda*K40)^2/(H40+(1-p_lambda)*K40))</f>
        <v>19.342560268201595</v>
      </c>
      <c r="S40" s="13">
        <f>R40/1000*A_pixel*RI_mmh/R_evento_mm/3600</f>
        <v>0.0007685263597562107</v>
      </c>
      <c r="T40" s="13">
        <f>IF(Q40=1,coef_W*MAX(R40*S40*A_pixel,0)^exp_M*M40*O40*fator_P*P40,"")</f>
        <v>0.0</v>
      </c>
      <c r="U40" s="13">
        <f>IF(Q40=1,c_pura*T40,"")</f>
        <v>0.0</v>
      </c>
      <c r="V40" s="12">
        <f>IF(Q40=1,MIN(fator_f*R40,H40),"")</f>
        <v>23.69313880371976</v>
      </c>
      <c r="W40" s="13">
        <f>IF(Q40=1,V40/1000*A_pixel*RI_mmh/R_evento_mm/3600,"")</f>
        <v>0.0009413852904445084</v>
      </c>
      <c r="X40" s="13">
        <f>IF(Q40=1,coef_W*MAX(V40*W40*A_pixel,0)^exp_M*M40*O40*fator_P*P40,"")</f>
        <v>0.0</v>
      </c>
      <c r="Y40" s="13">
        <f>IF(Q40=1,c_restr*X40,"")</f>
        <v>0.0</v>
      </c>
    </row>
    <row r="41">
      <c r="A41">
        <v>40</v>
      </c>
      <c r="B41">
        <v>11</v>
      </c>
      <c r="C41">
        <v>156</v>
      </c>
      <c r="D41" s="9">
        <f>X0_canto+(C41+0.5)*dx_pix</f>
        <v>323340.0271583145</v>
      </c>
      <c r="E41" s="9">
        <f>Y0_canto-(B41+0.5)*dy_pix</f>
        <v>7434713.452997123</v>
      </c>
      <c r="F41" s="10">
        <f>(D41-x_DBT5)^2+(E41-y_DBT5)^2</f>
        <v>702933583.3551736</v>
      </c>
      <c r="G41" s="10">
        <f>(D41-x_CLP)^2+(E41-y_CLP)^2</f>
        <v>18027758.750646703</v>
      </c>
      <c r="H41" s="11">
        <f>(P_DBT5/F41+P_CLP/G41)/(1/F41+1/G41)</f>
        <v>78.59491831981309</v>
      </c>
      <c r="I41" s="11">
        <v>77</v>
      </c>
      <c r="J41" s="11">
        <f>4.2*I41/(10-0.058*I41)</f>
        <v>58.438742320202394</v>
      </c>
      <c r="K41" s="11">
        <f>25.4*(1000/J41-10)</f>
        <v>180.64316635745197</v>
      </c>
      <c r="L41" t="inlineStr">
        <is>
          <t>Área Urbana</t>
        </is>
      </c>
      <c r="M41" s="11">
        <f>IFERROR(VLOOKUP(L41,Classes_K,2,FALSE),"")</f>
        <v>0.0</v>
      </c>
      <c r="N41" t="inlineStr">
        <is>
          <t>Mata Nativa</t>
        </is>
      </c>
      <c r="O41" s="11">
        <f>IFERROR(VLOOKUP(N41,Classes_C,2,FALSE),"")</f>
        <v>0.014999999664723873</v>
      </c>
      <c r="P41" s="12">
        <v>0.4908078610897064</v>
      </c>
      <c r="Q41">
        <f>IF(COUNT(M41,O41,P41)=3,1,0)</f>
        <v>1</v>
      </c>
      <c r="R41" s="12">
        <f>IF(H41&lt;=p_lambda*K41,0,(H41-p_lambda*K41)^2/(H41+(1-p_lambda)*K41))</f>
        <v>19.33997986976907</v>
      </c>
      <c r="S41" s="13">
        <f>R41/1000*A_pixel*RI_mmh/R_evento_mm/3600</f>
        <v>0.0007684238343311081</v>
      </c>
      <c r="T41" s="13">
        <f>IF(Q41=1,coef_W*MAX(R41*S41*A_pixel,0)^exp_M*M41*O41*fator_P*P41,"")</f>
        <v>0.0</v>
      </c>
      <c r="U41" s="13">
        <f>IF(Q41=1,c_pura*T41,"")</f>
        <v>0.0</v>
      </c>
      <c r="V41" s="12">
        <f>IF(Q41=1,MIN(fator_f*R41,H41),"")</f>
        <v>23.68997801541754</v>
      </c>
      <c r="W41" s="13">
        <f>IF(Q41=1,V41/1000*A_pixel*RI_mmh/R_evento_mm/3600,"")</f>
        <v>0.0009412597047364023</v>
      </c>
      <c r="X41" s="13">
        <f>IF(Q41=1,coef_W*MAX(V41*W41*A_pixel,0)^exp_M*M41*O41*fator_P*P41,"")</f>
        <v>0.0</v>
      </c>
      <c r="Y41" s="13">
        <f>IF(Q41=1,c_restr*X41,"")</f>
        <v>0.0</v>
      </c>
    </row>
    <row r="42">
      <c r="A42">
        <v>41</v>
      </c>
      <c r="B42">
        <v>11</v>
      </c>
      <c r="C42">
        <v>157</v>
      </c>
      <c r="D42" s="9">
        <f>X0_canto+(C42+0.5)*dx_pix</f>
        <v>323370.018733767</v>
      </c>
      <c r="E42" s="9">
        <f>Y0_canto-(B42+0.5)*dy_pix</f>
        <v>7434713.452997123</v>
      </c>
      <c r="F42" s="10">
        <f>(D42-x_DBT5)^2+(E42-y_DBT5)^2</f>
        <v>701424057.8153132</v>
      </c>
      <c r="G42" s="10">
        <f>(D42-x_CLP)^2+(E42-y_CLP)^2</f>
        <v>18237259.080416996</v>
      </c>
      <c r="H42" s="11">
        <f>(P_DBT5/F42+P_CLP/G42)/(1/F42+1/G42)</f>
        <v>78.5894705848339</v>
      </c>
      <c r="I42" s="11">
        <v>77</v>
      </c>
      <c r="J42" s="11">
        <f>4.2*I42/(10-0.058*I42)</f>
        <v>58.438742320202394</v>
      </c>
      <c r="K42" s="11">
        <f>25.4*(1000/J42-10)</f>
        <v>180.64316635745197</v>
      </c>
      <c r="L42" t="inlineStr">
        <is>
          <t>Área Urbana</t>
        </is>
      </c>
      <c r="M42" s="11">
        <f>IFERROR(VLOOKUP(L42,Classes_K,2,FALSE),"")</f>
        <v>0.0</v>
      </c>
      <c r="N42" t="inlineStr">
        <is>
          <t>Área Urbanizada</t>
        </is>
      </c>
      <c r="O42" s="11">
        <f>IFERROR(VLOOKUP(N42,Classes_C,2,FALSE),"")</f>
        <v>0.0</v>
      </c>
      <c r="P42" s="12">
        <v>0.4512410461902618</v>
      </c>
      <c r="Q42">
        <f>IF(COUNT(M42,O42,P42)=3,1,0)</f>
        <v>1</v>
      </c>
      <c r="R42" s="12">
        <f>IF(H42&lt;=p_lambda*K42,0,(H42-p_lambda*K42)^2/(H42+(1-p_lambda)*K42))</f>
        <v>19.337371840388943</v>
      </c>
      <c r="S42" s="13">
        <f>R42/1000*A_pixel*RI_mmh/R_evento_mm/3600</f>
        <v>0.0007683202110621172</v>
      </c>
      <c r="T42" s="13">
        <f>IF(Q42=1,coef_W*MAX(R42*S42*A_pixel,0)^exp_M*M42*O42*fator_P*P42,"")</f>
        <v>0.0</v>
      </c>
      <c r="U42" s="13">
        <f>IF(Q42=1,c_pura*T42,"")</f>
        <v>0.0</v>
      </c>
      <c r="V42" s="12">
        <f>IF(Q42=1,MIN(fator_f*R42,H42),"")</f>
        <v>23.68678338134373</v>
      </c>
      <c r="W42" s="13">
        <f>IF(Q42=1,V42/1000*A_pixel*RI_mmh/R_evento_mm/3600,"")</f>
        <v>0.0009411327742545294</v>
      </c>
      <c r="X42" s="13">
        <f>IF(Q42=1,coef_W*MAX(V42*W42*A_pixel,0)^exp_M*M42*O42*fator_P*P42,"")</f>
        <v>0.0</v>
      </c>
      <c r="Y42" s="13">
        <f>IF(Q42=1,c_restr*X42,"")</f>
        <v>0.0</v>
      </c>
    </row>
    <row r="43">
      <c r="A43">
        <v>42</v>
      </c>
      <c r="B43">
        <v>12</v>
      </c>
      <c r="C43">
        <v>42</v>
      </c>
      <c r="D43" s="9">
        <f>X0_canto+(C43+0.5)*dx_pix</f>
        <v>319920.98755673075</v>
      </c>
      <c r="E43" s="9">
        <f>Y0_canto-(B43+0.5)*dy_pix</f>
        <v>7434683.528266438</v>
      </c>
      <c r="F43" s="10">
        <f>(D43-x_DBT5)^2+(E43-y_DBT5)^2</f>
        <v>886316122.948409</v>
      </c>
      <c r="G43" s="10">
        <f>(D43-x_CLP)^2+(E43-y_CLP)^2</f>
        <v>5792202.9042963805</v>
      </c>
      <c r="H43" s="11">
        <f>(P_DBT5/F43+P_CLP/G43)/(1/F43+1/G43)</f>
        <v>78.89482006352641</v>
      </c>
      <c r="I43" s="11">
        <v>85</v>
      </c>
      <c r="J43" s="11">
        <f>4.2*I43/(10-0.058*I43)</f>
        <v>70.41420118343196</v>
      </c>
      <c r="K43" s="11">
        <f>25.4*(1000/J43-10)</f>
        <v>106.72268907563023</v>
      </c>
      <c r="L43" t="inlineStr">
        <is>
          <t>Cambissolos Háplicos</t>
        </is>
      </c>
      <c r="M43" s="11">
        <f>IFERROR(VLOOKUP(L43,Classes_K,2,FALSE),"")</f>
        <v>0.04749999940395355</v>
      </c>
      <c r="N43" t="inlineStr">
        <is>
          <t>Área Urbanizada</t>
        </is>
      </c>
      <c r="O43" s="11">
        <f>IFERROR(VLOOKUP(N43,Classes_C,2,FALSE),"")</f>
        <v>0.0</v>
      </c>
      <c r="P43" s="12">
        <v>0.3102474808692932</v>
      </c>
      <c r="Q43">
        <f>IF(COUNT(M43,O43,P43)=3,1,0)</f>
        <v>1</v>
      </c>
      <c r="R43" s="12">
        <f>IF(H43&lt;=p_lambda*K43,0,(H43-p_lambda*K43)^2/(H43+(1-p_lambda)*K43))</f>
        <v>30.013528785634644</v>
      </c>
      <c r="S43" s="13">
        <f>R43/1000*A_pixel*RI_mmh/R_evento_mm/3600</f>
        <v>0.001192509559294585</v>
      </c>
      <c r="T43" s="13">
        <f>IF(Q43=1,coef_W*MAX(R43*S43*A_pixel,0)^exp_M*M43*O43*fator_P*P43,"")</f>
        <v>0.0</v>
      </c>
      <c r="U43" s="13">
        <f>IF(Q43=1,c_pura*T43,"")</f>
        <v>0.0</v>
      </c>
      <c r="V43" s="12">
        <f>IF(Q43=1,MIN(fator_f*R43,H43),"")</f>
        <v>36.764249078056366</v>
      </c>
      <c r="W43" s="13">
        <f>IF(Q43=1,V43/1000*A_pixel*RI_mmh/R_evento_mm/3600,"")</f>
        <v>0.0014607318845777735</v>
      </c>
      <c r="X43" s="13">
        <f>IF(Q43=1,coef_W*MAX(V43*W43*A_pixel,0)^exp_M*M43*O43*fator_P*P43,"")</f>
        <v>0.0</v>
      </c>
      <c r="Y43" s="13">
        <f>IF(Q43=1,c_restr*X43,"")</f>
        <v>0.0</v>
      </c>
    </row>
    <row r="44">
      <c r="A44">
        <v>43</v>
      </c>
      <c r="B44">
        <v>12</v>
      </c>
      <c r="C44">
        <v>124</v>
      </c>
      <c r="D44" s="9">
        <f>X0_canto+(C44+0.5)*dx_pix</f>
        <v>322380.29674383486</v>
      </c>
      <c r="E44" s="9">
        <f>Y0_canto-(B44+0.5)*dy_pix</f>
        <v>7434683.528266438</v>
      </c>
      <c r="F44" s="10">
        <f>(D44-x_DBT5)^2+(E44-y_DBT5)^2</f>
        <v>751692520.79413</v>
      </c>
      <c r="G44" s="10">
        <f>(D44-x_CLP)^2+(E44-y_CLP)^2</f>
        <v>12128722.059688222</v>
      </c>
      <c r="H44" s="11">
        <f>(P_DBT5/F44+P_CLP/G44)/(1/F44+1/G44)</f>
        <v>78.74276211949588</v>
      </c>
      <c r="I44" s="11">
        <v>85</v>
      </c>
      <c r="J44" s="11">
        <f>4.2*I44/(10-0.058*I44)</f>
        <v>70.41420118343196</v>
      </c>
      <c r="K44" s="11">
        <f>25.4*(1000/J44-10)</f>
        <v>106.72268907563023</v>
      </c>
      <c r="L44" t="inlineStr">
        <is>
          <t>Área Urbana</t>
        </is>
      </c>
      <c r="M44" s="11">
        <f>IFERROR(VLOOKUP(L44,Classes_K,2,FALSE),"")</f>
        <v>0.0</v>
      </c>
      <c r="N44" t="inlineStr">
        <is>
          <t>Área Urbanizada</t>
        </is>
      </c>
      <c r="O44" s="11">
        <f>IFERROR(VLOOKUP(N44,Classes_C,2,FALSE),"")</f>
        <v>0.0</v>
      </c>
      <c r="P44" s="12">
        <v>0.3037016093730927</v>
      </c>
      <c r="Q44">
        <f>IF(COUNT(M44,O44,P44)=3,1,0)</f>
        <v>1</v>
      </c>
      <c r="R44" s="12">
        <f>IF(H44&lt;=p_lambda*K44,0,(H44-p_lambda*K44)^2/(H44+(1-p_lambda)*K44))</f>
        <v>29.91480278021843</v>
      </c>
      <c r="S44" s="13">
        <f>R44/1000*A_pixel*RI_mmh/R_evento_mm/3600</f>
        <v>0.0011885869380643165</v>
      </c>
      <c r="T44" s="13">
        <f>IF(Q44=1,coef_W*MAX(R44*S44*A_pixel,0)^exp_M*M44*O44*fator_P*P44,"")</f>
        <v>0.0</v>
      </c>
      <c r="U44" s="13">
        <f>IF(Q44=1,c_pura*T44,"")</f>
        <v>0.0</v>
      </c>
      <c r="V44" s="12">
        <f>IF(Q44=1,MIN(fator_f*R44,H44),"")</f>
        <v>36.643317364910374</v>
      </c>
      <c r="W44" s="13">
        <f>IF(Q44=1,V44/1000*A_pixel*RI_mmh/R_evento_mm/3600,"")</f>
        <v>0.001455926977264859</v>
      </c>
      <c r="X44" s="13">
        <f>IF(Q44=1,coef_W*MAX(V44*W44*A_pixel,0)^exp_M*M44*O44*fator_P*P44,"")</f>
        <v>0.0</v>
      </c>
      <c r="Y44" s="13">
        <f>IF(Q44=1,c_restr*X44,"")</f>
        <v>0.0</v>
      </c>
    </row>
    <row r="45">
      <c r="A45">
        <v>44</v>
      </c>
      <c r="B45">
        <v>12</v>
      </c>
      <c r="C45">
        <v>125</v>
      </c>
      <c r="D45" s="9">
        <f>X0_canto+(C45+0.5)*dx_pix</f>
        <v>322410.28831928736</v>
      </c>
      <c r="E45" s="9">
        <f>Y0_canto-(B45+0.5)*dy_pix</f>
        <v>7434683.528266438</v>
      </c>
      <c r="F45" s="10">
        <f>(D45-x_DBT5)^2+(E45-y_DBT5)^2</f>
        <v>750125427.5999898</v>
      </c>
      <c r="G45" s="10">
        <f>(D45-x_CLP)^2+(E45-y_CLP)^2</f>
        <v>12280654.73517867</v>
      </c>
      <c r="H45" s="11">
        <f>(P_DBT5/F45+P_CLP/G45)/(1/F45+1/G45)</f>
        <v>78.7390562926679</v>
      </c>
      <c r="I45" s="11">
        <v>77</v>
      </c>
      <c r="J45" s="11">
        <f>4.2*I45/(10-0.058*I45)</f>
        <v>58.438742320202394</v>
      </c>
      <c r="K45" s="11">
        <f>25.4*(1000/J45-10)</f>
        <v>180.64316635745197</v>
      </c>
      <c r="L45" t="inlineStr">
        <is>
          <t>Área Urbana</t>
        </is>
      </c>
      <c r="M45" s="11">
        <f>IFERROR(VLOOKUP(L45,Classes_K,2,FALSE),"")</f>
        <v>0.0</v>
      </c>
      <c r="N45" t="inlineStr">
        <is>
          <t>Área Urbanizada</t>
        </is>
      </c>
      <c r="O45" s="11">
        <f>IFERROR(VLOOKUP(N45,Classes_C,2,FALSE),"")</f>
        <v>0.0</v>
      </c>
      <c r="P45" s="12">
        <v>0.33412966132164</v>
      </c>
      <c r="Q45">
        <f>IF(COUNT(M45,O45,P45)=3,1,0)</f>
        <v>1</v>
      </c>
      <c r="R45" s="12">
        <f>IF(H45&lt;=p_lambda*K45,0,(H45-p_lambda*K45)^2/(H45+(1-p_lambda)*K45))</f>
        <v>19.409028866155687</v>
      </c>
      <c r="S45" s="13">
        <f>R45/1000*A_pixel*RI_mmh/R_evento_mm/3600</f>
        <v>0.0007711673167399525</v>
      </c>
      <c r="T45" s="13">
        <f>IF(Q45=1,coef_W*MAX(R45*S45*A_pixel,0)^exp_M*M45*O45*fator_P*P45,"")</f>
        <v>0.0</v>
      </c>
      <c r="U45" s="13">
        <f>IF(Q45=1,c_pura*T45,"")</f>
        <v>0.0</v>
      </c>
      <c r="V45" s="12">
        <f>IF(Q45=1,MIN(fator_f*R45,H45),"")</f>
        <v>23.774557690132845</v>
      </c>
      <c r="W45" s="13">
        <f>IF(Q45=1,V45/1000*A_pixel*RI_mmh/R_evento_mm/3600,"")</f>
        <v>0.0009446202582834516</v>
      </c>
      <c r="X45" s="13">
        <f>IF(Q45=1,coef_W*MAX(V45*W45*A_pixel,0)^exp_M*M45*O45*fator_P*P45,"")</f>
        <v>0.0</v>
      </c>
      <c r="Y45" s="13">
        <f>IF(Q45=1,c_restr*X45,"")</f>
        <v>0.0</v>
      </c>
    </row>
    <row r="46">
      <c r="A46">
        <v>45</v>
      </c>
      <c r="B46">
        <v>12</v>
      </c>
      <c r="C46">
        <v>126</v>
      </c>
      <c r="D46" s="9">
        <f>X0_canto+(C46+0.5)*dx_pix</f>
        <v>322440.2798947398</v>
      </c>
      <c r="E46" s="9">
        <f>Y0_canto-(B46+0.5)*dy_pix</f>
        <v>7434683.528266438</v>
      </c>
      <c r="F46" s="10">
        <f>(D46-x_DBT5)^2+(E46-y_DBT5)^2</f>
        <v>748560133.3950487</v>
      </c>
      <c r="G46" s="10">
        <f>(D46-x_CLP)^2+(E46-y_CLP)^2</f>
        <v>12434386.399865065</v>
      </c>
      <c r="H46" s="11">
        <f>(P_DBT5/F46+P_CLP/G46)/(1/F46+1/G46)</f>
        <v>78.73529963749453</v>
      </c>
      <c r="I46" s="11">
        <v>77</v>
      </c>
      <c r="J46" s="11">
        <f>4.2*I46/(10-0.058*I46)</f>
        <v>58.438742320202394</v>
      </c>
      <c r="K46" s="11">
        <f>25.4*(1000/J46-10)</f>
        <v>180.64316635745197</v>
      </c>
      <c r="L46" t="inlineStr">
        <is>
          <t>Área Urbana</t>
        </is>
      </c>
      <c r="M46" s="11">
        <f>IFERROR(VLOOKUP(L46,Classes_K,2,FALSE),"")</f>
        <v>0.0</v>
      </c>
      <c r="N46" t="inlineStr">
        <is>
          <t>Área Urbanizada</t>
        </is>
      </c>
      <c r="O46" s="11">
        <f>IFERROR(VLOOKUP(N46,Classes_C,2,FALSE),"")</f>
        <v>0.0</v>
      </c>
      <c r="P46" s="12">
        <v>0.4458932876586914</v>
      </c>
      <c r="Q46">
        <f>IF(COUNT(M46,O46,P46)=3,1,0)</f>
        <v>1</v>
      </c>
      <c r="R46" s="12">
        <f>IF(H46&lt;=p_lambda*K46,0,(H46-p_lambda*K46)^2/(H46+(1-p_lambda)*K46))</f>
        <v>19.40722815089523</v>
      </c>
      <c r="S46" s="13">
        <f>R46/1000*A_pixel*RI_mmh/R_evento_mm/3600</f>
        <v>0.0007710957699992477</v>
      </c>
      <c r="T46" s="13">
        <f>IF(Q46=1,coef_W*MAX(R46*S46*A_pixel,0)^exp_M*M46*O46*fator_P*P46,"")</f>
        <v>0.0</v>
      </c>
      <c r="U46" s="13">
        <f>IF(Q46=1,c_pura*T46,"")</f>
        <v>0.0</v>
      </c>
      <c r="V46" s="12">
        <f>IF(Q46=1,MIN(fator_f*R46,H46),"")</f>
        <v>23.772351953352373</v>
      </c>
      <c r="W46" s="13">
        <f>IF(Q46=1,V46/1000*A_pixel*RI_mmh/R_evento_mm/3600,"")</f>
        <v>0.0009445326190653247</v>
      </c>
      <c r="X46" s="13">
        <f>IF(Q46=1,coef_W*MAX(V46*W46*A_pixel,0)^exp_M*M46*O46*fator_P*P46,"")</f>
        <v>0.0</v>
      </c>
      <c r="Y46" s="13">
        <f>IF(Q46=1,c_restr*X46,"")</f>
        <v>0.0</v>
      </c>
    </row>
    <row r="47">
      <c r="A47">
        <v>46</v>
      </c>
      <c r="B47">
        <v>12</v>
      </c>
      <c r="C47">
        <v>127</v>
      </c>
      <c r="D47" s="9">
        <f>X0_canto+(C47+0.5)*dx_pix</f>
        <v>322470.2714701923</v>
      </c>
      <c r="E47" s="9">
        <f>Y0_canto-(B47+0.5)*dy_pix</f>
        <v>7434683.528266438</v>
      </c>
      <c r="F47" s="10">
        <f>(D47-x_DBT5)^2+(E47-y_DBT5)^2</f>
        <v>746996638.179301</v>
      </c>
      <c r="G47" s="10">
        <f>(D47-x_CLP)^2+(E47-y_CLP)^2</f>
        <v>12589917.053748</v>
      </c>
      <c r="H47" s="11">
        <f>(P_DBT5/F47+P_CLP/G47)/(1/F47+1/G47)</f>
        <v>78.7314919239913</v>
      </c>
      <c r="I47" s="11">
        <v>77</v>
      </c>
      <c r="J47" s="11">
        <f>4.2*I47/(10-0.058*I47)</f>
        <v>58.438742320202394</v>
      </c>
      <c r="K47" s="11">
        <f>25.4*(1000/J47-10)</f>
        <v>180.64316635745197</v>
      </c>
      <c r="L47" t="inlineStr">
        <is>
          <t>Cambissolos Háplicos</t>
        </is>
      </c>
      <c r="M47" s="11">
        <f>IFERROR(VLOOKUP(L47,Classes_K,2,FALSE),"")</f>
        <v>0.04749999940395355</v>
      </c>
      <c r="N47" t="inlineStr">
        <is>
          <t>Área Urbanizada</t>
        </is>
      </c>
      <c r="O47" s="11">
        <f>IFERROR(VLOOKUP(N47,Classes_C,2,FALSE),"")</f>
        <v>0.0</v>
      </c>
      <c r="P47" s="12">
        <v>0.423201709985733</v>
      </c>
      <c r="Q47">
        <f>IF(COUNT(M47,O47,P47)=3,1,0)</f>
        <v>1</v>
      </c>
      <c r="R47" s="12">
        <f>IF(H47&lt;=p_lambda*K47,0,(H47-p_lambda*K47)^2/(H47+(1-p_lambda)*K47))</f>
        <v>19.40540302123672</v>
      </c>
      <c r="S47" s="13">
        <f>R47/1000*A_pixel*RI_mmh/R_evento_mm/3600</f>
        <v>0.0007710232532158908</v>
      </c>
      <c r="T47" s="13">
        <f>IF(Q47=1,coef_W*MAX(R47*S47*A_pixel,0)^exp_M*M47*O47*fator_P*P47,"")</f>
        <v>0.0</v>
      </c>
      <c r="U47" s="13">
        <f>IF(Q47=1,c_pura*T47,"")</f>
        <v>0.0</v>
      </c>
      <c r="V47" s="12">
        <f>IF(Q47=1,MIN(fator_f*R47,H47),"")</f>
        <v>23.770116310824484</v>
      </c>
      <c r="W47" s="13">
        <f>IF(Q47=1,V47/1000*A_pixel*RI_mmh/R_evento_mm/3600,"")</f>
        <v>0.0009444437916200511</v>
      </c>
      <c r="X47" s="13">
        <f>IF(Q47=1,coef_W*MAX(V47*W47*A_pixel,0)^exp_M*M47*O47*fator_P*P47,"")</f>
        <v>0.0</v>
      </c>
      <c r="Y47" s="13">
        <f>IF(Q47=1,c_restr*X47,"")</f>
        <v>0.0</v>
      </c>
    </row>
    <row r="48">
      <c r="A48">
        <v>47</v>
      </c>
      <c r="B48">
        <v>12</v>
      </c>
      <c r="C48">
        <v>128</v>
      </c>
      <c r="D48" s="9">
        <f>X0_canto+(C48+0.5)*dx_pix</f>
        <v>322500.2630456448</v>
      </c>
      <c r="E48" s="9">
        <f>Y0_canto-(B48+0.5)*dy_pix</f>
        <v>7434683.528266438</v>
      </c>
      <c r="F48" s="10">
        <f>(D48-x_DBT5)^2+(E48-y_DBT5)^2</f>
        <v>745434941.9527495</v>
      </c>
      <c r="G48" s="10">
        <f>(D48-x_CLP)^2+(E48-y_CLP)^2</f>
        <v>12747246.69682718</v>
      </c>
      <c r="H48" s="11">
        <f>(P_DBT5/F48+P_CLP/G48)/(1/F48+1/G48)</f>
        <v>78.72763292191709</v>
      </c>
      <c r="I48" s="11">
        <v>77</v>
      </c>
      <c r="J48" s="11">
        <f>4.2*I48/(10-0.058*I48)</f>
        <v>58.438742320202394</v>
      </c>
      <c r="K48" s="11">
        <f>25.4*(1000/J48-10)</f>
        <v>180.64316635745197</v>
      </c>
      <c r="L48" t="inlineStr">
        <is>
          <t>Cambissolos Háplicos</t>
        </is>
      </c>
      <c r="M48" s="11">
        <f>IFERROR(VLOOKUP(L48,Classes_K,2,FALSE),"")</f>
        <v>0.04749999940395355</v>
      </c>
      <c r="N48" t="inlineStr">
        <is>
          <t>Área Urbanizada</t>
        </is>
      </c>
      <c r="O48" s="11">
        <f>IFERROR(VLOOKUP(N48,Classes_C,2,FALSE),"")</f>
        <v>0.0</v>
      </c>
      <c r="P48" s="12">
        <v>0.3350447118282318</v>
      </c>
      <c r="Q48">
        <f>IF(COUNT(M48,O48,P48)=3,1,0)</f>
        <v>1</v>
      </c>
      <c r="R48" s="12">
        <f>IF(H48&lt;=p_lambda*K48,0,(H48-p_lambda*K48)^2/(H48+(1-p_lambda)*K48))</f>
        <v>19.403553369254396</v>
      </c>
      <c r="S48" s="13">
        <f>R48/1000*A_pixel*RI_mmh/R_evento_mm/3600</f>
        <v>0.0007709497621017321</v>
      </c>
      <c r="T48" s="13">
        <f>IF(Q48=1,coef_W*MAX(R48*S48*A_pixel,0)^exp_M*M48*O48*fator_P*P48,"")</f>
        <v>0.0</v>
      </c>
      <c r="U48" s="13">
        <f>IF(Q48=1,c_pura*T48,"")</f>
        <v>0.0</v>
      </c>
      <c r="V48" s="12">
        <f>IF(Q48=1,MIN(fator_f*R48,H48),"")</f>
        <v>23.767850630348473</v>
      </c>
      <c r="W48" s="13">
        <f>IF(Q48=1,V48/1000*A_pixel*RI_mmh/R_evento_mm/3600,"")</f>
        <v>0.0009443537706949793</v>
      </c>
      <c r="X48" s="13">
        <f>IF(Q48=1,coef_W*MAX(V48*W48*A_pixel,0)^exp_M*M48*O48*fator_P*P48,"")</f>
        <v>0.0</v>
      </c>
      <c r="Y48" s="13">
        <f>IF(Q48=1,c_restr*X48,"")</f>
        <v>0.0</v>
      </c>
    </row>
    <row r="49">
      <c r="A49">
        <v>48</v>
      </c>
      <c r="B49">
        <v>12</v>
      </c>
      <c r="C49">
        <v>129</v>
      </c>
      <c r="D49" s="9">
        <f>X0_canto+(C49+0.5)*dx_pix</f>
        <v>322530.2546210973</v>
      </c>
      <c r="E49" s="9">
        <f>Y0_canto-(B49+0.5)*dy_pix</f>
        <v>7434683.528266438</v>
      </c>
      <c r="F49" s="10">
        <f>(D49-x_DBT5)^2+(E49-y_DBT5)^2</f>
        <v>743875044.7153943</v>
      </c>
      <c r="G49" s="10">
        <f>(D49-x_CLP)^2+(E49-y_CLP)^2</f>
        <v>12906375.32910261</v>
      </c>
      <c r="H49" s="11">
        <f>(P_DBT5/F49+P_CLP/G49)/(1/F49+1/G49)</f>
        <v>78.72372240078256</v>
      </c>
      <c r="I49" s="11">
        <v>77</v>
      </c>
      <c r="J49" s="11">
        <f>4.2*I49/(10-0.058*I49)</f>
        <v>58.438742320202394</v>
      </c>
      <c r="K49" s="11">
        <f>25.4*(1000/J49-10)</f>
        <v>180.64316635745197</v>
      </c>
      <c r="L49" t="inlineStr">
        <is>
          <t>Cambissolos Háplicos</t>
        </is>
      </c>
      <c r="M49" s="11">
        <f>IFERROR(VLOOKUP(L49,Classes_K,2,FALSE),"")</f>
        <v>0.04749999940395355</v>
      </c>
      <c r="N49" t="inlineStr">
        <is>
          <t>Área Urbanizada</t>
        </is>
      </c>
      <c r="O49" s="11">
        <f>IFERROR(VLOOKUP(N49,Classes_C,2,FALSE),"")</f>
        <v>0.0</v>
      </c>
      <c r="P49" s="12">
        <v>0.3083626627922058</v>
      </c>
      <c r="Q49">
        <f>IF(COUNT(M49,O49,P49)=3,1,0)</f>
        <v>1</v>
      </c>
      <c r="R49" s="12">
        <f>IF(H49&lt;=p_lambda*K49,0,(H49-p_lambda*K49)^2/(H49+(1-p_lambda)*K49))</f>
        <v>19.401679086951244</v>
      </c>
      <c r="S49" s="13">
        <f>R49/1000*A_pixel*RI_mmh/R_evento_mm/3600</f>
        <v>0.000770875292365791</v>
      </c>
      <c r="T49" s="13">
        <f>IF(Q49=1,coef_W*MAX(R49*S49*A_pixel,0)^exp_M*M49*O49*fator_P*P49,"")</f>
        <v>0.0</v>
      </c>
      <c r="U49" s="13">
        <f>IF(Q49=1,c_pura*T49,"")</f>
        <v>0.0</v>
      </c>
      <c r="V49" s="12">
        <f>IF(Q49=1,MIN(fator_f*R49,H49),"")</f>
        <v>23.765554779636354</v>
      </c>
      <c r="W49" s="13">
        <f>IF(Q49=1,V49/1000*A_pixel*RI_mmh/R_evento_mm/3600,"")</f>
        <v>0.0009442625510339901</v>
      </c>
      <c r="X49" s="13">
        <f>IF(Q49=1,coef_W*MAX(V49*W49*A_pixel,0)^exp_M*M49*O49*fator_P*P49,"")</f>
        <v>0.0</v>
      </c>
      <c r="Y49" s="13">
        <f>IF(Q49=1,c_restr*X49,"")</f>
        <v>0.0</v>
      </c>
    </row>
    <row r="50">
      <c r="A50">
        <v>49</v>
      </c>
      <c r="B50">
        <v>12</v>
      </c>
      <c r="C50">
        <v>134</v>
      </c>
      <c r="D50" s="9">
        <f>X0_canto+(C50+0.5)*dx_pix</f>
        <v>322680.21249835973</v>
      </c>
      <c r="E50" s="9">
        <f>Y0_canto-(B50+0.5)*dy_pix</f>
        <v>7434683.528266438</v>
      </c>
      <c r="F50" s="10">
        <f>(D50-x_DBT5)^2+(E50-y_DBT5)^2</f>
        <v>736102543.3665645</v>
      </c>
      <c r="G50" s="10">
        <f>(D50-x_CLP)^2+(E50-y_CLP)^2</f>
        <v>13729003.328423109</v>
      </c>
      <c r="H50" s="11">
        <f>(P_DBT5/F50+P_CLP/G50)/(1/F50+1/G50)</f>
        <v>78.70338892580784</v>
      </c>
      <c r="I50" s="11">
        <v>85</v>
      </c>
      <c r="J50" s="11">
        <f>4.2*I50/(10-0.058*I50)</f>
        <v>70.41420118343196</v>
      </c>
      <c r="K50" s="11">
        <f>25.4*(1000/J50-10)</f>
        <v>106.72268907563023</v>
      </c>
      <c r="L50" t="inlineStr">
        <is>
          <t>Área Urbana</t>
        </is>
      </c>
      <c r="M50" s="11">
        <f>IFERROR(VLOOKUP(L50,Classes_K,2,FALSE),"")</f>
        <v>0.0</v>
      </c>
      <c r="N50" t="inlineStr">
        <is>
          <t>Campo</t>
        </is>
      </c>
      <c r="O50" s="11">
        <f>IFERROR(VLOOKUP(N50,Classes_C,2,FALSE),"")</f>
        <v>0.05000000074505806</v>
      </c>
      <c r="P50" s="12">
        <v>0.3039091527462006</v>
      </c>
      <c r="Q50">
        <f>IF(COUNT(M50,O50,P50)=3,1,0)</f>
        <v>1</v>
      </c>
      <c r="R50" s="12">
        <f>IF(H50&lt;=p_lambda*K50,0,(H50-p_lambda*K50)^2/(H50+(1-p_lambda)*K50))</f>
        <v>29.889253795777048</v>
      </c>
      <c r="S50" s="13">
        <f>R50/1000*A_pixel*RI_mmh/R_evento_mm/3600</f>
        <v>0.0011875718155709163</v>
      </c>
      <c r="T50" s="13">
        <f>IF(Q50=1,coef_W*MAX(R50*S50*A_pixel,0)^exp_M*M50*O50*fator_P*P50,"")</f>
        <v>0.0</v>
      </c>
      <c r="U50" s="13">
        <f>IF(Q50=1,c_pura*T50,"")</f>
        <v>0.0</v>
      </c>
      <c r="V50" s="12">
        <f>IF(Q50=1,MIN(fator_f*R50,H50),"")</f>
        <v>36.61202183700351</v>
      </c>
      <c r="W50" s="13">
        <f>IF(Q50=1,V50/1000*A_pixel*RI_mmh/R_evento_mm/3600,"")</f>
        <v>0.0014546835308024769</v>
      </c>
      <c r="X50" s="13">
        <f>IF(Q50=1,coef_W*MAX(V50*W50*A_pixel,0)^exp_M*M50*O50*fator_P*P50,"")</f>
        <v>0.0</v>
      </c>
      <c r="Y50" s="13">
        <f>IF(Q50=1,c_restr*X50,"")</f>
        <v>0.0</v>
      </c>
    </row>
    <row r="51">
      <c r="A51">
        <v>50</v>
      </c>
      <c r="B51">
        <v>12</v>
      </c>
      <c r="C51">
        <v>135</v>
      </c>
      <c r="D51" s="9">
        <f>X0_canto+(C51+0.5)*dx_pix</f>
        <v>322710.20407381223</v>
      </c>
      <c r="E51" s="9">
        <f>Y0_canto-(B51+0.5)*dy_pix</f>
        <v>7434683.528266438</v>
      </c>
      <c r="F51" s="10">
        <f>(D51-x_DBT5)^2+(E51-y_DBT5)^2</f>
        <v>734553440.0643867</v>
      </c>
      <c r="G51" s="10">
        <f>(D51-x_CLP)^2+(E51-y_CLP)^2</f>
        <v>13898925.895876009</v>
      </c>
      <c r="H51" s="11">
        <f>(P_DBT5/F51+P_CLP/G51)/(1/F51+1/G51)</f>
        <v>78.69916443724424</v>
      </c>
      <c r="I51" s="11">
        <v>85</v>
      </c>
      <c r="J51" s="11">
        <f>4.2*I51/(10-0.058*I51)</f>
        <v>70.41420118343196</v>
      </c>
      <c r="K51" s="11">
        <f>25.4*(1000/J51-10)</f>
        <v>106.72268907563023</v>
      </c>
      <c r="L51" t="inlineStr">
        <is>
          <t>Área Urbana</t>
        </is>
      </c>
      <c r="M51" s="11">
        <f>IFERROR(VLOOKUP(L51,Classes_K,2,FALSE),"")</f>
        <v>0.0</v>
      </c>
      <c r="N51" t="inlineStr">
        <is>
          <t>Campo</t>
        </is>
      </c>
      <c r="O51" s="11">
        <f>IFERROR(VLOOKUP(N51,Classes_C,2,FALSE),"")</f>
        <v>0.05000000074505806</v>
      </c>
      <c r="P51" s="12">
        <v>0.3734129667282104</v>
      </c>
      <c r="Q51">
        <f>IF(COUNT(M51,O51,P51)=3,1,0)</f>
        <v>1</v>
      </c>
      <c r="R51" s="12">
        <f>IF(H51&lt;=p_lambda*K51,0,(H51-p_lambda*K51)^2/(H51+(1-p_lambda)*K51))</f>
        <v>29.886512914377004</v>
      </c>
      <c r="S51" s="13">
        <f>R51/1000*A_pixel*RI_mmh/R_evento_mm/3600</f>
        <v>0.0011874629137722044</v>
      </c>
      <c r="T51" s="13">
        <f>IF(Q51=1,coef_W*MAX(R51*S51*A_pixel,0)^exp_M*M51*O51*fator_P*P51,"")</f>
        <v>0.0</v>
      </c>
      <c r="U51" s="13">
        <f>IF(Q51=1,c_pura*T51,"")</f>
        <v>0.0</v>
      </c>
      <c r="V51" s="12">
        <f>IF(Q51=1,MIN(fator_f*R51,H51),"")</f>
        <v>36.60866446949087</v>
      </c>
      <c r="W51" s="13">
        <f>IF(Q51=1,V51/1000*A_pixel*RI_mmh/R_evento_mm/3600,"")</f>
        <v>0.0014545501345303662</v>
      </c>
      <c r="X51" s="13">
        <f>IF(Q51=1,coef_W*MAX(V51*W51*A_pixel,0)^exp_M*M51*O51*fator_P*P51,"")</f>
        <v>0.0</v>
      </c>
      <c r="Y51" s="13">
        <f>IF(Q51=1,c_restr*X51,"")</f>
        <v>0.0</v>
      </c>
    </row>
    <row r="52">
      <c r="A52">
        <v>51</v>
      </c>
      <c r="B52">
        <v>12</v>
      </c>
      <c r="C52">
        <v>136</v>
      </c>
      <c r="D52" s="9">
        <f>X0_canto+(C52+0.5)*dx_pix</f>
        <v>322740.19564926473</v>
      </c>
      <c r="E52" s="9">
        <f>Y0_canto-(B52+0.5)*dy_pix</f>
        <v>7434683.528266438</v>
      </c>
      <c r="F52" s="10">
        <f>(D52-x_DBT5)^2+(E52-y_DBT5)^2</f>
        <v>733006135.7514052</v>
      </c>
      <c r="G52" s="10">
        <f>(D52-x_CLP)^2+(E52-y_CLP)^2</f>
        <v>14070647.452525154</v>
      </c>
      <c r="H52" s="11">
        <f>(P_DBT5/F52+P_CLP/G52)/(1/F52+1/G52)</f>
        <v>78.69488680998874</v>
      </c>
      <c r="I52" s="11">
        <v>85</v>
      </c>
      <c r="J52" s="11">
        <f>4.2*I52/(10-0.058*I52)</f>
        <v>70.41420118343196</v>
      </c>
      <c r="K52" s="11">
        <f>25.4*(1000/J52-10)</f>
        <v>106.72268907563023</v>
      </c>
      <c r="L52" t="inlineStr">
        <is>
          <t>Área Urbana</t>
        </is>
      </c>
      <c r="M52" s="11">
        <f>IFERROR(VLOOKUP(L52,Classes_K,2,FALSE),"")</f>
        <v>0.0</v>
      </c>
      <c r="N52" t="inlineStr">
        <is>
          <t>Campo</t>
        </is>
      </c>
      <c r="O52" s="11">
        <f>IFERROR(VLOOKUP(N52,Classes_C,2,FALSE),"")</f>
        <v>0.05000000074505806</v>
      </c>
      <c r="P52" s="12">
        <v>0.4520145058631897</v>
      </c>
      <c r="Q52">
        <f>IF(COUNT(M52,O52,P52)=3,1,0)</f>
        <v>1</v>
      </c>
      <c r="R52" s="12">
        <f>IF(H52&lt;=p_lambda*K52,0,(H52-p_lambda*K52)^2/(H52+(1-p_lambda)*K52))</f>
        <v>29.88373762710186</v>
      </c>
      <c r="S52" s="13">
        <f>R52/1000*A_pixel*RI_mmh/R_evento_mm/3600</f>
        <v>0.0011873526449454682</v>
      </c>
      <c r="T52" s="13">
        <f>IF(Q52=1,coef_W*MAX(R52*S52*A_pixel,0)^exp_M*M52*O52*fator_P*P52,"")</f>
        <v>0.0</v>
      </c>
      <c r="U52" s="13">
        <f>IF(Q52=1,c_pura*T52,"")</f>
        <v>0.0</v>
      </c>
      <c r="V52" s="12">
        <f>IF(Q52=1,MIN(fator_f*R52,H52),"")</f>
        <v>36.60526495744497</v>
      </c>
      <c r="W52" s="13">
        <f>IF(Q52=1,V52/1000*A_pixel*RI_mmh/R_evento_mm/3600,"")</f>
        <v>0.0014544150637547629</v>
      </c>
      <c r="X52" s="13">
        <f>IF(Q52=1,coef_W*MAX(V52*W52*A_pixel,0)^exp_M*M52*O52*fator_P*P52,"")</f>
        <v>0.0</v>
      </c>
      <c r="Y52" s="13">
        <f>IF(Q52=1,c_restr*X52,"")</f>
        <v>0.0</v>
      </c>
    </row>
    <row r="53">
      <c r="A53">
        <v>52</v>
      </c>
      <c r="B53">
        <v>12</v>
      </c>
      <c r="C53">
        <v>137</v>
      </c>
      <c r="D53" s="9">
        <f>X0_canto+(C53+0.5)*dx_pix</f>
        <v>322770.18722471717</v>
      </c>
      <c r="E53" s="9">
        <f>Y0_canto-(B53+0.5)*dy_pix</f>
        <v>7434683.528266438</v>
      </c>
      <c r="F53" s="10">
        <f>(D53-x_DBT5)^2+(E53-y_DBT5)^2</f>
        <v>731460630.4276229</v>
      </c>
      <c r="G53" s="10">
        <f>(D53-x_CLP)^2+(E53-y_CLP)^2</f>
        <v>14244167.998370206</v>
      </c>
      <c r="H53" s="11">
        <f>(P_DBT5/F53+P_CLP/G53)/(1/F53+1/G53)</f>
        <v>78.69055581188843</v>
      </c>
      <c r="I53" s="11">
        <v>85</v>
      </c>
      <c r="J53" s="11">
        <f>4.2*I53/(10-0.058*I53)</f>
        <v>70.41420118343196</v>
      </c>
      <c r="K53" s="11">
        <f>25.4*(1000/J53-10)</f>
        <v>106.72268907563023</v>
      </c>
      <c r="L53" t="inlineStr">
        <is>
          <t>Área Urbana</t>
        </is>
      </c>
      <c r="M53" s="11">
        <f>IFERROR(VLOOKUP(L53,Classes_K,2,FALSE),"")</f>
        <v>0.0</v>
      </c>
      <c r="N53" t="inlineStr">
        <is>
          <t>Campo</t>
        </is>
      </c>
      <c r="O53" s="11">
        <f>IFERROR(VLOOKUP(N53,Classes_C,2,FALSE),"")</f>
        <v>0.05000000074505806</v>
      </c>
      <c r="P53" s="12">
        <v>0.5047220587730408</v>
      </c>
      <c r="Q53">
        <f>IF(COUNT(M53,O53,P53)=3,1,0)</f>
        <v>1</v>
      </c>
      <c r="R53" s="12">
        <f>IF(H53&lt;=p_lambda*K53,0,(H53-p_lambda*K53)^2/(H53+(1-p_lambda)*K53))</f>
        <v>29.880927786003586</v>
      </c>
      <c r="S53" s="13">
        <f>R53/1000*A_pixel*RI_mmh/R_evento_mm/3600</f>
        <v>0.001187241003212378</v>
      </c>
      <c r="T53" s="13">
        <f>IF(Q53=1,coef_W*MAX(R53*S53*A_pixel,0)^exp_M*M53*O53*fator_P*P53,"")</f>
        <v>0.0</v>
      </c>
      <c r="U53" s="13">
        <f>IF(Q53=1,c_pura*T53,"")</f>
        <v>0.0</v>
      </c>
      <c r="V53" s="12">
        <f>IF(Q53=1,MIN(fator_f*R53,H53),"")</f>
        <v>36.60182311964095</v>
      </c>
      <c r="W53" s="13">
        <f>IF(Q53=1,V53/1000*A_pixel*RI_mmh/R_evento_mm/3600,"")</f>
        <v>0.0014542783112751676</v>
      </c>
      <c r="X53" s="13">
        <f>IF(Q53=1,coef_W*MAX(V53*W53*A_pixel,0)^exp_M*M53*O53*fator_P*P53,"")</f>
        <v>0.0</v>
      </c>
      <c r="Y53" s="13">
        <f>IF(Q53=1,c_restr*X53,"")</f>
        <v>0.0</v>
      </c>
    </row>
    <row r="54">
      <c r="A54">
        <v>53</v>
      </c>
      <c r="B54">
        <v>12</v>
      </c>
      <c r="C54">
        <v>138</v>
      </c>
      <c r="D54" s="9">
        <f>X0_canto+(C54+0.5)*dx_pix</f>
        <v>322800.17880016967</v>
      </c>
      <c r="E54" s="9">
        <f>Y0_canto-(B54+0.5)*dy_pix</f>
        <v>7434683.528266438</v>
      </c>
      <c r="F54" s="10">
        <f>(D54-x_DBT5)^2+(E54-y_DBT5)^2</f>
        <v>729916924.0930338</v>
      </c>
      <c r="G54" s="10">
        <f>(D54-x_CLP)^2+(E54-y_CLP)^2</f>
        <v>14419487.53341184</v>
      </c>
      <c r="H54" s="11">
        <f>(P_DBT5/F54+P_CLP/G54)/(1/F54+1/G54)</f>
        <v>78.68617121062432</v>
      </c>
      <c r="I54" s="11">
        <v>77</v>
      </c>
      <c r="J54" s="11">
        <f>4.2*I54/(10-0.058*I54)</f>
        <v>58.438742320202394</v>
      </c>
      <c r="K54" s="11">
        <f>25.4*(1000/J54-10)</f>
        <v>180.64316635745197</v>
      </c>
      <c r="L54" t="inlineStr">
        <is>
          <t>Cambissolos Háplicos</t>
        </is>
      </c>
      <c r="M54" s="11">
        <f>IFERROR(VLOOKUP(L54,Classes_K,2,FALSE),"")</f>
        <v>0.04749999940395355</v>
      </c>
      <c r="N54" t="inlineStr">
        <is>
          <t>Campo</t>
        </is>
      </c>
      <c r="O54" s="11">
        <f>IFERROR(VLOOKUP(N54,Classes_C,2,FALSE),"")</f>
        <v>0.05000000074505806</v>
      </c>
      <c r="P54" s="12">
        <v>0.5449180006980896</v>
      </c>
      <c r="Q54">
        <f>IF(COUNT(M54,O54,P54)=3,1,0)</f>
        <v>1</v>
      </c>
      <c r="R54" s="12">
        <f>IF(H54&lt;=p_lambda*K54,0,(H54-p_lambda*K54)^2/(H54+(1-p_lambda)*K54))</f>
        <v>19.38368433314925</v>
      </c>
      <c r="S54" s="13">
        <f>R54/1000*A_pixel*RI_mmh/R_evento_mm/3600</f>
        <v>0.0007701603175929379</v>
      </c>
      <c r="T54" s="13">
        <f>IF(Q54=1,coef_W*MAX(R54*S54*A_pixel,0)^exp_M*M54*O54*fator_P*P54,"")</f>
        <v>0.06531652859581503</v>
      </c>
      <c r="U54" s="13">
        <f>IF(Q54=1,c_pura*T54,"")</f>
        <v>0.006969649565223325</v>
      </c>
      <c r="V54" s="12">
        <f>IF(Q54=1,MIN(fator_f*R54,H54),"")</f>
        <v>23.743512599404905</v>
      </c>
      <c r="W54" s="13">
        <f>IF(Q54=1,V54/1000*A_pixel*RI_mmh/R_evento_mm/3600,"")</f>
        <v>0.0009433867622914722</v>
      </c>
      <c r="X54" s="13">
        <f>IF(Q54=1,coef_W*MAX(V54*W54*A_pixel,0)^exp_M*M54*O54*fator_P*P54,"")</f>
        <v>0.08197940687228211</v>
      </c>
      <c r="Y54" s="13">
        <f>IF(Q54=1,c_restr*X54,"")</f>
        <v>0.011342811796819776</v>
      </c>
    </row>
    <row r="55">
      <c r="A55">
        <v>54</v>
      </c>
      <c r="B55">
        <v>12</v>
      </c>
      <c r="C55">
        <v>139</v>
      </c>
      <c r="D55" s="9">
        <f>X0_canto+(C55+0.5)*dx_pix</f>
        <v>322830.17037562217</v>
      </c>
      <c r="E55" s="9">
        <f>Y0_canto-(B55+0.5)*dy_pix</f>
        <v>7434683.528266438</v>
      </c>
      <c r="F55" s="10">
        <f>(D55-x_DBT5)^2+(E55-y_DBT5)^2</f>
        <v>728375016.747641</v>
      </c>
      <c r="G55" s="10">
        <f>(D55-x_CLP)^2+(E55-y_CLP)^2</f>
        <v>14596606.05764972</v>
      </c>
      <c r="H55" s="11">
        <f>(P_DBT5/F55+P_CLP/G55)/(1/F55+1/G55)</f>
        <v>78.68173277372122</v>
      </c>
      <c r="I55" s="11">
        <v>77</v>
      </c>
      <c r="J55" s="11">
        <f>4.2*I55/(10-0.058*I55)</f>
        <v>58.438742320202394</v>
      </c>
      <c r="K55" s="11">
        <f>25.4*(1000/J55-10)</f>
        <v>180.64316635745197</v>
      </c>
      <c r="L55" t="inlineStr">
        <is>
          <t>Cambissolos Háplicos</t>
        </is>
      </c>
      <c r="M55" s="11">
        <f>IFERROR(VLOOKUP(L55,Classes_K,2,FALSE),"")</f>
        <v>0.04749999940395355</v>
      </c>
      <c r="N55" t="inlineStr">
        <is>
          <t>Mata Nativa</t>
        </is>
      </c>
      <c r="O55" s="11">
        <f>IFERROR(VLOOKUP(N55,Classes_C,2,FALSE),"")</f>
        <v>0.014999999664723873</v>
      </c>
      <c r="P55" s="12">
        <v>0.6676701307296753</v>
      </c>
      <c r="Q55">
        <f>IF(COUNT(M55,O55,P55)=3,1,0)</f>
        <v>1</v>
      </c>
      <c r="R55" s="12">
        <f>IF(H55&lt;=p_lambda*K55,0,(H55-p_lambda*K55)^2/(H55+(1-p_lambda)*K55))</f>
        <v>19.38155779555479</v>
      </c>
      <c r="S55" s="13">
        <f>R55/1000*A_pixel*RI_mmh/R_evento_mm/3600</f>
        <v>0.0007700758251486236</v>
      </c>
      <c r="T55" s="13">
        <f>IF(Q55=1,coef_W*MAX(R55*S55*A_pixel,0)^exp_M*M55*O55*fator_P*P55,"")</f>
        <v>0.02400610830459972</v>
      </c>
      <c r="U55" s="13">
        <f>IF(Q55=1,c_pura*T55,"")</f>
        <v>0.0025615899360361544</v>
      </c>
      <c r="V55" s="12">
        <f>IF(Q55=1,MIN(fator_f*R55,H55),"")</f>
        <v>23.74090775549085</v>
      </c>
      <c r="W55" s="13">
        <f>IF(Q55=1,V55/1000*A_pixel*RI_mmh/R_evento_mm/3600,"")</f>
        <v>0.0009432832655886963</v>
      </c>
      <c r="X55" s="13">
        <f>IF(Q55=1,coef_W*MAX(V55*W55*A_pixel,0)^exp_M*M55*O55*fator_P*P55,"")</f>
        <v>0.03013029875333799</v>
      </c>
      <c r="Y55" s="13">
        <f>IF(Q55=1,c_restr*X55,"")</f>
        <v>0.0041688799807189005</v>
      </c>
    </row>
    <row r="56">
      <c r="A56">
        <v>55</v>
      </c>
      <c r="B56">
        <v>12</v>
      </c>
      <c r="C56">
        <v>140</v>
      </c>
      <c r="D56" s="9">
        <f>X0_canto+(C56+0.5)*dx_pix</f>
        <v>322860.16195107467</v>
      </c>
      <c r="E56" s="9">
        <f>Y0_canto-(B56+0.5)*dy_pix</f>
        <v>7434683.528266438</v>
      </c>
      <c r="F56" s="10">
        <f>(D56-x_DBT5)^2+(E56-y_DBT5)^2</f>
        <v>726834908.3914444</v>
      </c>
      <c r="G56" s="10">
        <f>(D56-x_CLP)^2+(E56-y_CLP)^2</f>
        <v>14775523.571083846</v>
      </c>
      <c r="H56" s="11">
        <f>(P_DBT5/F56+P_CLP/G56)/(1/F56+1/G56)</f>
        <v>78.67724026855751</v>
      </c>
      <c r="I56" s="11">
        <v>77</v>
      </c>
      <c r="J56" s="11">
        <f>4.2*I56/(10-0.058*I56)</f>
        <v>58.438742320202394</v>
      </c>
      <c r="K56" s="11">
        <f>25.4*(1000/J56-10)</f>
        <v>180.64316635745197</v>
      </c>
      <c r="L56" t="inlineStr">
        <is>
          <t>Cambissolos Háplicos</t>
        </is>
      </c>
      <c r="M56" s="11">
        <f>IFERROR(VLOOKUP(L56,Classes_K,2,FALSE),"")</f>
        <v>0.04749999940395355</v>
      </c>
      <c r="N56" t="inlineStr">
        <is>
          <t>Mata Nativa</t>
        </is>
      </c>
      <c r="O56" s="11">
        <f>IFERROR(VLOOKUP(N56,Classes_C,2,FALSE),"")</f>
        <v>0.014999999664723873</v>
      </c>
      <c r="P56" s="12">
        <v>0.6971870064735413</v>
      </c>
      <c r="Q56">
        <f>IF(COUNT(M56,O56,P56)=3,1,0)</f>
        <v>1</v>
      </c>
      <c r="R56" s="12">
        <f>IF(H56&lt;=p_lambda*K56,0,(H56-p_lambda*K56)^2/(H56+(1-p_lambda)*K56))</f>
        <v>19.379405436351565</v>
      </c>
      <c r="S56" s="13">
        <f>R56/1000*A_pixel*RI_mmh/R_evento_mm/3600</f>
        <v>0.0007699903067497972</v>
      </c>
      <c r="T56" s="13">
        <f>IF(Q56=1,coef_W*MAX(R56*S56*A_pixel,0)^exp_M*M56*O56*fator_P*P56,"")</f>
        <v>0.0250642710284781</v>
      </c>
      <c r="U56" s="13">
        <f>IF(Q56=1,c_pura*T56,"")</f>
        <v>0.0026745019894928203</v>
      </c>
      <c r="V56" s="12">
        <f>IF(Q56=1,MIN(fator_f*R56,H56),"")</f>
        <v>23.738271282105195</v>
      </c>
      <c r="W56" s="13">
        <f>IF(Q56=1,V56/1000*A_pixel*RI_mmh/R_evento_mm/3600,"")</f>
        <v>0.0009431785121710735</v>
      </c>
      <c r="X56" s="13">
        <f>IF(Q56=1,coef_W*MAX(V56*W56*A_pixel,0)^exp_M*M56*O56*fator_P*P56,"")</f>
        <v>0.03145840902408906</v>
      </c>
      <c r="Y56" s="13">
        <f>IF(Q56=1,c_restr*X56,"")</f>
        <v>0.004352639603059449</v>
      </c>
    </row>
    <row r="57">
      <c r="A57">
        <v>56</v>
      </c>
      <c r="B57">
        <v>12</v>
      </c>
      <c r="C57">
        <v>141</v>
      </c>
      <c r="D57" s="9">
        <f>X0_canto+(C57+0.5)*dx_pix</f>
        <v>322890.15352652717</v>
      </c>
      <c r="E57" s="9">
        <f>Y0_canto-(B57+0.5)*dy_pix</f>
        <v>7434683.528266438</v>
      </c>
      <c r="F57" s="10">
        <f>(D57-x_DBT5)^2+(E57-y_DBT5)^2</f>
        <v>725296599.0244441</v>
      </c>
      <c r="G57" s="10">
        <f>(D57-x_CLP)^2+(E57-y_CLP)^2</f>
        <v>14956240.073714217</v>
      </c>
      <c r="H57" s="11">
        <f>(P_DBT5/F57+P_CLP/G57)/(1/F57+1/G57)</f>
        <v>78.67269346237505</v>
      </c>
      <c r="I57" s="11">
        <v>77</v>
      </c>
      <c r="J57" s="11">
        <f>4.2*I57/(10-0.058*I57)</f>
        <v>58.438742320202394</v>
      </c>
      <c r="K57" s="11">
        <f>25.4*(1000/J57-10)</f>
        <v>180.64316635745197</v>
      </c>
      <c r="L57" t="inlineStr">
        <is>
          <t>Cambissolos Háplicos</t>
        </is>
      </c>
      <c r="M57" s="11">
        <f>IFERROR(VLOOKUP(L57,Classes_K,2,FALSE),"")</f>
        <v>0.04749999940395355</v>
      </c>
      <c r="N57" t="inlineStr">
        <is>
          <t>Mata Nativa</t>
        </is>
      </c>
      <c r="O57" s="11">
        <f>IFERROR(VLOOKUP(N57,Classes_C,2,FALSE),"")</f>
        <v>0.014999999664723873</v>
      </c>
      <c r="P57" s="12">
        <v>0.4530726969242096</v>
      </c>
      <c r="Q57">
        <f>IF(COUNT(M57,O57,P57)=3,1,0)</f>
        <v>1</v>
      </c>
      <c r="R57" s="12">
        <f>IF(H57&lt;=p_lambda*K57,0,(H57-p_lambda*K57)^2/(H57+(1-p_lambda)*K57))</f>
        <v>19.377227147069384</v>
      </c>
      <c r="S57" s="13">
        <f>R57/1000*A_pixel*RI_mmh/R_evento_mm/3600</f>
        <v>0.0007699037580866774</v>
      </c>
      <c r="T57" s="13">
        <f>IF(Q57=1,coef_W*MAX(R57*S57*A_pixel,0)^exp_M*M57*O57*fator_P*P57,"")</f>
        <v>0.016286171673300855</v>
      </c>
      <c r="U57" s="13">
        <f>IF(Q57=1,c_pura*T57,"")</f>
        <v>0.0017378282612717799</v>
      </c>
      <c r="V57" s="12">
        <f>IF(Q57=1,MIN(fator_f*R57,H57),"")</f>
        <v>23.735603046380362</v>
      </c>
      <c r="W57" s="13">
        <f>IF(Q57=1,V57/1000*A_pixel*RI_mmh/R_evento_mm/3600,"")</f>
        <v>0.0009430724967594555</v>
      </c>
      <c r="X57" s="13">
        <f>IF(Q57=1,coef_W*MAX(V57*W57*A_pixel,0)^exp_M*M57*O57*fator_P*P57,"")</f>
        <v>0.02044093160950551</v>
      </c>
      <c r="Y57" s="13">
        <f>IF(Q57=1,c_restr*X57,"")</f>
        <v>0.002828242470203554</v>
      </c>
    </row>
    <row r="58">
      <c r="A58">
        <v>57</v>
      </c>
      <c r="B58">
        <v>12</v>
      </c>
      <c r="C58">
        <v>142</v>
      </c>
      <c r="D58" s="9">
        <f>X0_canto+(C58+0.5)*dx_pix</f>
        <v>322920.14510197967</v>
      </c>
      <c r="E58" s="9">
        <f>Y0_canto-(B58+0.5)*dy_pix</f>
        <v>7434683.528266438</v>
      </c>
      <c r="F58" s="10">
        <f>(D58-x_DBT5)^2+(E58-y_DBT5)^2</f>
        <v>723760088.64664</v>
      </c>
      <c r="G58" s="10">
        <f>(D58-x_CLP)^2+(E58-y_CLP)^2</f>
        <v>15138755.565540833</v>
      </c>
      <c r="H58" s="11">
        <f>(P_DBT5/F58+P_CLP/G58)/(1/F58+1/G58)</f>
        <v>78.66809212228934</v>
      </c>
      <c r="I58" s="11">
        <v>77</v>
      </c>
      <c r="J58" s="11">
        <f>4.2*I58/(10-0.058*I58)</f>
        <v>58.438742320202394</v>
      </c>
      <c r="K58" s="11">
        <f>25.4*(1000/J58-10)</f>
        <v>180.64316635745197</v>
      </c>
      <c r="L58" t="inlineStr">
        <is>
          <t>Cambissolos Háplicos</t>
        </is>
      </c>
      <c r="M58" s="11">
        <f>IFERROR(VLOOKUP(L58,Classes_K,2,FALSE),"")</f>
        <v>0.04749999940395355</v>
      </c>
      <c r="N58" t="inlineStr">
        <is>
          <t>Mata Nativa</t>
        </is>
      </c>
      <c r="O58" s="11">
        <f>IFERROR(VLOOKUP(N58,Classes_C,2,FALSE),"")</f>
        <v>0.014999999664723873</v>
      </c>
      <c r="P58" s="12">
        <v>0.4481876194477081</v>
      </c>
      <c r="Q58">
        <f>IF(COUNT(M58,O58,P58)=3,1,0)</f>
        <v>1</v>
      </c>
      <c r="R58" s="12">
        <f>IF(H58&lt;=p_lambda*K58,0,(H58-p_lambda*K58)^2/(H58+(1-p_lambda)*K58))</f>
        <v>19.375022819232207</v>
      </c>
      <c r="S58" s="13">
        <f>R58/1000*A_pixel*RI_mmh/R_evento_mm/3600</f>
        <v>0.0007698161748492503</v>
      </c>
      <c r="T58" s="13">
        <f>IF(Q58=1,coef_W*MAX(R58*S58*A_pixel,0)^exp_M*M58*O58*fator_P*P58,"")</f>
        <v>0.016108519827601336</v>
      </c>
      <c r="U58" s="13">
        <f>IF(Q58=1,c_pura*T58,"")</f>
        <v>0.0017188717867658752</v>
      </c>
      <c r="V58" s="12">
        <f>IF(Q58=1,MIN(fator_f*R58,H58),"")</f>
        <v>23.732902915441596</v>
      </c>
      <c r="W58" s="13">
        <f>IF(Q58=1,V58/1000*A_pixel*RI_mmh/R_evento_mm/3600,"")</f>
        <v>0.0009429652140744096</v>
      </c>
      <c r="X58" s="13">
        <f>IF(Q58=1,coef_W*MAX(V58*W58*A_pixel,0)^exp_M*M58*O58*fator_P*P58,"")</f>
        <v>0.020217959059474037</v>
      </c>
      <c r="Y58" s="13">
        <f>IF(Q58=1,c_restr*X58,"")</f>
        <v>0.0027973916045123176</v>
      </c>
    </row>
    <row r="59">
      <c r="A59">
        <v>58</v>
      </c>
      <c r="B59">
        <v>12</v>
      </c>
      <c r="C59">
        <v>143</v>
      </c>
      <c r="D59" s="9">
        <f>X0_canto+(C59+0.5)*dx_pix</f>
        <v>322950.1366774321</v>
      </c>
      <c r="E59" s="9">
        <f>Y0_canto-(B59+0.5)*dy_pix</f>
        <v>7434683.528266438</v>
      </c>
      <c r="F59" s="10">
        <f>(D59-x_DBT5)^2+(E59-y_DBT5)^2</f>
        <v>722225377.2580352</v>
      </c>
      <c r="G59" s="10">
        <f>(D59-x_CLP)^2+(E59-y_CLP)^2</f>
        <v>15323070.046563338</v>
      </c>
      <c r="H59" s="11">
        <f>(P_DBT5/F59+P_CLP/G59)/(1/F59+1/G59)</f>
        <v>78.6634360152997</v>
      </c>
      <c r="I59" s="11">
        <v>77</v>
      </c>
      <c r="J59" s="11">
        <f>4.2*I59/(10-0.058*I59)</f>
        <v>58.438742320202394</v>
      </c>
      <c r="K59" s="11">
        <f>25.4*(1000/J59-10)</f>
        <v>180.64316635745197</v>
      </c>
      <c r="L59" t="inlineStr">
        <is>
          <t>Cambissolos Háplicos</t>
        </is>
      </c>
      <c r="M59" s="11">
        <f>IFERROR(VLOOKUP(L59,Classes_K,2,FALSE),"")</f>
        <v>0.04749999940395355</v>
      </c>
      <c r="N59" t="inlineStr">
        <is>
          <t>Mata Nativa</t>
        </is>
      </c>
      <c r="O59" s="11">
        <f>IFERROR(VLOOKUP(N59,Classes_C,2,FALSE),"")</f>
        <v>0.014999999664723873</v>
      </c>
      <c r="P59" s="12">
        <v>0.4349288642406464</v>
      </c>
      <c r="Q59">
        <f>IF(COUNT(M59,O59,P59)=3,1,0)</f>
        <v>1</v>
      </c>
      <c r="R59" s="12">
        <f>IF(H59&lt;=p_lambda*K59,0,(H59-p_lambda*K59)^2/(H59+(1-p_lambda)*K59))</f>
        <v>19.372792344363564</v>
      </c>
      <c r="S59" s="13">
        <f>R59/1000*A_pixel*RI_mmh/R_evento_mm/3600</f>
        <v>0.0007697275527274858</v>
      </c>
      <c r="T59" s="13">
        <f>IF(Q59=1,coef_W*MAX(R59*S59*A_pixel,0)^exp_M*M59*O59*fator_P*P59,"")</f>
        <v>0.015629965229535654</v>
      </c>
      <c r="U59" s="13">
        <f>IF(Q59=1,c_pura*T59,"")</f>
        <v>0.0016678072565765318</v>
      </c>
      <c r="V59" s="12">
        <f>IF(Q59=1,MIN(fator_f*R59,H59),"")</f>
        <v>23.730170756413617</v>
      </c>
      <c r="W59" s="13">
        <f>IF(Q59=1,V59/1000*A_pixel*RI_mmh/R_evento_mm/3600,"")</f>
        <v>0.0009428566588364818</v>
      </c>
      <c r="X59" s="13">
        <f>IF(Q59=1,coef_W*MAX(V59*W59*A_pixel,0)^exp_M*M59*O59*fator_P*P59,"")</f>
        <v>0.01961732055420078</v>
      </c>
      <c r="Y59" s="13">
        <f>IF(Q59=1,c_restr*X59,"")</f>
        <v>0.002714286227403994</v>
      </c>
    </row>
    <row r="60">
      <c r="A60">
        <v>59</v>
      </c>
      <c r="B60">
        <v>12</v>
      </c>
      <c r="C60">
        <v>144</v>
      </c>
      <c r="D60" s="9">
        <f>X0_canto+(C60+0.5)*dx_pix</f>
        <v>322980.1282528846</v>
      </c>
      <c r="E60" s="9">
        <f>Y0_canto-(B60+0.5)*dy_pix</f>
        <v>7434683.528266438</v>
      </c>
      <c r="F60" s="10">
        <f>(D60-x_DBT5)^2+(E60-y_DBT5)^2</f>
        <v>720692464.8586235</v>
      </c>
      <c r="G60" s="10">
        <f>(D60-x_CLP)^2+(E60-y_CLP)^2</f>
        <v>15509183.516782444</v>
      </c>
      <c r="H60" s="11">
        <f>(P_DBT5/F60+P_CLP/G60)/(1/F60+1/G60)</f>
        <v>78.65872490829948</v>
      </c>
      <c r="I60" s="11">
        <v>85</v>
      </c>
      <c r="J60" s="11">
        <f>4.2*I60/(10-0.058*I60)</f>
        <v>70.41420118343196</v>
      </c>
      <c r="K60" s="11">
        <f>25.4*(1000/J60-10)</f>
        <v>106.72268907563023</v>
      </c>
      <c r="L60" t="inlineStr">
        <is>
          <t>Cambissolos Háplicos</t>
        </is>
      </c>
      <c r="M60" s="11">
        <f>IFERROR(VLOOKUP(L60,Classes_K,2,FALSE),"")</f>
        <v>0.04749999940395355</v>
      </c>
      <c r="N60" t="inlineStr">
        <is>
          <t>Mata Nativa</t>
        </is>
      </c>
      <c r="O60" s="11">
        <f>IFERROR(VLOOKUP(N60,Classes_C,2,FALSE),"")</f>
        <v>0.014999999664723873</v>
      </c>
      <c r="P60" s="12">
        <v>0.3831203579902649</v>
      </c>
      <c r="Q60">
        <f>IF(COUNT(M60,O60,P60)=3,1,0)</f>
        <v>1</v>
      </c>
      <c r="R60" s="12">
        <f>IF(H60&lt;=p_lambda*K60,0,(H60-p_lambda*K60)^2/(H60+(1-p_lambda)*K60))</f>
        <v>29.860278953110434</v>
      </c>
      <c r="S60" s="13">
        <f>R60/1000*A_pixel*RI_mmh/R_evento_mm/3600</f>
        <v>0.001186420575504952</v>
      </c>
      <c r="T60" s="13">
        <f>IF(Q60=1,coef_W*MAX(R60*S60*A_pixel,0)^exp_M*M60*O60*fator_P*P60,"")</f>
        <v>0.022352435207948274</v>
      </c>
      <c r="U60" s="13">
        <f>IF(Q60=1,c_pura*T60,"")</f>
        <v>0.0023851334980276484</v>
      </c>
      <c r="V60" s="12">
        <f>IF(Q60=1,MIN(fator_f*R60,H60),"")</f>
        <v>36.5765298980049</v>
      </c>
      <c r="W60" s="13">
        <f>IF(Q60=1,V60/1000*A_pixel*RI_mmh/R_evento_mm/3600,"")</f>
        <v>0.0014532733508520938</v>
      </c>
      <c r="X60" s="13">
        <f>IF(Q60=1,coef_W*MAX(V60*W60*A_pixel,0)^exp_M*M60*O60*fator_P*P60,"")</f>
        <v>0.028054757653120644</v>
      </c>
      <c r="Y60" s="13">
        <f>IF(Q60=1,c_restr*X60,"")</f>
        <v>0.00388170454270912</v>
      </c>
    </row>
    <row r="61">
      <c r="A61">
        <v>60</v>
      </c>
      <c r="B61">
        <v>12</v>
      </c>
      <c r="C61">
        <v>145</v>
      </c>
      <c r="D61" s="9">
        <f>X0_canto+(C61+0.5)*dx_pix</f>
        <v>323010.1198283371</v>
      </c>
      <c r="E61" s="9">
        <f>Y0_canto-(B61+0.5)*dy_pix</f>
        <v>7434683.528266438</v>
      </c>
      <c r="F61" s="10">
        <f>(D61-x_DBT5)^2+(E61-y_DBT5)^2</f>
        <v>719161351.4484082</v>
      </c>
      <c r="G61" s="10">
        <f>(D61-x_CLP)^2+(E61-y_CLP)^2</f>
        <v>15697095.976197796</v>
      </c>
      <c r="H61" s="11">
        <f>(P_DBT5/F61+P_CLP/G61)/(1/F61+1/G61)</f>
        <v>78.65395856808665</v>
      </c>
      <c r="I61" s="11">
        <v>85</v>
      </c>
      <c r="J61" s="11">
        <f>4.2*I61/(10-0.058*I61)</f>
        <v>70.41420118343196</v>
      </c>
      <c r="K61" s="11">
        <f>25.4*(1000/J61-10)</f>
        <v>106.72268907563023</v>
      </c>
      <c r="L61" t="inlineStr">
        <is>
          <t>Área Urbana</t>
        </is>
      </c>
      <c r="M61" s="11">
        <f>IFERROR(VLOOKUP(L61,Classes_K,2,FALSE),"")</f>
        <v>0.0</v>
      </c>
      <c r="N61" t="inlineStr">
        <is>
          <t>Área Urbanizada</t>
        </is>
      </c>
      <c r="O61" s="11">
        <f>IFERROR(VLOOKUP(N61,Classes_C,2,FALSE),"")</f>
        <v>0.0</v>
      </c>
      <c r="P61" s="12">
        <v>0.3852424025535583</v>
      </c>
      <c r="Q61">
        <f>IF(COUNT(M61,O61,P61)=3,1,0)</f>
        <v>1</v>
      </c>
      <c r="R61" s="12">
        <f>IF(H61&lt;=p_lambda*K61,0,(H61-p_lambda*K61)^2/(H61+(1-p_lambda)*K61))</f>
        <v>29.857187349745264</v>
      </c>
      <c r="S61" s="13">
        <f>R61/1000*A_pixel*RI_mmh/R_evento_mm/3600</f>
        <v>0.0011862977386805037</v>
      </c>
      <c r="T61" s="13">
        <f>IF(Q61=1,coef_W*MAX(R61*S61*A_pixel,0)^exp_M*M61*O61*fator_P*P61,"")</f>
        <v>0.0</v>
      </c>
      <c r="U61" s="13">
        <f>IF(Q61=1,c_pura*T61,"")</f>
        <v>0.0</v>
      </c>
      <c r="V61" s="12">
        <f>IF(Q61=1,MIN(fator_f*R61,H61),"")</f>
        <v>36.5727429232383</v>
      </c>
      <c r="W61" s="13">
        <f>IF(Q61=1,V61/1000*A_pixel*RI_mmh/R_evento_mm/3600,"")</f>
        <v>0.0014531228852523229</v>
      </c>
      <c r="X61" s="13">
        <f>IF(Q61=1,coef_W*MAX(V61*W61*A_pixel,0)^exp_M*M61*O61*fator_P*P61,"")</f>
        <v>0.0</v>
      </c>
      <c r="Y61" s="13">
        <f>IF(Q61=1,c_restr*X61,"")</f>
        <v>0.0</v>
      </c>
    </row>
    <row r="62">
      <c r="A62">
        <v>61</v>
      </c>
      <c r="B62">
        <v>12</v>
      </c>
      <c r="C62">
        <v>154</v>
      </c>
      <c r="D62" s="9">
        <f>X0_canto+(C62+0.5)*dx_pix</f>
        <v>323280.0440074095</v>
      </c>
      <c r="E62" s="9">
        <f>Y0_canto-(B62+0.5)*dy_pix</f>
        <v>7434683.528266438</v>
      </c>
      <c r="F62" s="10">
        <f>(D62-x_DBT5)^2+(E62-y_DBT5)^2</f>
        <v>705462285.270307</v>
      </c>
      <c r="G62" s="10">
        <f>(D62-x_CLP)^2+(E62-y_CLP)^2</f>
        <v>17469262.62476623</v>
      </c>
      <c r="H62" s="11">
        <f>(P_DBT5/F62+P_CLP/G62)/(1/F62+1/G62)</f>
        <v>78.60853749983264</v>
      </c>
      <c r="I62" s="11">
        <v>65</v>
      </c>
      <c r="J62" s="11">
        <f>4.2*I62/(10-0.058*I62)</f>
        <v>43.82022471910112</v>
      </c>
      <c r="K62" s="11">
        <f>25.4*(1000/J62-10)</f>
        <v>325.64102564102564</v>
      </c>
      <c r="L62" t="inlineStr">
        <is>
          <t>Cambissolos Háplicos</t>
        </is>
      </c>
      <c r="M62" s="11">
        <f>IFERROR(VLOOKUP(L62,Classes_K,2,FALSE),"")</f>
        <v>0.04749999940395355</v>
      </c>
      <c r="N62" t="inlineStr">
        <is>
          <t>Mata Nativa</t>
        </is>
      </c>
      <c r="O62" s="11">
        <f>IFERROR(VLOOKUP(N62,Classes_C,2,FALSE),"")</f>
        <v>0.014999999664723873</v>
      </c>
      <c r="P62" s="12">
        <v>0.5354804992675781</v>
      </c>
      <c r="Q62">
        <f>IF(COUNT(M62,O62,P62)=3,1,0)</f>
        <v>1</v>
      </c>
      <c r="R62" s="12">
        <f>IF(H62&lt;=p_lambda*K62,0,(H62-p_lambda*K62)^2/(H62+(1-p_lambda)*K62))</f>
        <v>10.01267056007774</v>
      </c>
      <c r="S62" s="13">
        <f>R62/1000*A_pixel*RI_mmh/R_evento_mm/3600</f>
        <v>0.00039782744115963813</v>
      </c>
      <c r="T62" s="13">
        <f>IF(Q62=1,coef_W*MAX(R62*S62*A_pixel,0)^exp_M*M62*O62*fator_P*P62,"")</f>
        <v>0.009188488349698314</v>
      </c>
      <c r="U62" s="13">
        <f>IF(Q62=1,c_pura*T62,"")</f>
        <v>0.0009804645961487557</v>
      </c>
      <c r="V62" s="12">
        <f>IF(Q62=1,MIN(fator_f*R62,H62),"")</f>
        <v>12.264746242814594</v>
      </c>
      <c r="W62" s="13">
        <f>IF(Q62=1,V62/1000*A_pixel*RI_mmh/R_evento_mm/3600,"")</f>
        <v>0.0004873078151303254</v>
      </c>
      <c r="X62" s="13">
        <f>IF(Q62=1,coef_W*MAX(V62*W62*A_pixel,0)^exp_M*M62*O62*fator_P*P62,"")</f>
        <v>0.011532560611456093</v>
      </c>
      <c r="Y62" s="13">
        <f>IF(Q62=1,c_restr*X62,"")</f>
        <v>0.0015956649302788712</v>
      </c>
    </row>
    <row r="63">
      <c r="A63">
        <v>62</v>
      </c>
      <c r="B63">
        <v>12</v>
      </c>
      <c r="C63">
        <v>155</v>
      </c>
      <c r="D63" s="9">
        <f>X0_canto+(C63+0.5)*dx_pix</f>
        <v>323310.035582862</v>
      </c>
      <c r="E63" s="9">
        <f>Y0_canto-(B63+0.5)*dy_pix</f>
        <v>7434683.528266438</v>
      </c>
      <c r="F63" s="10">
        <f>(D63-x_DBT5)^2+(E63-y_DBT5)^2</f>
        <v>703949161.7520541</v>
      </c>
      <c r="G63" s="10">
        <f>(D63-x_CLP)^2+(E63-y_CLP)^2</f>
        <v>17675164.97614403</v>
      </c>
      <c r="H63" s="11">
        <f>(P_DBT5/F63+P_CLP/G63)/(1/F63+1/G63)</f>
        <v>78.60320598809638</v>
      </c>
      <c r="I63" s="11">
        <v>65</v>
      </c>
      <c r="J63" s="11">
        <f>4.2*I63/(10-0.058*I63)</f>
        <v>43.82022471910112</v>
      </c>
      <c r="K63" s="11">
        <f>25.4*(1000/J63-10)</f>
        <v>325.64102564102564</v>
      </c>
      <c r="L63" t="inlineStr">
        <is>
          <t>Cambissolos Háplicos</t>
        </is>
      </c>
      <c r="M63" s="11">
        <f>IFERROR(VLOOKUP(L63,Classes_K,2,FALSE),"")</f>
        <v>0.04749999940395355</v>
      </c>
      <c r="N63" t="inlineStr">
        <is>
          <t>Mata Nativa</t>
        </is>
      </c>
      <c r="O63" s="11">
        <f>IFERROR(VLOOKUP(N63,Classes_C,2,FALSE),"")</f>
        <v>0.014999999664723873</v>
      </c>
      <c r="P63" s="12">
        <v>0.5400150418281555</v>
      </c>
      <c r="Q63">
        <f>IF(COUNT(M63,O63,P63)=3,1,0)</f>
        <v>1</v>
      </c>
      <c r="R63" s="12">
        <f>IF(H63&lt;=p_lambda*K63,0,(H63-p_lambda*K63)^2/(H63+(1-p_lambda)*K63))</f>
        <v>10.01109520629111</v>
      </c>
      <c r="S63" s="13">
        <f>R63/1000*A_pixel*RI_mmh/R_evento_mm/3600</f>
        <v>0.0003977648485713675</v>
      </c>
      <c r="T63" s="13">
        <f>IF(Q63=1,coef_W*MAX(R63*S63*A_pixel,0)^exp_M*M63*O63*fator_P*P63,"")</f>
        <v>0.00926466521895681</v>
      </c>
      <c r="U63" s="13">
        <f>IF(Q63=1,c_pura*T63,"")</f>
        <v>0.000988593106575159</v>
      </c>
      <c r="V63" s="12">
        <f>IF(Q63=1,MIN(fator_f*R63,H63),"")</f>
        <v>12.262816556391801</v>
      </c>
      <c r="W63" s="13">
        <f>IF(Q63=1,V63/1000*A_pixel*RI_mmh/R_evento_mm/3600,"")</f>
        <v>0.00048723114405568917</v>
      </c>
      <c r="X63" s="13">
        <f>IF(Q63=1,coef_W*MAX(V63*W63*A_pixel,0)^exp_M*M63*O63*fator_P*P63,"")</f>
        <v>0.01162817093695032</v>
      </c>
      <c r="Y63" s="13">
        <f>IF(Q63=1,c_restr*X63,"")</f>
        <v>0.0016088937394309459</v>
      </c>
    </row>
    <row r="64">
      <c r="A64">
        <v>63</v>
      </c>
      <c r="B64">
        <v>12</v>
      </c>
      <c r="C64">
        <v>156</v>
      </c>
      <c r="D64" s="9">
        <f>X0_canto+(C64+0.5)*dx_pix</f>
        <v>323340.0271583145</v>
      </c>
      <c r="E64" s="9">
        <f>Y0_canto-(B64+0.5)*dy_pix</f>
        <v>7434683.528266438</v>
      </c>
      <c r="F64" s="10">
        <f>(D64-x_DBT5)^2+(E64-y_DBT5)^2</f>
        <v>702437837.2229974</v>
      </c>
      <c r="G64" s="10">
        <f>(D64-x_CLP)^2+(E64-y_CLP)^2</f>
        <v>17882866.31671808</v>
      </c>
      <c r="H64" s="11">
        <f>(P_DBT5/F64+P_CLP/G64)/(1/F64+1/G64)</f>
        <v>78.59781667473536</v>
      </c>
      <c r="I64" s="11">
        <v>65</v>
      </c>
      <c r="J64" s="11">
        <f>4.2*I64/(10-0.058*I64)</f>
        <v>43.82022471910112</v>
      </c>
      <c r="K64" s="11">
        <f>25.4*(1000/J64-10)</f>
        <v>325.64102564102564</v>
      </c>
      <c r="L64" t="inlineStr">
        <is>
          <t>Área Urbana</t>
        </is>
      </c>
      <c r="M64" s="11">
        <f>IFERROR(VLOOKUP(L64,Classes_K,2,FALSE),"")</f>
        <v>0.0</v>
      </c>
      <c r="N64" t="inlineStr">
        <is>
          <t>Mata Nativa</t>
        </is>
      </c>
      <c r="O64" s="11">
        <f>IFERROR(VLOOKUP(N64,Classes_C,2,FALSE),"")</f>
        <v>0.014999999664723873</v>
      </c>
      <c r="P64" s="12">
        <v>0.640708327293396</v>
      </c>
      <c r="Q64">
        <f>IF(COUNT(M64,O64,P64)=3,1,0)</f>
        <v>1</v>
      </c>
      <c r="R64" s="12">
        <f>IF(H64&lt;=p_lambda*K64,0,(H64-p_lambda*K64)^2/(H64+(1-p_lambda)*K64))</f>
        <v>10.009502878217756</v>
      </c>
      <c r="S64" s="13">
        <f>R64/1000*A_pixel*RI_mmh/R_evento_mm/3600</f>
        <v>0.00039770158155393113</v>
      </c>
      <c r="T64" s="13">
        <f>IF(Q64=1,coef_W*MAX(R64*S64*A_pixel,0)^exp_M*M64*O64*fator_P*P64,"")</f>
        <v>0.0</v>
      </c>
      <c r="U64" s="13">
        <f>IF(Q64=1,c_pura*T64,"")</f>
        <v>0.0</v>
      </c>
      <c r="V64" s="12">
        <f>IF(Q64=1,MIN(fator_f*R64,H64),"")</f>
        <v>12.260866077781943</v>
      </c>
      <c r="W64" s="13">
        <f>IF(Q64=1,V64/1000*A_pixel*RI_mmh/R_evento_mm/3600,"")</f>
        <v>0.00048715364685753996</v>
      </c>
      <c r="X64" s="13">
        <f>IF(Q64=1,coef_W*MAX(V64*W64*A_pixel,0)^exp_M*M64*O64*fator_P*P64,"")</f>
        <v>0.0</v>
      </c>
      <c r="Y64" s="13">
        <f>IF(Q64=1,c_restr*X64,"")</f>
        <v>0.0</v>
      </c>
    </row>
    <row r="65">
      <c r="A65">
        <v>64</v>
      </c>
      <c r="B65">
        <v>12</v>
      </c>
      <c r="C65">
        <v>157</v>
      </c>
      <c r="D65" s="9">
        <f>X0_canto+(C65+0.5)*dx_pix</f>
        <v>323370.018733767</v>
      </c>
      <c r="E65" s="9">
        <f>Y0_canto-(B65+0.5)*dy_pix</f>
        <v>7434683.528266438</v>
      </c>
      <c r="F65" s="10">
        <f>(D65-x_DBT5)^2+(E65-y_DBT5)^2</f>
        <v>700928311.683137</v>
      </c>
      <c r="G65" s="10">
        <f>(D65-x_CLP)^2+(E65-y_CLP)^2</f>
        <v>18092366.646488376</v>
      </c>
      <c r="H65" s="11">
        <f>(P_DBT5/F65+P_CLP/G65)/(1/F65+1/G65)</f>
        <v>78.59236932626156</v>
      </c>
      <c r="I65" s="11">
        <v>65</v>
      </c>
      <c r="J65" s="11">
        <f>4.2*I65/(10-0.058*I65)</f>
        <v>43.82022471910112</v>
      </c>
      <c r="K65" s="11">
        <f>25.4*(1000/J65-10)</f>
        <v>325.64102564102564</v>
      </c>
      <c r="L65" t="inlineStr">
        <is>
          <t>Área Urbana</t>
        </is>
      </c>
      <c r="M65" s="11">
        <f>IFERROR(VLOOKUP(L65,Classes_K,2,FALSE),"")</f>
        <v>0.0</v>
      </c>
      <c r="N65" t="inlineStr">
        <is>
          <t>Mata Nativa</t>
        </is>
      </c>
      <c r="O65" s="11">
        <f>IFERROR(VLOOKUP(N65,Classes_C,2,FALSE),"")</f>
        <v>0.014999999664723873</v>
      </c>
      <c r="P65" s="12">
        <v>0.6251075863838196</v>
      </c>
      <c r="Q65">
        <f>IF(COUNT(M65,O65,P65)=3,1,0)</f>
        <v>1</v>
      </c>
      <c r="R65" s="12">
        <f>IF(H65&lt;=p_lambda*K65,0,(H65-p_lambda*K65)^2/(H65+(1-p_lambda)*K65))</f>
        <v>10.0078935102768</v>
      </c>
      <c r="S65" s="13">
        <f>R65/1000*A_pixel*RI_mmh/R_evento_mm/3600</f>
        <v>0.00039763763750164327</v>
      </c>
      <c r="T65" s="13">
        <f>IF(Q65=1,coef_W*MAX(R65*S65*A_pixel,0)^exp_M*M65*O65*fator_P*P65,"")</f>
        <v>0.0</v>
      </c>
      <c r="U65" s="13">
        <f>IF(Q65=1,c_pura*T65,"")</f>
        <v>0.0</v>
      </c>
      <c r="V65" s="12">
        <f>IF(Q65=1,MIN(fator_f*R65,H65),"")</f>
        <v>12.258894726653518</v>
      </c>
      <c r="W65" s="13">
        <f>IF(Q65=1,V65/1000*A_pixel*RI_mmh/R_evento_mm/3600,"")</f>
        <v>0.0004870753203441145</v>
      </c>
      <c r="X65" s="13">
        <f>IF(Q65=1,coef_W*MAX(V65*W65*A_pixel,0)^exp_M*M65*O65*fator_P*P65,"")</f>
        <v>0.0</v>
      </c>
      <c r="Y65" s="13">
        <f>IF(Q65=1,c_restr*X65,"")</f>
        <v>0.0</v>
      </c>
    </row>
    <row r="66">
      <c r="A66">
        <v>65</v>
      </c>
      <c r="B66">
        <v>12</v>
      </c>
      <c r="C66">
        <v>158</v>
      </c>
      <c r="D66" s="9">
        <f>X0_canto+(C66+0.5)*dx_pix</f>
        <v>323400.0103092195</v>
      </c>
      <c r="E66" s="9">
        <f>Y0_canto-(B66+0.5)*dy_pix</f>
        <v>7434683.528266438</v>
      </c>
      <c r="F66" s="10">
        <f>(D66-x_DBT5)^2+(E66-y_DBT5)^2</f>
        <v>699420585.1324729</v>
      </c>
      <c r="G66" s="10">
        <f>(D66-x_CLP)^2+(E66-y_CLP)^2</f>
        <v>18303665.965454917</v>
      </c>
      <c r="H66" s="11">
        <f>(P_DBT5/F66+P_CLP/G66)/(1/F66+1/G66)</f>
        <v>78.58686370923847</v>
      </c>
      <c r="I66" s="11">
        <v>77</v>
      </c>
      <c r="J66" s="11">
        <f>4.2*I66/(10-0.058*I66)</f>
        <v>58.438742320202394</v>
      </c>
      <c r="K66" s="11">
        <f>25.4*(1000/J66-10)</f>
        <v>180.64316635745197</v>
      </c>
      <c r="L66" t="inlineStr">
        <is>
          <t>Área Urbana</t>
        </is>
      </c>
      <c r="M66" s="11">
        <f>IFERROR(VLOOKUP(L66,Classes_K,2,FALSE),"")</f>
        <v>0.0</v>
      </c>
      <c r="N66" t="inlineStr">
        <is>
          <t>Área Urbanizada</t>
        </is>
      </c>
      <c r="O66" s="11">
        <f>IFERROR(VLOOKUP(N66,Classes_C,2,FALSE),"")</f>
        <v>0.0</v>
      </c>
      <c r="P66" s="12">
        <v>0.2765623331069946</v>
      </c>
      <c r="Q66">
        <f>IF(COUNT(M66,O66,P66)=3,1,0)</f>
        <v>1</v>
      </c>
      <c r="R66" s="12">
        <f>IF(H66&lt;=p_lambda*K66,0,(H66-p_lambda*K66)^2/(H66+(1-p_lambda)*K66))</f>
        <v>19.336123877730625</v>
      </c>
      <c r="S66" s="13">
        <f>R66/1000*A_pixel*RI_mmh/R_evento_mm/3600</f>
        <v>0.0007682706265094203</v>
      </c>
      <c r="T66" s="13">
        <f>IF(Q66=1,coef_W*MAX(R66*S66*A_pixel,0)^exp_M*M66*O66*fator_P*P66,"")</f>
        <v>0.0</v>
      </c>
      <c r="U66" s="13">
        <f>IF(Q66=1,c_pura*T66,"")</f>
        <v>0.0</v>
      </c>
      <c r="V66" s="12">
        <f>IF(Q66=1,MIN(fator_f*R66,H66),"")</f>
        <v>23.685254723706095</v>
      </c>
      <c r="W66" s="13">
        <f>IF(Q66=1,V66/1000*A_pixel*RI_mmh/R_evento_mm/3600,"")</f>
        <v>0.000941072037016373</v>
      </c>
      <c r="X66" s="13">
        <f>IF(Q66=1,coef_W*MAX(V66*W66*A_pixel,0)^exp_M*M66*O66*fator_P*P66,"")</f>
        <v>0.0</v>
      </c>
      <c r="Y66" s="13">
        <f>IF(Q66=1,c_restr*X66,"")</f>
        <v>0.0</v>
      </c>
    </row>
    <row r="67">
      <c r="A67">
        <v>66</v>
      </c>
      <c r="B67">
        <v>12</v>
      </c>
      <c r="C67">
        <v>344</v>
      </c>
      <c r="D67" s="9">
        <f>X0_canto+(C67+0.5)*dx_pix</f>
        <v>328978.4433433823</v>
      </c>
      <c r="E67" s="9">
        <f>Y0_canto-(B67+0.5)*dy_pix</f>
        <v>7434683.528266438</v>
      </c>
      <c r="F67" s="10">
        <f>(D67-x_DBT5)^2+(E67-y_DBT5)^2</f>
        <v>450269667.8209287</v>
      </c>
      <c r="G67" s="10">
        <f>(D67-x_CLP)^2+(E67-y_CLP)^2</f>
        <v>88891560.4051078</v>
      </c>
      <c r="H67" s="11">
        <f>(P_DBT5/F67+P_CLP/G67)/(1/F67+1/G67)</f>
        <v>76.32910670137242</v>
      </c>
      <c r="I67" s="11">
        <v>81</v>
      </c>
      <c r="J67" s="11">
        <f>4.2*I67/(10-0.058*I67)</f>
        <v>64.16446623915503</v>
      </c>
      <c r="K67" s="11">
        <f>25.4*(1000/J67-10)</f>
        <v>141.85773074661967</v>
      </c>
      <c r="L67" t="inlineStr">
        <is>
          <t/>
        </is>
      </c>
      <c r="M67" s="11">
        <f>IFERROR(VLOOKUP(L67,Classes_K,2,FALSE),"")</f>
        <v/>
      </c>
      <c r="N67" t="inlineStr">
        <is>
          <t/>
        </is>
      </c>
      <c r="O67" s="11">
        <f>IFERROR(VLOOKUP(N67,Classes_C,2,FALSE),"")</f>
        <v/>
      </c>
      <c r="Q67">
        <f>IF(COUNT(M67,O67,P67)=3,1,0)</f>
        <v>0</v>
      </c>
      <c r="R67" s="12">
        <f>IF(H67&lt;=p_lambda*K67,0,(H67-p_lambda*K67)^2/(H67+(1-p_lambda)*K67))</f>
        <v>22.708628844757293</v>
      </c>
      <c r="S67" s="13">
        <f>R67/1000*A_pixel*RI_mmh/R_evento_mm/3600</f>
        <v>0.0009022683460269167</v>
      </c>
      <c r="T67" s="13">
        <f>IF(Q67=1,coef_W*MAX(R67*S67*A_pixel,0)^exp_M*M67*O67*fator_P*P67,"")</f>
        <v/>
      </c>
      <c r="U67" s="13">
        <f>IF(Q67=1,c_pura*T67,"")</f>
        <v/>
      </c>
      <c r="V67" s="12">
        <f>IF(Q67=1,MIN(fator_f*R67,H67),"")</f>
        <v/>
      </c>
      <c r="W67" s="13">
        <f>IF(Q67=1,V67/1000*A_pixel*RI_mmh/R_evento_mm/3600,"")</f>
        <v/>
      </c>
      <c r="X67" s="13">
        <f>IF(Q67=1,coef_W*MAX(V67*W67*A_pixel,0)^exp_M*M67*O67*fator_P*P67,"")</f>
        <v/>
      </c>
      <c r="Y67" s="13">
        <f>IF(Q67=1,c_restr*X67,"")</f>
        <v/>
      </c>
    </row>
    <row r="68">
      <c r="A68">
        <v>67</v>
      </c>
      <c r="B68">
        <v>12</v>
      </c>
      <c r="C68">
        <v>345</v>
      </c>
      <c r="D68" s="9">
        <f>X0_canto+(C68+0.5)*dx_pix</f>
        <v>329008.4349188348</v>
      </c>
      <c r="E68" s="9">
        <f>Y0_canto-(B68+0.5)*dy_pix</f>
        <v>7434683.528266438</v>
      </c>
      <c r="F68" s="10">
        <f>(D68-x_DBT5)^2+(E68-y_DBT5)^2</f>
        <v>449098352.2499624</v>
      </c>
      <c r="G68" s="10">
        <f>(D68-x_CLP)^2+(E68-y_CLP)^2</f>
        <v>89439270.7037722</v>
      </c>
      <c r="H68" s="11">
        <f>(P_DBT5/F68+P_CLP/G68)/(1/F68+1/G68)</f>
        <v>76.30953798373513</v>
      </c>
      <c r="I68" s="11">
        <v>81</v>
      </c>
      <c r="J68" s="11">
        <f>4.2*I68/(10-0.058*I68)</f>
        <v>64.16446623915503</v>
      </c>
      <c r="K68" s="11">
        <f>25.4*(1000/J68-10)</f>
        <v>141.85773074661967</v>
      </c>
      <c r="L68" t="inlineStr">
        <is>
          <t/>
        </is>
      </c>
      <c r="M68" s="11">
        <f>IFERROR(VLOOKUP(L68,Classes_K,2,FALSE),"")</f>
        <v/>
      </c>
      <c r="N68" t="inlineStr">
        <is>
          <t/>
        </is>
      </c>
      <c r="O68" s="11">
        <f>IFERROR(VLOOKUP(N68,Classes_C,2,FALSE),"")</f>
        <v/>
      </c>
      <c r="Q68">
        <f>IF(COUNT(M68,O68,P68)=3,1,0)</f>
        <v>0</v>
      </c>
      <c r="R68" s="12">
        <f>IF(H68&lt;=p_lambda*K68,0,(H68-p_lambda*K68)^2/(H68+(1-p_lambda)*K68))</f>
        <v>22.697898189614346</v>
      </c>
      <c r="S68" s="13">
        <f>R68/1000*A_pixel*RI_mmh/R_evento_mm/3600</f>
        <v>0.0009018419913344425</v>
      </c>
      <c r="T68" s="13">
        <f>IF(Q68=1,coef_W*MAX(R68*S68*A_pixel,0)^exp_M*M68*O68*fator_P*P68,"")</f>
        <v/>
      </c>
      <c r="U68" s="13">
        <f>IF(Q68=1,c_pura*T68,"")</f>
        <v/>
      </c>
      <c r="V68" s="12">
        <f>IF(Q68=1,MIN(fator_f*R68,H68),"")</f>
        <v/>
      </c>
      <c r="W68" s="13">
        <f>IF(Q68=1,V68/1000*A_pixel*RI_mmh/R_evento_mm/3600,"")</f>
        <v/>
      </c>
      <c r="X68" s="13">
        <f>IF(Q68=1,coef_W*MAX(V68*W68*A_pixel,0)^exp_M*M68*O68*fator_P*P68,"")</f>
        <v/>
      </c>
      <c r="Y68" s="13">
        <f>IF(Q68=1,c_restr*X68,"")</f>
        <v/>
      </c>
    </row>
    <row r="69">
      <c r="A69">
        <v>68</v>
      </c>
      <c r="B69">
        <v>12</v>
      </c>
      <c r="C69">
        <v>346</v>
      </c>
      <c r="D69" s="9">
        <f>X0_canto+(C69+0.5)*dx_pix</f>
        <v>329038.4264942873</v>
      </c>
      <c r="E69" s="9">
        <f>Y0_canto-(B69+0.5)*dy_pix</f>
        <v>7434683.528266438</v>
      </c>
      <c r="F69" s="10">
        <f>(D69-x_DBT5)^2+(E69-y_DBT5)^2</f>
        <v>447928835.6681924</v>
      </c>
      <c r="G69" s="10">
        <f>(D69-x_CLP)^2+(E69-y_CLP)^2</f>
        <v>89988779.99163285</v>
      </c>
      <c r="H69" s="11">
        <f>(P_DBT5/F69+P_CLP/G69)/(1/F69+1/G69)</f>
        <v>76.28988784230046</v>
      </c>
      <c r="I69" s="11">
        <v>77</v>
      </c>
      <c r="J69" s="11">
        <f>4.2*I69/(10-0.058*I69)</f>
        <v>58.438742320202394</v>
      </c>
      <c r="K69" s="11">
        <f>25.4*(1000/J69-10)</f>
        <v>180.64316635745197</v>
      </c>
      <c r="L69" t="inlineStr">
        <is>
          <t/>
        </is>
      </c>
      <c r="M69" s="11">
        <f>IFERROR(VLOOKUP(L69,Classes_K,2,FALSE),"")</f>
        <v/>
      </c>
      <c r="N69" t="inlineStr">
        <is>
          <t/>
        </is>
      </c>
      <c r="O69" s="11">
        <f>IFERROR(VLOOKUP(N69,Classes_C,2,FALSE),"")</f>
        <v/>
      </c>
      <c r="Q69">
        <f>IF(COUNT(M69,O69,P69)=3,1,0)</f>
        <v>0</v>
      </c>
      <c r="R69" s="12">
        <f>IF(H69&lt;=p_lambda*K69,0,(H69-p_lambda*K69)^2/(H69+(1-p_lambda)*K69))</f>
        <v>18.24762336855978</v>
      </c>
      <c r="S69" s="13">
        <f>R69/1000*A_pixel*RI_mmh/R_evento_mm/3600</f>
        <v>0.0007250218878571182</v>
      </c>
      <c r="T69" s="13">
        <f>IF(Q69=1,coef_W*MAX(R69*S69*A_pixel,0)^exp_M*M69*O69*fator_P*P69,"")</f>
        <v/>
      </c>
      <c r="U69" s="13">
        <f>IF(Q69=1,c_pura*T69,"")</f>
        <v/>
      </c>
      <c r="V69" s="12">
        <f>IF(Q69=1,MIN(fator_f*R69,H69),"")</f>
        <v/>
      </c>
      <c r="W69" s="13">
        <f>IF(Q69=1,V69/1000*A_pixel*RI_mmh/R_evento_mm/3600,"")</f>
        <v/>
      </c>
      <c r="X69" s="13">
        <f>IF(Q69=1,coef_W*MAX(V69*W69*A_pixel,0)^exp_M*M69*O69*fator_P*P69,"")</f>
        <v/>
      </c>
      <c r="Y69" s="13">
        <f>IF(Q69=1,c_restr*X69,"")</f>
        <v/>
      </c>
    </row>
    <row r="70">
      <c r="A70">
        <v>69</v>
      </c>
      <c r="B70">
        <v>13</v>
      </c>
      <c r="C70">
        <v>42</v>
      </c>
      <c r="D70" s="9">
        <f>X0_canto+(C70+0.5)*dx_pix</f>
        <v>319920.98755673075</v>
      </c>
      <c r="E70" s="9">
        <f>Y0_canto-(B70+0.5)*dy_pix</f>
        <v>7434653.603535753</v>
      </c>
      <c r="F70" s="10">
        <f>(D70-x_DBT5)^2+(E70-y_DBT5)^2</f>
        <v>885822167.7952305</v>
      </c>
      <c r="G70" s="10">
        <f>(D70-x_CLP)^2+(E70-y_CLP)^2</f>
        <v>5649101.449376427</v>
      </c>
      <c r="H70" s="11">
        <f>(P_DBT5/F70+P_CLP/G70)/(1/F70+1/G70)</f>
        <v>78.8973453682183</v>
      </c>
      <c r="I70" s="11">
        <v>77</v>
      </c>
      <c r="J70" s="11">
        <f>4.2*I70/(10-0.058*I70)</f>
        <v>58.438742320202394</v>
      </c>
      <c r="K70" s="11">
        <f>25.4*(1000/J70-10)</f>
        <v>180.64316635745197</v>
      </c>
      <c r="L70" t="inlineStr">
        <is>
          <t>Cambissolos Háplicos</t>
        </is>
      </c>
      <c r="M70" s="11">
        <f>IFERROR(VLOOKUP(L70,Classes_K,2,FALSE),"")</f>
        <v>0.04749999940395355</v>
      </c>
      <c r="N70" t="inlineStr">
        <is>
          <t>Área Urbanizada</t>
        </is>
      </c>
      <c r="O70" s="11">
        <f>IFERROR(VLOOKUP(N70,Classes_C,2,FALSE),"")</f>
        <v>0.0</v>
      </c>
      <c r="P70" s="12">
        <v>0.3783169686794281</v>
      </c>
      <c r="Q70">
        <f>IF(COUNT(M70,O70,P70)=3,1,0)</f>
        <v>1</v>
      </c>
      <c r="R70" s="12">
        <f>IF(H70&lt;=p_lambda*K70,0,(H70-p_lambda*K70)^2/(H70+(1-p_lambda)*K70))</f>
        <v>19.48495647022945</v>
      </c>
      <c r="S70" s="13">
        <f>R70/1000*A_pixel*RI_mmh/R_evento_mm/3600</f>
        <v>0.0007741841027473225</v>
      </c>
      <c r="T70" s="13">
        <f>IF(Q70=1,coef_W*MAX(R70*S70*A_pixel,0)^exp_M*M70*O70*fator_P*P70,"")</f>
        <v>0.0</v>
      </c>
      <c r="U70" s="13">
        <f>IF(Q70=1,c_pura*T70,"")</f>
        <v>0.0</v>
      </c>
      <c r="V70" s="12">
        <f>IF(Q70=1,MIN(fator_f*R70,H70),"")</f>
        <v>23.867563126714625</v>
      </c>
      <c r="W70" s="13">
        <f>IF(Q70=1,V70/1000*A_pixel*RI_mmh/R_evento_mm/3600,"")</f>
        <v>0.0009483155875791931</v>
      </c>
      <c r="X70" s="13">
        <f>IF(Q70=1,coef_W*MAX(V70*W70*A_pixel,0)^exp_M*M70*O70*fator_P*P70,"")</f>
        <v>0.0</v>
      </c>
      <c r="Y70" s="13">
        <f>IF(Q70=1,c_restr*X70,"")</f>
        <v>0.0</v>
      </c>
    </row>
    <row r="71">
      <c r="A71">
        <v>70</v>
      </c>
      <c r="B71">
        <v>13</v>
      </c>
      <c r="C71">
        <v>43</v>
      </c>
      <c r="D71" s="9">
        <f>X0_canto+(C71+0.5)*dx_pix</f>
        <v>319950.97913218325</v>
      </c>
      <c r="E71" s="9">
        <f>Y0_canto-(B71+0.5)*dy_pix</f>
        <v>7434653.603535753</v>
      </c>
      <c r="F71" s="10">
        <f>(D71-x_DBT5)^2+(E71-y_DBT5)^2</f>
        <v>884107557.4869982</v>
      </c>
      <c r="G71" s="10">
        <f>(D71-x_CLP)^2+(E71-y_CLP)^2</f>
        <v>5653517.0107747605</v>
      </c>
      <c r="H71" s="11">
        <f>(P_DBT5/F71+P_CLP/G71)/(1/F71+1/G71)</f>
        <v>78.89706765892115</v>
      </c>
      <c r="I71" s="11">
        <v>85</v>
      </c>
      <c r="J71" s="11">
        <f>4.2*I71/(10-0.058*I71)</f>
        <v>70.41420118343196</v>
      </c>
      <c r="K71" s="11">
        <f>25.4*(1000/J71-10)</f>
        <v>106.72268907563023</v>
      </c>
      <c r="L71" t="inlineStr">
        <is>
          <t>Cambissolos Háplicos</t>
        </is>
      </c>
      <c r="M71" s="11">
        <f>IFERROR(VLOOKUP(L71,Classes_K,2,FALSE),"")</f>
        <v>0.04749999940395355</v>
      </c>
      <c r="N71" t="inlineStr">
        <is>
          <t>Mata Nativa</t>
        </is>
      </c>
      <c r="O71" s="11">
        <f>IFERROR(VLOOKUP(N71,Classes_C,2,FALSE),"")</f>
        <v>0.014999999664723873</v>
      </c>
      <c r="P71" s="12">
        <v>0.3997538089752197</v>
      </c>
      <c r="Q71">
        <f>IF(COUNT(M71,O71,P71)=3,1,0)</f>
        <v>1</v>
      </c>
      <c r="R71" s="12">
        <f>IF(H71&lt;=p_lambda*K71,0,(H71-p_lambda*K71)^2/(H71+(1-p_lambda)*K71))</f>
        <v>30.01498874691851</v>
      </c>
      <c r="S71" s="13">
        <f>R71/1000*A_pixel*RI_mmh/R_evento_mm/3600</f>
        <v>0.0011925675670616707</v>
      </c>
      <c r="T71" s="13">
        <f>IF(Q71=1,coef_W*MAX(R71*S71*A_pixel,0)^exp_M*M71*O71*fator_P*P71,"")</f>
        <v>0.023458263948687774</v>
      </c>
      <c r="U71" s="13">
        <f>IF(Q71=1,c_pura*T71,"")</f>
        <v>0.002503131789850529</v>
      </c>
      <c r="V71" s="12">
        <f>IF(Q71=1,MIN(fator_f*R71,H71),"")</f>
        <v>36.766037417597104</v>
      </c>
      <c r="W71" s="13">
        <f>IF(Q71=1,V71/1000*A_pixel*RI_mmh/R_evento_mm/3600,"")</f>
        <v>0.0014608029396014207</v>
      </c>
      <c r="X71" s="13">
        <f>IF(Q71=1,coef_W*MAX(V71*W71*A_pixel,0)^exp_M*M71*O71*fator_P*P71,"")</f>
        <v>0.02944269400272565</v>
      </c>
      <c r="Y71" s="13">
        <f>IF(Q71=1,c_restr*X71,"")</f>
        <v>0.004073741804262637</v>
      </c>
    </row>
    <row r="72">
      <c r="A72">
        <v>71</v>
      </c>
      <c r="B72">
        <v>13</v>
      </c>
      <c r="C72">
        <v>110</v>
      </c>
      <c r="D72" s="9">
        <f>X0_canto+(C72+0.5)*dx_pix</f>
        <v>321960.4146875</v>
      </c>
      <c r="E72" s="9">
        <f>Y0_canto-(B72+0.5)*dy_pix</f>
        <v>7434653.603535753</v>
      </c>
      <c r="F72" s="10">
        <f>(D72-x_DBT5)^2+(E72-y_DBT5)^2</f>
        <v>773326764.2245147</v>
      </c>
      <c r="G72" s="10">
        <f>(D72-x_CLP)^2+(E72-y_CLP)^2</f>
        <v>10047457.013508309</v>
      </c>
      <c r="H72" s="11">
        <f>(P_DBT5/F72+P_CLP/G72)/(1/F72+1/G72)</f>
        <v>78.79222289627336</v>
      </c>
      <c r="I72" s="11">
        <v>85</v>
      </c>
      <c r="J72" s="11">
        <f>4.2*I72/(10-0.058*I72)</f>
        <v>70.41420118343196</v>
      </c>
      <c r="K72" s="11">
        <f>25.4*(1000/J72-10)</f>
        <v>106.72268907563023</v>
      </c>
      <c r="L72" t="inlineStr">
        <is>
          <t/>
        </is>
      </c>
      <c r="M72" s="11">
        <f>IFERROR(VLOOKUP(L72,Classes_K,2,FALSE),"")</f>
        <v/>
      </c>
      <c r="N72" t="inlineStr">
        <is>
          <t/>
        </is>
      </c>
      <c r="O72" s="11">
        <f>IFERROR(VLOOKUP(N72,Classes_C,2,FALSE),"")</f>
        <v/>
      </c>
      <c r="Q72">
        <f>IF(COUNT(M72,O72,P72)=3,1,0)</f>
        <v>0</v>
      </c>
      <c r="R72" s="12">
        <f>IF(H72&lt;=p_lambda*K72,0,(H72-p_lambda*K72)^2/(H72+(1-p_lambda)*K72))</f>
        <v>29.94690608736361</v>
      </c>
      <c r="S72" s="13">
        <f>R72/1000*A_pixel*RI_mmh/R_evento_mm/3600</f>
        <v>0.0011898624795352655</v>
      </c>
      <c r="T72" s="13">
        <f>IF(Q72=1,coef_W*MAX(R72*S72*A_pixel,0)^exp_M*M72*O72*fator_P*P72,"")</f>
        <v/>
      </c>
      <c r="U72" s="13">
        <f>IF(Q72=1,c_pura*T72,"")</f>
        <v/>
      </c>
      <c r="V72" s="12">
        <f>IF(Q72=1,MIN(fator_f*R72,H72),"")</f>
        <v/>
      </c>
      <c r="W72" s="13">
        <f>IF(Q72=1,V72/1000*A_pixel*RI_mmh/R_evento_mm/3600,"")</f>
        <v/>
      </c>
      <c r="X72" s="13">
        <f>IF(Q72=1,coef_W*MAX(V72*W72*A_pixel,0)^exp_M*M72*O72*fator_P*P72,"")</f>
        <v/>
      </c>
      <c r="Y72" s="13">
        <f>IF(Q72=1,c_restr*X72,"")</f>
        <v/>
      </c>
    </row>
    <row r="73">
      <c r="A73">
        <v>72</v>
      </c>
      <c r="B73">
        <v>13</v>
      </c>
      <c r="C73">
        <v>111</v>
      </c>
      <c r="D73" s="9">
        <f>X0_canto+(C73+0.5)*dx_pix</f>
        <v>321990.4062629525</v>
      </c>
      <c r="E73" s="9">
        <f>Y0_canto-(B73+0.5)*dy_pix</f>
        <v>7434653.603535753</v>
      </c>
      <c r="F73" s="10">
        <f>(D73-x_DBT5)^2+(E73-y_DBT5)^2</f>
        <v>771734485.181627</v>
      </c>
      <c r="G73" s="10">
        <f>(D73-x_CLP)^2+(E73-y_CLP)^2</f>
        <v>10174203.840251321</v>
      </c>
      <c r="H73" s="11">
        <f>(P_DBT5/F73+P_CLP/G73)/(1/F73+1/G73)</f>
        <v>78.78920744770508</v>
      </c>
      <c r="I73" s="11">
        <v>85</v>
      </c>
      <c r="J73" s="11">
        <f>4.2*I73/(10-0.058*I73)</f>
        <v>70.41420118343196</v>
      </c>
      <c r="K73" s="11">
        <f>25.4*(1000/J73-10)</f>
        <v>106.72268907563023</v>
      </c>
      <c r="L73" t="inlineStr">
        <is>
          <t/>
        </is>
      </c>
      <c r="M73" s="11">
        <f>IFERROR(VLOOKUP(L73,Classes_K,2,FALSE),"")</f>
        <v/>
      </c>
      <c r="N73" t="inlineStr">
        <is>
          <t/>
        </is>
      </c>
      <c r="O73" s="11">
        <f>IFERROR(VLOOKUP(N73,Classes_C,2,FALSE),"")</f>
        <v/>
      </c>
      <c r="Q73">
        <f>IF(COUNT(M73,O73,P73)=3,1,0)</f>
        <v>0</v>
      </c>
      <c r="R73" s="12">
        <f>IF(H73&lt;=p_lambda*K73,0,(H73-p_lambda*K73)^2/(H73+(1-p_lambda)*K73))</f>
        <v>29.944948589521598</v>
      </c>
      <c r="S73" s="13">
        <f>R73/1000*A_pixel*RI_mmh/R_evento_mm/3600</f>
        <v>0.0011897847034461702</v>
      </c>
      <c r="T73" s="13">
        <f>IF(Q73=1,coef_W*MAX(R73*S73*A_pixel,0)^exp_M*M73*O73*fator_P*P73,"")</f>
        <v/>
      </c>
      <c r="U73" s="13">
        <f>IF(Q73=1,c_pura*T73,"")</f>
        <v/>
      </c>
      <c r="V73" s="12">
        <f>IF(Q73=1,MIN(fator_f*R73,H73),"")</f>
        <v/>
      </c>
      <c r="W73" s="13">
        <f>IF(Q73=1,V73/1000*A_pixel*RI_mmh/R_evento_mm/3600,"")</f>
        <v/>
      </c>
      <c r="X73" s="13">
        <f>IF(Q73=1,coef_W*MAX(V73*W73*A_pixel,0)^exp_M*M73*O73*fator_P*P73,"")</f>
        <v/>
      </c>
      <c r="Y73" s="13">
        <f>IF(Q73=1,c_restr*X73,"")</f>
        <v/>
      </c>
    </row>
    <row r="74">
      <c r="A74">
        <v>73</v>
      </c>
      <c r="B74">
        <v>13</v>
      </c>
      <c r="C74">
        <v>123</v>
      </c>
      <c r="D74" s="9">
        <f>X0_canto+(C74+0.5)*dx_pix</f>
        <v>322350.30516838236</v>
      </c>
      <c r="E74" s="9">
        <f>Y0_canto-(B74+0.5)*dy_pix</f>
        <v>7434653.603535753</v>
      </c>
      <c r="F74" s="10">
        <f>(D74-x_DBT5)^2+(E74-y_DBT5)^2</f>
        <v>752767457.824288</v>
      </c>
      <c r="G74" s="10">
        <f>(D74-x_CLP)^2+(E74-y_CLP)^2</f>
        <v>11835486.918474067</v>
      </c>
      <c r="H74" s="11">
        <f>(P_DBT5/F74+P_CLP/G74)/(1/F74+1/G74)</f>
        <v>78.74923802169971</v>
      </c>
      <c r="I74" s="11">
        <v>85</v>
      </c>
      <c r="J74" s="11">
        <f>4.2*I74/(10-0.058*I74)</f>
        <v>70.41420118343196</v>
      </c>
      <c r="K74" s="11">
        <f>25.4*(1000/J74-10)</f>
        <v>106.72268907563023</v>
      </c>
      <c r="L74" t="inlineStr">
        <is>
          <t>Área Urbana</t>
        </is>
      </c>
      <c r="M74" s="11">
        <f>IFERROR(VLOOKUP(L74,Classes_K,2,FALSE),"")</f>
        <v>0.0</v>
      </c>
      <c r="N74" t="inlineStr">
        <is>
          <t>Área Urbanizada</t>
        </is>
      </c>
      <c r="O74" s="11">
        <f>IFERROR(VLOOKUP(N74,Classes_C,2,FALSE),"")</f>
        <v>0.0</v>
      </c>
      <c r="P74" s="12">
        <v>0.2774871289730072</v>
      </c>
      <c r="Q74">
        <f>IF(COUNT(M74,O74,P74)=3,1,0)</f>
        <v>1</v>
      </c>
      <c r="R74" s="12">
        <f>IF(H74&lt;=p_lambda*K74,0,(H74-p_lambda*K74)^2/(H74+(1-p_lambda)*K74))</f>
        <v>29.919005525673402</v>
      </c>
      <c r="S74" s="13">
        <f>R74/1000*A_pixel*RI_mmh/R_evento_mm/3600</f>
        <v>0.0011887539232317767</v>
      </c>
      <c r="T74" s="13">
        <f>IF(Q74=1,coef_W*MAX(R74*S74*A_pixel,0)^exp_M*M74*O74*fator_P*P74,"")</f>
        <v>0.0</v>
      </c>
      <c r="U74" s="13">
        <f>IF(Q74=1,c_pura*T74,"")</f>
        <v>0.0</v>
      </c>
      <c r="V74" s="12">
        <f>IF(Q74=1,MIN(fator_f*R74,H74),"")</f>
        <v>36.64846540271099</v>
      </c>
      <c r="W74" s="13">
        <f>IF(Q74=1,V74/1000*A_pixel*RI_mmh/R_evento_mm/3600,"")</f>
        <v>0.0014561315211668003</v>
      </c>
      <c r="X74" s="13">
        <f>IF(Q74=1,coef_W*MAX(V74*W74*A_pixel,0)^exp_M*M74*O74*fator_P*P74,"")</f>
        <v>0.0</v>
      </c>
      <c r="Y74" s="13">
        <f>IF(Q74=1,c_restr*X74,"")</f>
        <v>0.0</v>
      </c>
    </row>
    <row r="75">
      <c r="A75">
        <v>74</v>
      </c>
      <c r="B75">
        <v>13</v>
      </c>
      <c r="C75">
        <v>124</v>
      </c>
      <c r="D75" s="9">
        <f>X0_canto+(C75+0.5)*dx_pix</f>
        <v>322380.29674383486</v>
      </c>
      <c r="E75" s="9">
        <f>Y0_canto-(B75+0.5)*dy_pix</f>
        <v>7434653.603535753</v>
      </c>
      <c r="F75" s="10">
        <f>(D75-x_DBT5)^2+(E75-y_DBT5)^2</f>
        <v>751198565.6409515</v>
      </c>
      <c r="G75" s="10">
        <f>(D75-x_CLP)^2+(E75-y_CLP)^2</f>
        <v>11985620.604768269</v>
      </c>
      <c r="H75" s="11">
        <f>(P_DBT5/F75+P_CLP/G75)/(1/F75+1/G75)</f>
        <v>78.74558498598039</v>
      </c>
      <c r="I75" s="11">
        <v>85</v>
      </c>
      <c r="J75" s="11">
        <f>4.2*I75/(10-0.058*I75)</f>
        <v>70.41420118343196</v>
      </c>
      <c r="K75" s="11">
        <f>25.4*(1000/J75-10)</f>
        <v>106.72268907563023</v>
      </c>
      <c r="L75" t="inlineStr">
        <is>
          <t>Área Urbana</t>
        </is>
      </c>
      <c r="M75" s="11">
        <f>IFERROR(VLOOKUP(L75,Classes_K,2,FALSE),"")</f>
        <v>0.0</v>
      </c>
      <c r="N75" t="inlineStr">
        <is>
          <t>Área Urbanizada</t>
        </is>
      </c>
      <c r="O75" s="11">
        <f>IFERROR(VLOOKUP(N75,Classes_C,2,FALSE),"")</f>
        <v>0.0</v>
      </c>
      <c r="P75" s="12">
        <v>0.3504913151264191</v>
      </c>
      <c r="Q75">
        <f>IF(COUNT(M75,O75,P75)=3,1,0)</f>
        <v>1</v>
      </c>
      <c r="R75" s="12">
        <f>IF(H75&lt;=p_lambda*K75,0,(H75-p_lambda*K75)^2/(H75+(1-p_lambda)*K75))</f>
        <v>29.916634750310447</v>
      </c>
      <c r="S75" s="13">
        <f>R75/1000*A_pixel*RI_mmh/R_evento_mm/3600</f>
        <v>0.00118865972663452</v>
      </c>
      <c r="T75" s="13">
        <f>IF(Q75=1,coef_W*MAX(R75*S75*A_pixel,0)^exp_M*M75*O75*fator_P*P75,"")</f>
        <v>0.0</v>
      </c>
      <c r="U75" s="13">
        <f>IF(Q75=1,c_pura*T75,"")</f>
        <v>0.0</v>
      </c>
      <c r="V75" s="12">
        <f>IF(Q75=1,MIN(fator_f*R75,H75),"")</f>
        <v>36.64556138643972</v>
      </c>
      <c r="W75" s="13">
        <f>IF(Q75=1,V75/1000*A_pixel*RI_mmh/R_evento_mm/3600,"")</f>
        <v>0.0014560161376279777</v>
      </c>
      <c r="X75" s="13">
        <f>IF(Q75=1,coef_W*MAX(V75*W75*A_pixel,0)^exp_M*M75*O75*fator_P*P75,"")</f>
        <v>0.0</v>
      </c>
      <c r="Y75" s="13">
        <f>IF(Q75=1,c_restr*X75,"")</f>
        <v>0.0</v>
      </c>
    </row>
    <row r="76">
      <c r="A76">
        <v>75</v>
      </c>
      <c r="B76">
        <v>13</v>
      </c>
      <c r="C76">
        <v>125</v>
      </c>
      <c r="D76" s="9">
        <f>X0_canto+(C76+0.5)*dx_pix</f>
        <v>322410.28831928736</v>
      </c>
      <c r="E76" s="9">
        <f>Y0_canto-(B76+0.5)*dy_pix</f>
        <v>7434653.603535753</v>
      </c>
      <c r="F76" s="10">
        <f>(D76-x_DBT5)^2+(E76-y_DBT5)^2</f>
        <v>749631472.4468113</v>
      </c>
      <c r="G76" s="10">
        <f>(D76-x_CLP)^2+(E76-y_CLP)^2</f>
        <v>12137553.280258715</v>
      </c>
      <c r="H76" s="11">
        <f>(P_DBT5/F76+P_CLP/G76)/(1/F76+1/G76)</f>
        <v>78.74188130414345</v>
      </c>
      <c r="I76" s="11">
        <v>65</v>
      </c>
      <c r="J76" s="11">
        <f>4.2*I76/(10-0.058*I76)</f>
        <v>43.82022471910112</v>
      </c>
      <c r="K76" s="11">
        <f>25.4*(1000/J76-10)</f>
        <v>325.64102564102564</v>
      </c>
      <c r="L76" t="inlineStr">
        <is>
          <t>Cambissolos Háplicos</t>
        </is>
      </c>
      <c r="M76" s="11">
        <f>IFERROR(VLOOKUP(L76,Classes_K,2,FALSE),"")</f>
        <v>0.04749999940395355</v>
      </c>
      <c r="N76" t="inlineStr">
        <is>
          <t>Área Urbanizada</t>
        </is>
      </c>
      <c r="O76" s="11">
        <f>IFERROR(VLOOKUP(N76,Classes_C,2,FALSE),"")</f>
        <v>0.0</v>
      </c>
      <c r="P76" s="12">
        <v>0.4199165105819702</v>
      </c>
      <c r="Q76">
        <f>IF(COUNT(M76,O76,P76)=3,1,0)</f>
        <v>1</v>
      </c>
      <c r="R76" s="12">
        <f>IF(H76&lt;=p_lambda*K76,0,(H76-p_lambda*K76)^2/(H76+(1-p_lambda)*K76))</f>
        <v>10.052104522477581</v>
      </c>
      <c r="S76" s="13">
        <f>R76/1000*A_pixel*RI_mmh/R_evento_mm/3600</f>
        <v>0.00039939424716430824</v>
      </c>
      <c r="T76" s="13">
        <f>IF(Q76=1,coef_W*MAX(R76*S76*A_pixel,0)^exp_M*M76*O76*fator_P*P76,"")</f>
        <v>0.0</v>
      </c>
      <c r="U76" s="13">
        <f>IF(Q76=1,c_pura*T76,"")</f>
        <v>0.0</v>
      </c>
      <c r="V76" s="12">
        <f>IF(Q76=1,MIN(fator_f*R76,H76),"")</f>
        <v>12.313049793728487</v>
      </c>
      <c r="W76" s="13">
        <f>IF(Q76=1,V76/1000*A_pixel*RI_mmh/R_evento_mm/3600,"")</f>
        <v>0.0004892270311819968</v>
      </c>
      <c r="X76" s="13">
        <f>IF(Q76=1,coef_W*MAX(V76*W76*A_pixel,0)^exp_M*M76*O76*fator_P*P76,"")</f>
        <v>0.0</v>
      </c>
      <c r="Y76" s="13">
        <f>IF(Q76=1,c_restr*X76,"")</f>
        <v>0.0</v>
      </c>
    </row>
    <row r="77">
      <c r="A77">
        <v>76</v>
      </c>
      <c r="B77">
        <v>13</v>
      </c>
      <c r="C77">
        <v>126</v>
      </c>
      <c r="D77" s="9">
        <f>X0_canto+(C77+0.5)*dx_pix</f>
        <v>322440.2798947398</v>
      </c>
      <c r="E77" s="9">
        <f>Y0_canto-(B77+0.5)*dy_pix</f>
        <v>7434653.603535753</v>
      </c>
      <c r="F77" s="10">
        <f>(D77-x_DBT5)^2+(E77-y_DBT5)^2</f>
        <v>748066178.2418703</v>
      </c>
      <c r="G77" s="10">
        <f>(D77-x_CLP)^2+(E77-y_CLP)^2</f>
        <v>12291284.94494511</v>
      </c>
      <c r="H77" s="11">
        <f>(P_DBT5/F77+P_CLP/G77)/(1/F77+1/G77)</f>
        <v>78.7381267459816</v>
      </c>
      <c r="I77" s="11">
        <v>65</v>
      </c>
      <c r="J77" s="11">
        <f>4.2*I77/(10-0.058*I77)</f>
        <v>43.82022471910112</v>
      </c>
      <c r="K77" s="11">
        <f>25.4*(1000/J77-10)</f>
        <v>325.64102564102564</v>
      </c>
      <c r="L77" t="inlineStr">
        <is>
          <t>Cambissolos Háplicos</t>
        </is>
      </c>
      <c r="M77" s="11">
        <f>IFERROR(VLOOKUP(L77,Classes_K,2,FALSE),"")</f>
        <v>0.04749999940395355</v>
      </c>
      <c r="N77" t="inlineStr">
        <is>
          <t>Campo</t>
        </is>
      </c>
      <c r="O77" s="11">
        <f>IFERROR(VLOOKUP(N77,Classes_C,2,FALSE),"")</f>
        <v>0.05000000074505806</v>
      </c>
      <c r="P77" s="12">
        <v>0.5448154211044312</v>
      </c>
      <c r="Q77">
        <f>IF(COUNT(M77,O77,P77)=3,1,0)</f>
        <v>1</v>
      </c>
      <c r="R77" s="12">
        <f>IF(H77&lt;=p_lambda*K77,0,(H77-p_lambda*K77)^2/(H77+(1-p_lambda)*K77))</f>
        <v>10.050993298456117</v>
      </c>
      <c r="S77" s="13">
        <f>R77/1000*A_pixel*RI_mmh/R_evento_mm/3600</f>
        <v>0.0003993500955659548</v>
      </c>
      <c r="T77" s="13">
        <f>IF(Q77=1,coef_W*MAX(R77*S77*A_pixel,0)^exp_M*M77*O77*fator_P*P77,"")</f>
        <v>0.031295846700551855</v>
      </c>
      <c r="U77" s="13">
        <f>IF(Q77=1,c_pura*T77,"")</f>
        <v>0.003339446982854085</v>
      </c>
      <c r="V77" s="12">
        <f>IF(Q77=1,MIN(fator_f*R77,H77),"")</f>
        <v>12.311688630334524</v>
      </c>
      <c r="W77" s="13">
        <f>IF(Q77=1,V77/1000*A_pixel*RI_mmh/R_evento_mm/3600,"")</f>
        <v>0.0004891729488922848</v>
      </c>
      <c r="X77" s="13">
        <f>IF(Q77=1,coef_W*MAX(V77*W77*A_pixel,0)^exp_M*M77*O77*fator_P*P77,"")</f>
        <v>0.0392797199305153</v>
      </c>
      <c r="Y77" s="13">
        <f>IF(Q77=1,c_restr*X77,"")</f>
        <v>0.005434809638202778</v>
      </c>
    </row>
    <row r="78">
      <c r="A78">
        <v>77</v>
      </c>
      <c r="B78">
        <v>13</v>
      </c>
      <c r="C78">
        <v>127</v>
      </c>
      <c r="D78" s="9">
        <f>X0_canto+(C78+0.5)*dx_pix</f>
        <v>322470.2714701923</v>
      </c>
      <c r="E78" s="9">
        <f>Y0_canto-(B78+0.5)*dy_pix</f>
        <v>7434653.603535753</v>
      </c>
      <c r="F78" s="10">
        <f>(D78-x_DBT5)^2+(E78-y_DBT5)^2</f>
        <v>746502683.0261226</v>
      </c>
      <c r="G78" s="10">
        <f>(D78-x_CLP)^2+(E78-y_CLP)^2</f>
        <v>12446815.598828046</v>
      </c>
      <c r="H78" s="11">
        <f>(P_DBT5/F78+P_CLP/G78)/(1/F78+1/G78)</f>
        <v>78.73432108101984</v>
      </c>
      <c r="I78" s="11">
        <v>65</v>
      </c>
      <c r="J78" s="11">
        <f>4.2*I78/(10-0.058*I78)</f>
        <v>43.82022471910112</v>
      </c>
      <c r="K78" s="11">
        <f>25.4*(1000/J78-10)</f>
        <v>325.64102564102564</v>
      </c>
      <c r="L78" t="inlineStr">
        <is>
          <t>Cambissolos Háplicos</t>
        </is>
      </c>
      <c r="M78" s="11">
        <f>IFERROR(VLOOKUP(L78,Classes_K,2,FALSE),"")</f>
        <v>0.04749999940395355</v>
      </c>
      <c r="N78" t="inlineStr">
        <is>
          <t>Área Urbanizada</t>
        </is>
      </c>
      <c r="O78" s="11">
        <f>IFERROR(VLOOKUP(N78,Classes_C,2,FALSE),"")</f>
        <v>0.0</v>
      </c>
      <c r="P78" s="12">
        <v>0.5078186392784119</v>
      </c>
      <c r="Q78">
        <f>IF(COUNT(M78,O78,P78)=3,1,0)</f>
        <v>1</v>
      </c>
      <c r="R78" s="12">
        <f>IF(H78&lt;=p_lambda*K78,0,(H78-p_lambda*K78)^2/(H78+(1-p_lambda)*K78))</f>
        <v>10.049867000720218</v>
      </c>
      <c r="S78" s="13">
        <f>R78/1000*A_pixel*RI_mmh/R_evento_mm/3600</f>
        <v>0.00039930534505273576</v>
      </c>
      <c r="T78" s="13">
        <f>IF(Q78=1,coef_W*MAX(R78*S78*A_pixel,0)^exp_M*M78*O78*fator_P*P78,"")</f>
        <v>0.0</v>
      </c>
      <c r="U78" s="13">
        <f>IF(Q78=1,c_pura*T78,"")</f>
        <v>0.0</v>
      </c>
      <c r="V78" s="12">
        <f>IF(Q78=1,MIN(fator_f*R78,H78),"")</f>
        <v>12.310309002807404</v>
      </c>
      <c r="W78" s="13">
        <f>IF(Q78=1,V78/1000*A_pixel*RI_mmh/R_evento_mm/3600,"")</f>
        <v>0.0004891181329782313</v>
      </c>
      <c r="X78" s="13">
        <f>IF(Q78=1,coef_W*MAX(V78*W78*A_pixel,0)^exp_M*M78*O78*fator_P*P78,"")</f>
        <v>0.0</v>
      </c>
      <c r="Y78" s="13">
        <f>IF(Q78=1,c_restr*X78,"")</f>
        <v>0.0</v>
      </c>
    </row>
    <row r="79">
      <c r="A79">
        <v>78</v>
      </c>
      <c r="B79">
        <v>13</v>
      </c>
      <c r="C79">
        <v>128</v>
      </c>
      <c r="D79" s="9">
        <f>X0_canto+(C79+0.5)*dx_pix</f>
        <v>322500.2630456448</v>
      </c>
      <c r="E79" s="9">
        <f>Y0_canto-(B79+0.5)*dy_pix</f>
        <v>7434653.603535753</v>
      </c>
      <c r="F79" s="10">
        <f>(D79-x_DBT5)^2+(E79-y_DBT5)^2</f>
        <v>744940986.799571</v>
      </c>
      <c r="G79" s="10">
        <f>(D79-x_CLP)^2+(E79-y_CLP)^2</f>
        <v>12604145.241907228</v>
      </c>
      <c r="H79" s="11">
        <f>(P_DBT5/F79+P_CLP/G79)/(1/F79+1/G79)</f>
        <v>78.73046407852397</v>
      </c>
      <c r="I79" s="11">
        <v>77</v>
      </c>
      <c r="J79" s="11">
        <f>4.2*I79/(10-0.058*I79)</f>
        <v>58.438742320202394</v>
      </c>
      <c r="K79" s="11">
        <f>25.4*(1000/J79-10)</f>
        <v>180.64316635745197</v>
      </c>
      <c r="L79" t="inlineStr">
        <is>
          <t>Cambissolos Háplicos</t>
        </is>
      </c>
      <c r="M79" s="11">
        <f>IFERROR(VLOOKUP(L79,Classes_K,2,FALSE),"")</f>
        <v>0.04749999940395355</v>
      </c>
      <c r="N79" t="inlineStr">
        <is>
          <t>Área Urbanizada</t>
        </is>
      </c>
      <c r="O79" s="11">
        <f>IFERROR(VLOOKUP(N79,Classes_C,2,FALSE),"")</f>
        <v>0.0</v>
      </c>
      <c r="P79" s="12">
        <v>0.4181811511516571</v>
      </c>
      <c r="Q79">
        <f>IF(COUNT(M79,O79,P79)=3,1,0)</f>
        <v>1</v>
      </c>
      <c r="R79" s="12">
        <f>IF(H79&lt;=p_lambda*K79,0,(H79-p_lambda*K79)^2/(H79+(1-p_lambda)*K79))</f>
        <v>19.40491036025171</v>
      </c>
      <c r="S79" s="13">
        <f>R79/1000*A_pixel*RI_mmh/R_evento_mm/3600</f>
        <v>0.0007710036786121075</v>
      </c>
      <c r="T79" s="13">
        <f>IF(Q79=1,coef_W*MAX(R79*S79*A_pixel,0)^exp_M*M79*O79*fator_P*P79,"")</f>
        <v>0.0</v>
      </c>
      <c r="U79" s="13">
        <f>IF(Q79=1,c_pura*T79,"")</f>
        <v>0.0</v>
      </c>
      <c r="V79" s="12">
        <f>IF(Q79=1,MIN(fator_f*R79,H79),"")</f>
        <v>23.769512839260265</v>
      </c>
      <c r="W79" s="13">
        <f>IF(Q79=1,V79/1000*A_pixel*RI_mmh/R_evento_mm/3600,"")</f>
        <v>0.0009444198142459064</v>
      </c>
      <c r="X79" s="13">
        <f>IF(Q79=1,coef_W*MAX(V79*W79*A_pixel,0)^exp_M*M79*O79*fator_P*P79,"")</f>
        <v>0.0</v>
      </c>
      <c r="Y79" s="13">
        <f>IF(Q79=1,c_restr*X79,"")</f>
        <v>0.0</v>
      </c>
    </row>
    <row r="80">
      <c r="A80">
        <v>79</v>
      </c>
      <c r="B80">
        <v>13</v>
      </c>
      <c r="C80">
        <v>129</v>
      </c>
      <c r="D80" s="9">
        <f>X0_canto+(C80+0.5)*dx_pix</f>
        <v>322530.2546210973</v>
      </c>
      <c r="E80" s="9">
        <f>Y0_canto-(B80+0.5)*dy_pix</f>
        <v>7434653.603535753</v>
      </c>
      <c r="F80" s="10">
        <f>(D80-x_DBT5)^2+(E80-y_DBT5)^2</f>
        <v>743381089.5622158</v>
      </c>
      <c r="G80" s="10">
        <f>(D80-x_CLP)^2+(E80-y_CLP)^2</f>
        <v>12763273.874182656</v>
      </c>
      <c r="H80" s="11">
        <f>(P_DBT5/F80+P_CLP/G80)/(1/F80+1/G80)</f>
        <v>78.72655550750905</v>
      </c>
      <c r="I80" s="11">
        <v>77</v>
      </c>
      <c r="J80" s="11">
        <f>4.2*I80/(10-0.058*I80)</f>
        <v>58.438742320202394</v>
      </c>
      <c r="K80" s="11">
        <f>25.4*(1000/J80-10)</f>
        <v>180.64316635745197</v>
      </c>
      <c r="L80" t="inlineStr">
        <is>
          <t>Cambissolos Háplicos</t>
        </is>
      </c>
      <c r="M80" s="11">
        <f>IFERROR(VLOOKUP(L80,Classes_K,2,FALSE),"")</f>
        <v>0.04749999940395355</v>
      </c>
      <c r="N80" t="inlineStr">
        <is>
          <t>Área Urbanizada</t>
        </is>
      </c>
      <c r="O80" s="11">
        <f>IFERROR(VLOOKUP(N80,Classes_C,2,FALSE),"")</f>
        <v>0.0</v>
      </c>
      <c r="P80" s="12">
        <v>0.4015963077545166</v>
      </c>
      <c r="Q80">
        <f>IF(COUNT(M80,O80,P80)=3,1,0)</f>
        <v>1</v>
      </c>
      <c r="R80" s="12">
        <f>IF(H80&lt;=p_lambda*K80,0,(H80-p_lambda*K80)^2/(H80+(1-p_lambda)*K80))</f>
        <v>19.40303696657632</v>
      </c>
      <c r="S80" s="13">
        <f>R80/1000*A_pixel*RI_mmh/R_evento_mm/3600</f>
        <v>0.0007709292441834811</v>
      </c>
      <c r="T80" s="13">
        <f>IF(Q80=1,coef_W*MAX(R80*S80*A_pixel,0)^exp_M*M80*O80*fator_P*P80,"")</f>
        <v>0.0</v>
      </c>
      <c r="U80" s="13">
        <f>IF(Q80=1,c_pura*T80,"")</f>
        <v>0.0</v>
      </c>
      <c r="V80" s="12">
        <f>IF(Q80=1,MIN(fator_f*R80,H80),"")</f>
        <v>23.76721807704836</v>
      </c>
      <c r="W80" s="13">
        <f>IF(Q80=1,V80/1000*A_pixel*RI_mmh/R_evento_mm/3600,"")</f>
        <v>0.000944328637833644</v>
      </c>
      <c r="X80" s="13">
        <f>IF(Q80=1,coef_W*MAX(V80*W80*A_pixel,0)^exp_M*M80*O80*fator_P*P80,"")</f>
        <v>0.0</v>
      </c>
      <c r="Y80" s="13">
        <f>IF(Q80=1,c_restr*X80,"")</f>
        <v>0.0</v>
      </c>
    </row>
    <row r="81">
      <c r="A81">
        <v>80</v>
      </c>
      <c r="B81">
        <v>13</v>
      </c>
      <c r="C81">
        <v>130</v>
      </c>
      <c r="D81" s="9">
        <f>X0_canto+(C81+0.5)*dx_pix</f>
        <v>322560.2461965498</v>
      </c>
      <c r="E81" s="9">
        <f>Y0_canto-(B81+0.5)*dy_pix</f>
        <v>7434653.603535753</v>
      </c>
      <c r="F81" s="10">
        <f>(D81-x_DBT5)^2+(E81-y_DBT5)^2</f>
        <v>741822991.3140568</v>
      </c>
      <c r="G81" s="10">
        <f>(D81-x_CLP)^2+(E81-y_CLP)^2</f>
        <v>12924201.49565433</v>
      </c>
      <c r="H81" s="11">
        <f>(P_DBT5/F81+P_CLP/G81)/(1/F81+1/G81)</f>
        <v>78.72259513674824</v>
      </c>
      <c r="I81" s="11">
        <v>85</v>
      </c>
      <c r="J81" s="11">
        <f>4.2*I81/(10-0.058*I81)</f>
        <v>70.41420118343196</v>
      </c>
      <c r="K81" s="11">
        <f>25.4*(1000/J81-10)</f>
        <v>106.72268907563023</v>
      </c>
      <c r="L81" t="inlineStr">
        <is>
          <t>Cambissolos Háplicos</t>
        </is>
      </c>
      <c r="M81" s="11">
        <f>IFERROR(VLOOKUP(L81,Classes_K,2,FALSE),"")</f>
        <v>0.04749999940395355</v>
      </c>
      <c r="N81" t="inlineStr">
        <is>
          <t>Área Urbanizada</t>
        </is>
      </c>
      <c r="O81" s="11">
        <f>IFERROR(VLOOKUP(N81,Classes_C,2,FALSE),"")</f>
        <v>0.0</v>
      </c>
      <c r="Q81">
        <f>IF(COUNT(M81,O81,P81)=3,1,0)</f>
        <v>0</v>
      </c>
      <c r="R81" s="12">
        <f>IF(H81&lt;=p_lambda*K81,0,(H81-p_lambda*K81)^2/(H81+(1-p_lambda)*K81))</f>
        <v>29.901715813943856</v>
      </c>
      <c r="S81" s="13">
        <f>R81/1000*A_pixel*RI_mmh/R_evento_mm/3600</f>
        <v>0.0011880669614732244</v>
      </c>
      <c r="T81" s="13">
        <f>IF(Q81=1,coef_W*MAX(R81*S81*A_pixel,0)^exp_M*M81*O81*fator_P*P81,"")</f>
        <v/>
      </c>
      <c r="U81" s="13">
        <f>IF(Q81=1,c_pura*T81,"")</f>
        <v/>
      </c>
      <c r="V81" s="12">
        <f>IF(Q81=1,MIN(fator_f*R81,H81),"")</f>
        <v/>
      </c>
      <c r="W81" s="13">
        <f>IF(Q81=1,V81/1000*A_pixel*RI_mmh/R_evento_mm/3600,"")</f>
        <v/>
      </c>
      <c r="X81" s="13">
        <f>IF(Q81=1,coef_W*MAX(V81*W81*A_pixel,0)^exp_M*M81*O81*fator_P*P81,"")</f>
        <v/>
      </c>
      <c r="Y81" s="13">
        <f>IF(Q81=1,c_restr*X81,"")</f>
        <v/>
      </c>
    </row>
    <row r="82">
      <c r="A82">
        <v>81</v>
      </c>
      <c r="B82">
        <v>13</v>
      </c>
      <c r="C82">
        <v>131</v>
      </c>
      <c r="D82" s="9">
        <f>X0_canto+(C82+0.5)*dx_pix</f>
        <v>322590.23777200223</v>
      </c>
      <c r="E82" s="9">
        <f>Y0_canto-(B82+0.5)*dy_pix</f>
        <v>7434653.603535753</v>
      </c>
      <c r="F82" s="10">
        <f>(D82-x_DBT5)^2+(E82-y_DBT5)^2</f>
        <v>740266692.055097</v>
      </c>
      <c r="G82" s="10">
        <f>(D82-x_CLP)^2+(E82-y_CLP)^2</f>
        <v>13086928.10632193</v>
      </c>
      <c r="H82" s="11">
        <f>(P_DBT5/F82+P_CLP/G82)/(1/F82+1/G82)</f>
        <v>78.71858273478155</v>
      </c>
      <c r="I82" s="11">
        <v>85</v>
      </c>
      <c r="J82" s="11">
        <f>4.2*I82/(10-0.058*I82)</f>
        <v>70.41420118343196</v>
      </c>
      <c r="K82" s="11">
        <f>25.4*(1000/J82-10)</f>
        <v>106.72268907563023</v>
      </c>
      <c r="L82" t="inlineStr">
        <is>
          <t/>
        </is>
      </c>
      <c r="M82" s="11">
        <f>IFERROR(VLOOKUP(L82,Classes_K,2,FALSE),"")</f>
        <v/>
      </c>
      <c r="N82" t="inlineStr">
        <is>
          <t/>
        </is>
      </c>
      <c r="O82" s="11">
        <f>IFERROR(VLOOKUP(N82,Classes_C,2,FALSE),"")</f>
        <v/>
      </c>
      <c r="Q82">
        <f>IF(COUNT(M82,O82,P82)=3,1,0)</f>
        <v>0</v>
      </c>
      <c r="R82" s="12">
        <f>IF(H82&lt;=p_lambda*K82,0,(H82-p_lambda*K82)^2/(H82+(1-p_lambda)*K82))</f>
        <v>29.89911223382105</v>
      </c>
      <c r="S82" s="13">
        <f>R82/1000*A_pixel*RI_mmh/R_evento_mm/3600</f>
        <v>0.0011879635149839095</v>
      </c>
      <c r="T82" s="13">
        <f>IF(Q82=1,coef_W*MAX(R82*S82*A_pixel,0)^exp_M*M82*O82*fator_P*P82,"")</f>
        <v/>
      </c>
      <c r="U82" s="13">
        <f>IF(Q82=1,c_pura*T82,"")</f>
        <v/>
      </c>
      <c r="V82" s="12">
        <f>IF(Q82=1,MIN(fator_f*R82,H82),"")</f>
        <v/>
      </c>
      <c r="W82" s="13">
        <f>IF(Q82=1,V82/1000*A_pixel*RI_mmh/R_evento_mm/3600,"")</f>
        <v/>
      </c>
      <c r="X82" s="13">
        <f>IF(Q82=1,coef_W*MAX(V82*W82*A_pixel,0)^exp_M*M82*O82*fator_P*P82,"")</f>
        <v/>
      </c>
      <c r="Y82" s="13">
        <f>IF(Q82=1,c_restr*X82,"")</f>
        <v/>
      </c>
    </row>
    <row r="83">
      <c r="A83">
        <v>82</v>
      </c>
      <c r="B83">
        <v>13</v>
      </c>
      <c r="C83">
        <v>133</v>
      </c>
      <c r="D83" s="9">
        <f>X0_canto+(C83+0.5)*dx_pix</f>
        <v>322650.22092290723</v>
      </c>
      <c r="E83" s="9">
        <f>Y0_canto-(B83+0.5)*dy_pix</f>
        <v>7434653.603535753</v>
      </c>
      <c r="F83" s="10">
        <f>(D83-x_DBT5)^2+(E83-y_DBT5)^2</f>
        <v>737159490.5047601</v>
      </c>
      <c r="G83" s="10">
        <f>(D83-x_CLP)^2+(E83-y_CLP)^2</f>
        <v>13417778.2952465</v>
      </c>
      <c r="H83" s="11">
        <f>(P_DBT5/F83+P_CLP/G83)/(1/F83+1/G83)</f>
        <v>78.71040091027777</v>
      </c>
      <c r="I83" s="11">
        <v>85</v>
      </c>
      <c r="J83" s="11">
        <f>4.2*I83/(10-0.058*I83)</f>
        <v>70.41420118343196</v>
      </c>
      <c r="K83" s="11">
        <f>25.4*(1000/J83-10)</f>
        <v>106.72268907563023</v>
      </c>
      <c r="L83" t="inlineStr">
        <is>
          <t>Área Urbana</t>
        </is>
      </c>
      <c r="M83" s="11">
        <f>IFERROR(VLOOKUP(L83,Classes_K,2,FALSE),"")</f>
        <v>0.0</v>
      </c>
      <c r="N83" t="inlineStr">
        <is>
          <t>Área Urbanizada</t>
        </is>
      </c>
      <c r="O83" s="11">
        <f>IFERROR(VLOOKUP(N83,Classes_C,2,FALSE),"")</f>
        <v>0.0</v>
      </c>
      <c r="P83" s="12">
        <v>0.2213586717844009</v>
      </c>
      <c r="Q83">
        <f>IF(COUNT(M83,O83,P83)=3,1,0)</f>
        <v>1</v>
      </c>
      <c r="R83" s="12">
        <f>IF(H83&lt;=p_lambda*K83,0,(H83-p_lambda*K83)^2/(H83+(1-p_lambda)*K83))</f>
        <v>29.893803380082844</v>
      </c>
      <c r="S83" s="13">
        <f>R83/1000*A_pixel*RI_mmh/R_evento_mm/3600</f>
        <v>0.0011877525814786582</v>
      </c>
      <c r="T83" s="13">
        <f>IF(Q83=1,coef_W*MAX(R83*S83*A_pixel,0)^exp_M*M83*O83*fator_P*P83,"")</f>
        <v>0.0</v>
      </c>
      <c r="U83" s="13">
        <f>IF(Q83=1,c_pura*T83,"")</f>
        <v>0.0</v>
      </c>
      <c r="V83" s="12">
        <f>IF(Q83=1,MIN(fator_f*R83,H83),"")</f>
        <v>36.61759472554369</v>
      </c>
      <c r="W83" s="13">
        <f>IF(Q83=1,V83/1000*A_pixel*RI_mmh/R_evento_mm/3600,"")</f>
        <v>0.0014549049550443417</v>
      </c>
      <c r="X83" s="13">
        <f>IF(Q83=1,coef_W*MAX(V83*W83*A_pixel,0)^exp_M*M83*O83*fator_P*P83,"")</f>
        <v>0.0</v>
      </c>
      <c r="Y83" s="13">
        <f>IF(Q83=1,c_restr*X83,"")</f>
        <v>0.0</v>
      </c>
    </row>
    <row r="84">
      <c r="A84">
        <v>83</v>
      </c>
      <c r="B84">
        <v>13</v>
      </c>
      <c r="C84">
        <v>134</v>
      </c>
      <c r="D84" s="9">
        <f>X0_canto+(C84+0.5)*dx_pix</f>
        <v>322680.21249835973</v>
      </c>
      <c r="E84" s="9">
        <f>Y0_canto-(B84+0.5)*dy_pix</f>
        <v>7434653.603535753</v>
      </c>
      <c r="F84" s="10">
        <f>(D84-x_DBT5)^2+(E84-y_DBT5)^2</f>
        <v>735608588.213386</v>
      </c>
      <c r="G84" s="10">
        <f>(D84-x_CLP)^2+(E84-y_CLP)^2</f>
        <v>13585901.873503154</v>
      </c>
      <c r="H84" s="11">
        <f>(P_DBT5/F84+P_CLP/G84)/(1/F84+1/G84)</f>
        <v>78.70623102373546</v>
      </c>
      <c r="I84" s="11">
        <v>85</v>
      </c>
      <c r="J84" s="11">
        <f>4.2*I84/(10-0.058*I84)</f>
        <v>70.41420118343196</v>
      </c>
      <c r="K84" s="11">
        <f>25.4*(1000/J84-10)</f>
        <v>106.72268907563023</v>
      </c>
      <c r="L84" t="inlineStr">
        <is>
          <t>Área Urbana</t>
        </is>
      </c>
      <c r="M84" s="11">
        <f>IFERROR(VLOOKUP(L84,Classes_K,2,FALSE),"")</f>
        <v>0.0</v>
      </c>
      <c r="N84" t="inlineStr">
        <is>
          <t>Área Urbanizada</t>
        </is>
      </c>
      <c r="O84" s="11">
        <f>IFERROR(VLOOKUP(N84,Classes_C,2,FALSE),"")</f>
        <v>0.0</v>
      </c>
      <c r="P84" s="12">
        <v>0.3204282224178314</v>
      </c>
      <c r="Q84">
        <f>IF(COUNT(M84,O84,P84)=3,1,0)</f>
        <v>1</v>
      </c>
      <c r="R84" s="12">
        <f>IF(H84&lt;=p_lambda*K84,0,(H84-p_lambda*K84)^2/(H84+(1-p_lambda)*K84))</f>
        <v>29.89109781042671</v>
      </c>
      <c r="S84" s="13">
        <f>R84/1000*A_pixel*RI_mmh/R_evento_mm/3600</f>
        <v>0.0011876450827003134</v>
      </c>
      <c r="T84" s="13">
        <f>IF(Q84=1,coef_W*MAX(R84*S84*A_pixel,0)^exp_M*M84*O84*fator_P*P84,"")</f>
        <v>0.0</v>
      </c>
      <c r="U84" s="13">
        <f>IF(Q84=1,c_pura*T84,"")</f>
        <v>0.0</v>
      </c>
      <c r="V84" s="12">
        <f>IF(Q84=1,MIN(fator_f*R84,H84),"")</f>
        <v>36.614280612183464</v>
      </c>
      <c r="W84" s="13">
        <f>IF(Q84=1,V84/1000*A_pixel*RI_mmh/R_evento_mm/3600,"")</f>
        <v>0.001454773277363557</v>
      </c>
      <c r="X84" s="13">
        <f>IF(Q84=1,coef_W*MAX(V84*W84*A_pixel,0)^exp_M*M84*O84*fator_P*P84,"")</f>
        <v>0.0</v>
      </c>
      <c r="Y84" s="13">
        <f>IF(Q84=1,c_restr*X84,"")</f>
        <v>0.0</v>
      </c>
    </row>
    <row r="85">
      <c r="A85">
        <v>84</v>
      </c>
      <c r="B85">
        <v>13</v>
      </c>
      <c r="C85">
        <v>135</v>
      </c>
      <c r="D85" s="9">
        <f>X0_canto+(C85+0.5)*dx_pix</f>
        <v>322710.20407381223</v>
      </c>
      <c r="E85" s="9">
        <f>Y0_canto-(B85+0.5)*dy_pix</f>
        <v>7434653.603535753</v>
      </c>
      <c r="F85" s="10">
        <f>(D85-x_DBT5)^2+(E85-y_DBT5)^2</f>
        <v>734059484.9112083</v>
      </c>
      <c r="G85" s="10">
        <f>(D85-x_CLP)^2+(E85-y_CLP)^2</f>
        <v>13755824.440956054</v>
      </c>
      <c r="H85" s="11">
        <f>(P_DBT5/F85+P_CLP/G85)/(1/F85+1/G85)</f>
        <v>78.70200817799505</v>
      </c>
      <c r="I85" s="11">
        <v>85</v>
      </c>
      <c r="J85" s="11">
        <f>4.2*I85/(10-0.058*I85)</f>
        <v>70.41420118343196</v>
      </c>
      <c r="K85" s="11">
        <f>25.4*(1000/J85-10)</f>
        <v>106.72268907563023</v>
      </c>
      <c r="L85" t="inlineStr">
        <is>
          <t>Área Urbana</t>
        </is>
      </c>
      <c r="M85" s="11">
        <f>IFERROR(VLOOKUP(L85,Classes_K,2,FALSE),"")</f>
        <v>0.0</v>
      </c>
      <c r="N85" t="inlineStr">
        <is>
          <t>Área Urbanizada</t>
        </is>
      </c>
      <c r="O85" s="11">
        <f>IFERROR(VLOOKUP(N85,Classes_C,2,FALSE),"")</f>
        <v>0.0</v>
      </c>
      <c r="P85" s="12">
        <v>0.4197168052196503</v>
      </c>
      <c r="Q85">
        <f>IF(COUNT(M85,O85,P85)=3,1,0)</f>
        <v>1</v>
      </c>
      <c r="R85" s="12">
        <f>IF(H85&lt;=p_lambda*K85,0,(H85-p_lambda*K85)^2/(H85+(1-p_lambda)*K85))</f>
        <v>29.888357948081293</v>
      </c>
      <c r="S85" s="13">
        <f>R85/1000*A_pixel*RI_mmh/R_evento_mm/3600</f>
        <v>0.0011875362213910883</v>
      </c>
      <c r="T85" s="13">
        <f>IF(Q85=1,coef_W*MAX(R85*S85*A_pixel,0)^exp_M*M85*O85*fator_P*P85,"")</f>
        <v>0.0</v>
      </c>
      <c r="U85" s="13">
        <f>IF(Q85=1,c_pura*T85,"")</f>
        <v>0.0</v>
      </c>
      <c r="V85" s="12">
        <f>IF(Q85=1,MIN(fator_f*R85,H85),"")</f>
        <v>36.61092449293384</v>
      </c>
      <c r="W85" s="13">
        <f>IF(Q85=1,V85/1000*A_pixel*RI_mmh/R_evento_mm/3600,"")</f>
        <v>0.0014546399306879332</v>
      </c>
      <c r="X85" s="13">
        <f>IF(Q85=1,coef_W*MAX(V85*W85*A_pixel,0)^exp_M*M85*O85*fator_P*P85,"")</f>
        <v>0.0</v>
      </c>
      <c r="Y85" s="13">
        <f>IF(Q85=1,c_restr*X85,"")</f>
        <v>0.0</v>
      </c>
    </row>
    <row r="86">
      <c r="A86">
        <v>85</v>
      </c>
      <c r="B86">
        <v>13</v>
      </c>
      <c r="C86">
        <v>136</v>
      </c>
      <c r="D86" s="9">
        <f>X0_canto+(C86+0.5)*dx_pix</f>
        <v>322740.19564926473</v>
      </c>
      <c r="E86" s="9">
        <f>Y0_canto-(B86+0.5)*dy_pix</f>
        <v>7434653.603535753</v>
      </c>
      <c r="F86" s="10">
        <f>(D86-x_DBT5)^2+(E86-y_DBT5)^2</f>
        <v>732512180.5982268</v>
      </c>
      <c r="G86" s="10">
        <f>(D86-x_CLP)^2+(E86-y_CLP)^2</f>
        <v>13927545.9976052</v>
      </c>
      <c r="H86" s="11">
        <f>(P_DBT5/F86+P_CLP/G86)/(1/F86+1/G86)</f>
        <v>78.69773214056654</v>
      </c>
      <c r="I86" s="11">
        <v>77</v>
      </c>
      <c r="J86" s="11">
        <f>4.2*I86/(10-0.058*I86)</f>
        <v>58.438742320202394</v>
      </c>
      <c r="K86" s="11">
        <f>25.4*(1000/J86-10)</f>
        <v>180.64316635745197</v>
      </c>
      <c r="L86" t="inlineStr">
        <is>
          <t>Área Urbana</t>
        </is>
      </c>
      <c r="M86" s="11">
        <f>IFERROR(VLOOKUP(L86,Classes_K,2,FALSE),"")</f>
        <v>0.0</v>
      </c>
      <c r="N86" t="inlineStr">
        <is>
          <t>Campo</t>
        </is>
      </c>
      <c r="O86" s="11">
        <f>IFERROR(VLOOKUP(N86,Classes_C,2,FALSE),"")</f>
        <v>0.05000000074505806</v>
      </c>
      <c r="P86" s="12">
        <v>0.5086425542831421</v>
      </c>
      <c r="Q86">
        <f>IF(COUNT(M86,O86,P86)=3,1,0)</f>
        <v>1</v>
      </c>
      <c r="R86" s="12">
        <f>IF(H86&lt;=p_lambda*K86,0,(H86-p_lambda*K86)^2/(H86+(1-p_lambda)*K86))</f>
        <v>19.38922377441687</v>
      </c>
      <c r="S86" s="13">
        <f>R86/1000*A_pixel*RI_mmh/R_evento_mm/3600</f>
        <v>0.000770380412894359</v>
      </c>
      <c r="T86" s="13">
        <f>IF(Q86=1,coef_W*MAX(R86*S86*A_pixel,0)^exp_M*M86*O86*fator_P*P86,"")</f>
        <v>0.0</v>
      </c>
      <c r="U86" s="13">
        <f>IF(Q86=1,c_pura*T86,"")</f>
        <v>0.0</v>
      </c>
      <c r="V86" s="12">
        <f>IF(Q86=1,MIN(fator_f*R86,H86),"")</f>
        <v>23.750297986087375</v>
      </c>
      <c r="W86" s="13">
        <f>IF(Q86=1,V86/1000*A_pixel*RI_mmh/R_evento_mm/3600,"")</f>
        <v>0.000943656361995664</v>
      </c>
      <c r="X86" s="13">
        <f>IF(Q86=1,coef_W*MAX(V86*W86*A_pixel,0)^exp_M*M86*O86*fator_P*P86,"")</f>
        <v>0.0</v>
      </c>
      <c r="Y86" s="13">
        <f>IF(Q86=1,c_restr*X86,"")</f>
        <v>0.0</v>
      </c>
    </row>
    <row r="87">
      <c r="A87">
        <v>86</v>
      </c>
      <c r="B87">
        <v>13</v>
      </c>
      <c r="C87">
        <v>137</v>
      </c>
      <c r="D87" s="9">
        <f>X0_canto+(C87+0.5)*dx_pix</f>
        <v>322770.18722471717</v>
      </c>
      <c r="E87" s="9">
        <f>Y0_canto-(B87+0.5)*dy_pix</f>
        <v>7434653.603535753</v>
      </c>
      <c r="F87" s="10">
        <f>(D87-x_DBT5)^2+(E87-y_DBT5)^2</f>
        <v>730966675.2744445</v>
      </c>
      <c r="G87" s="10">
        <f>(D87-x_CLP)^2+(E87-y_CLP)^2</f>
        <v>14101066.543450251</v>
      </c>
      <c r="H87" s="11">
        <f>(P_DBT5/F87+P_CLP/G87)/(1/F87+1/G87)</f>
        <v>78.69340267878194</v>
      </c>
      <c r="I87" s="11">
        <v>77</v>
      </c>
      <c r="J87" s="11">
        <f>4.2*I87/(10-0.058*I87)</f>
        <v>58.438742320202394</v>
      </c>
      <c r="K87" s="11">
        <f>25.4*(1000/J87-10)</f>
        <v>180.64316635745197</v>
      </c>
      <c r="L87" t="inlineStr">
        <is>
          <t>Cambissolos Háplicos</t>
        </is>
      </c>
      <c r="M87" s="11">
        <f>IFERROR(VLOOKUP(L87,Classes_K,2,FALSE),"")</f>
        <v>0.04749999940395355</v>
      </c>
      <c r="N87" t="inlineStr">
        <is>
          <t>Campo</t>
        </is>
      </c>
      <c r="O87" s="11">
        <f>IFERROR(VLOOKUP(N87,Classes_C,2,FALSE),"")</f>
        <v>0.05000000074505806</v>
      </c>
      <c r="P87" s="12">
        <v>0.5737671852111816</v>
      </c>
      <c r="Q87">
        <f>IF(COUNT(M87,O87,P87)=3,1,0)</f>
        <v>1</v>
      </c>
      <c r="R87" s="12">
        <f>IF(H87&lt;=p_lambda*K87,0,(H87-p_lambda*K87)^2/(H87+(1-p_lambda)*K87))</f>
        <v>19.387149239533354</v>
      </c>
      <c r="S87" s="13">
        <f>R87/1000*A_pixel*RI_mmh/R_evento_mm/3600</f>
        <v>0.000770297986642606</v>
      </c>
      <c r="T87" s="13">
        <f>IF(Q87=1,coef_W*MAX(R87*S87*A_pixel,0)^exp_M*M87*O87*fator_P*P87,"")</f>
        <v>0.06878830161922252</v>
      </c>
      <c r="U87" s="13">
        <f>IF(Q87=1,c_pura*T87,"")</f>
        <v>0.007340107730458646</v>
      </c>
      <c r="V87" s="12">
        <f>IF(Q87=1,MIN(fator_f*R87,H87),"")</f>
        <v>23.747756841468114</v>
      </c>
      <c r="W87" s="13">
        <f>IF(Q87=1,V87/1000*A_pixel*RI_mmh/R_evento_mm/3600,"")</f>
        <v>0.0009435553962188082</v>
      </c>
      <c r="X87" s="13">
        <f>IF(Q87=1,coef_W*MAX(V87*W87*A_pixel,0)^exp_M*M87*O87*fator_P*P87,"")</f>
        <v>0.08633686277774447</v>
      </c>
      <c r="Y87" s="13">
        <f>IF(Q87=1,c_restr*X87,"")</f>
        <v>0.011945716893774211</v>
      </c>
    </row>
    <row r="88">
      <c r="A88">
        <v>87</v>
      </c>
      <c r="B88">
        <v>13</v>
      </c>
      <c r="C88">
        <v>138</v>
      </c>
      <c r="D88" s="9">
        <f>X0_canto+(C88+0.5)*dx_pix</f>
        <v>322800.17880016967</v>
      </c>
      <c r="E88" s="9">
        <f>Y0_canto-(B88+0.5)*dy_pix</f>
        <v>7434653.603535753</v>
      </c>
      <c r="F88" s="10">
        <f>(D88-x_DBT5)^2+(E88-y_DBT5)^2</f>
        <v>729422968.9398553</v>
      </c>
      <c r="G88" s="10">
        <f>(D88-x_CLP)^2+(E88-y_CLP)^2</f>
        <v>14276386.078491885</v>
      </c>
      <c r="H88" s="11">
        <f>(P_DBT5/F88+P_CLP/G88)/(1/F88+1/G88)</f>
        <v>78.6890195598048</v>
      </c>
      <c r="I88" s="11">
        <v>77</v>
      </c>
      <c r="J88" s="11">
        <f>4.2*I88/(10-0.058*I88)</f>
        <v>58.438742320202394</v>
      </c>
      <c r="K88" s="11">
        <f>25.4*(1000/J88-10)</f>
        <v>180.64316635745197</v>
      </c>
      <c r="L88" t="inlineStr">
        <is>
          <t>Cambissolos Háplicos</t>
        </is>
      </c>
      <c r="M88" s="11">
        <f>IFERROR(VLOOKUP(L88,Classes_K,2,FALSE),"")</f>
        <v>0.04749999940395355</v>
      </c>
      <c r="N88" t="inlineStr">
        <is>
          <t>Campo</t>
        </is>
      </c>
      <c r="O88" s="11">
        <f>IFERROR(VLOOKUP(N88,Classes_C,2,FALSE),"")</f>
        <v>0.05000000074505806</v>
      </c>
      <c r="P88" s="12">
        <v>0.6448553800582886</v>
      </c>
      <c r="Q88">
        <f>IF(COUNT(M88,O88,P88)=3,1,0)</f>
        <v>1</v>
      </c>
      <c r="R88" s="12">
        <f>IF(H88&lt;=p_lambda*K88,0,(H88-p_lambda*K88)^2/(H88+(1-p_lambda)*K88))</f>
        <v>19.385049073361486</v>
      </c>
      <c r="S88" s="13">
        <f>R88/1000*A_pixel*RI_mmh/R_evento_mm/3600</f>
        <v>0.0007702145419982276</v>
      </c>
      <c r="T88" s="13">
        <f>IF(Q88=1,coef_W*MAX(R88*S88*A_pixel,0)^exp_M*M88*O88*fator_P*P88,"")</f>
        <v>0.07730160538032121</v>
      </c>
      <c r="U88" s="13">
        <f>IF(Q88=1,c_pura*T88,"")</f>
        <v>0.008248526244619506</v>
      </c>
      <c r="V88" s="12">
        <f>IF(Q88=1,MIN(fator_f*R88,H88),"")</f>
        <v>23.745184300505027</v>
      </c>
      <c r="W88" s="13">
        <f>IF(Q88=1,V88/1000*A_pixel*RI_mmh/R_evento_mm/3600,"")</f>
        <v>0.0009434531829898319</v>
      </c>
      <c r="X88" s="13">
        <f>IF(Q88=1,coef_W*MAX(V88*W88*A_pixel,0)^exp_M*M88*O88*fator_P*P88,"")</f>
        <v>0.09702199268073132</v>
      </c>
      <c r="Y88" s="13">
        <f>IF(Q88=1,c_restr*X88,"")</f>
        <v>0.013424129853055203</v>
      </c>
    </row>
    <row r="89">
      <c r="A89">
        <v>88</v>
      </c>
      <c r="B89">
        <v>13</v>
      </c>
      <c r="C89">
        <v>139</v>
      </c>
      <c r="D89" s="9">
        <f>X0_canto+(C89+0.5)*dx_pix</f>
        <v>322830.17037562217</v>
      </c>
      <c r="E89" s="9">
        <f>Y0_canto-(B89+0.5)*dy_pix</f>
        <v>7434653.603535753</v>
      </c>
      <c r="F89" s="10">
        <f>(D89-x_DBT5)^2+(E89-y_DBT5)^2</f>
        <v>727881061.5944625</v>
      </c>
      <c r="G89" s="10">
        <f>(D89-x_CLP)^2+(E89-y_CLP)^2</f>
        <v>14453504.602729768</v>
      </c>
      <c r="H89" s="11">
        <f>(P_DBT5/F89+P_CLP/G89)/(1/F89+1/G89)</f>
        <v>78.68458255064013</v>
      </c>
      <c r="I89" s="11">
        <v>77</v>
      </c>
      <c r="J89" s="11">
        <f>4.2*I89/(10-0.058*I89)</f>
        <v>58.438742320202394</v>
      </c>
      <c r="K89" s="11">
        <f>25.4*(1000/J89-10)</f>
        <v>180.64316635745197</v>
      </c>
      <c r="L89" t="inlineStr">
        <is>
          <t>Cambissolos Háplicos</t>
        </is>
      </c>
      <c r="M89" s="11">
        <f>IFERROR(VLOOKUP(L89,Classes_K,2,FALSE),"")</f>
        <v>0.04749999940395355</v>
      </c>
      <c r="N89" t="inlineStr">
        <is>
          <t>Mata Nativa</t>
        </is>
      </c>
      <c r="O89" s="11">
        <f>IFERROR(VLOOKUP(N89,Classes_C,2,FALSE),"")</f>
        <v>0.014999999664723873</v>
      </c>
      <c r="P89" s="12">
        <v>0.798005223274231</v>
      </c>
      <c r="Q89">
        <f>IF(COUNT(M89,O89,P89)=3,1,0)</f>
        <v>1</v>
      </c>
      <c r="R89" s="12">
        <f>IF(H89&lt;=p_lambda*K89,0,(H89-p_lambda*K89)^2/(H89+(1-p_lambda)*K89))</f>
        <v>19.38292316720899</v>
      </c>
      <c r="S89" s="13">
        <f>R89/1000*A_pixel*RI_mmh/R_evento_mm/3600</f>
        <v>0.0007701300746426186</v>
      </c>
      <c r="T89" s="13">
        <f>IF(Q89=1,coef_W*MAX(R89*S89*A_pixel,0)^exp_M*M89*O89*fator_P*P89,"")</f>
        <v>0.02869457601990561</v>
      </c>
      <c r="U89" s="13">
        <f>IF(Q89=1,c_pura*T89,"")</f>
        <v>0.0030618764282310104</v>
      </c>
      <c r="V89" s="12">
        <f>IF(Q89=1,MIN(fator_f*R89,H89),"")</f>
        <v>23.74258023005849</v>
      </c>
      <c r="W89" s="13">
        <f>IF(Q89=1,V89/1000*A_pixel*RI_mmh/R_evento_mm/3600,"")</f>
        <v>0.0009433497170187775</v>
      </c>
      <c r="X89" s="13">
        <f>IF(Q89=1,coef_W*MAX(V89*W89*A_pixel,0)^exp_M*M89*O89*fator_P*P89,"")</f>
        <v>0.03601483993615351</v>
      </c>
      <c r="Y89" s="13">
        <f>IF(Q89=1,c_restr*X89,"")</f>
        <v>0.004983075224303657</v>
      </c>
    </row>
    <row r="90">
      <c r="A90">
        <v>89</v>
      </c>
      <c r="B90">
        <v>13</v>
      </c>
      <c r="C90">
        <v>140</v>
      </c>
      <c r="D90" s="9">
        <f>X0_canto+(C90+0.5)*dx_pix</f>
        <v>322860.16195107467</v>
      </c>
      <c r="E90" s="9">
        <f>Y0_canto-(B90+0.5)*dy_pix</f>
        <v>7434653.603535753</v>
      </c>
      <c r="F90" s="10">
        <f>(D90-x_DBT5)^2+(E90-y_DBT5)^2</f>
        <v>726340953.238266</v>
      </c>
      <c r="G90" s="10">
        <f>(D90-x_CLP)^2+(E90-y_CLP)^2</f>
        <v>14632422.11616389</v>
      </c>
      <c r="H90" s="11">
        <f>(P_DBT5/F90+P_CLP/G90)/(1/F90+1/G90)</f>
        <v>78.68009141814402</v>
      </c>
      <c r="I90" s="11">
        <v>65</v>
      </c>
      <c r="J90" s="11">
        <f>4.2*I90/(10-0.058*I90)</f>
        <v>43.82022471910112</v>
      </c>
      <c r="K90" s="11">
        <f>25.4*(1000/J90-10)</f>
        <v>325.64102564102564</v>
      </c>
      <c r="L90" t="inlineStr">
        <is>
          <t>Cambissolos Háplicos</t>
        </is>
      </c>
      <c r="M90" s="11">
        <f>IFERROR(VLOOKUP(L90,Classes_K,2,FALSE),"")</f>
        <v>0.04749999940395355</v>
      </c>
      <c r="N90" t="inlineStr">
        <is>
          <t>Mata Nativa</t>
        </is>
      </c>
      <c r="O90" s="11">
        <f>IFERROR(VLOOKUP(N90,Classes_C,2,FALSE),"")</f>
        <v>0.014999999664723873</v>
      </c>
      <c r="P90" s="12">
        <v>0.9620909690856934</v>
      </c>
      <c r="Q90">
        <f>IF(COUNT(M90,O90,P90)=3,1,0)</f>
        <v>1</v>
      </c>
      <c r="R90" s="12">
        <f>IF(H90&lt;=p_lambda*K90,0,(H90-p_lambda*K90)^2/(H90+(1-p_lambda)*K90))</f>
        <v>10.033823282787187</v>
      </c>
      <c r="S90" s="13">
        <f>R90/1000*A_pixel*RI_mmh/R_evento_mm/3600</f>
        <v>0.000398667889619274</v>
      </c>
      <c r="T90" s="13">
        <f>IF(Q90=1,coef_W*MAX(R90*S90*A_pixel,0)^exp_M*M90*O90*fator_P*P90,"")</f>
        <v>0.01654790620866257</v>
      </c>
      <c r="U90" s="13">
        <f>IF(Q90=1,c_pura*T90,"")</f>
        <v>0.0017657568427473208</v>
      </c>
      <c r="V90" s="12">
        <f>IF(Q90=1,MIN(fator_f*R90,H90),"")</f>
        <v>12.290656690463836</v>
      </c>
      <c r="W90" s="13">
        <f>IF(Q90=1,V90/1000*A_pixel*RI_mmh/R_evento_mm/3600,"")</f>
        <v>0.000488337299424825</v>
      </c>
      <c r="X90" s="13">
        <f>IF(Q90=1,coef_W*MAX(V90*W90*A_pixel,0)^exp_M*M90*O90*fator_P*P90,"")</f>
        <v>0.020769437156695915</v>
      </c>
      <c r="Y90" s="13">
        <f>IF(Q90=1,c_restr*X90,"")</f>
        <v>0.0028736950629723347</v>
      </c>
    </row>
    <row r="91">
      <c r="A91">
        <v>90</v>
      </c>
      <c r="B91">
        <v>13</v>
      </c>
      <c r="C91">
        <v>141</v>
      </c>
      <c r="D91" s="9">
        <f>X0_canto+(C91+0.5)*dx_pix</f>
        <v>322890.15352652717</v>
      </c>
      <c r="E91" s="9">
        <f>Y0_canto-(B91+0.5)*dy_pix</f>
        <v>7434653.603535753</v>
      </c>
      <c r="F91" s="10">
        <f>(D91-x_DBT5)^2+(E91-y_DBT5)^2</f>
        <v>724802643.8712656</v>
      </c>
      <c r="G91" s="10">
        <f>(D91-x_CLP)^2+(E91-y_CLP)^2</f>
        <v>14813138.618794262</v>
      </c>
      <c r="H91" s="11">
        <f>(P_DBT5/F91+P_CLP/G91)/(1/F91+1/G91)</f>
        <v>78.67554592903376</v>
      </c>
      <c r="I91" s="11">
        <v>65</v>
      </c>
      <c r="J91" s="11">
        <f>4.2*I91/(10-0.058*I91)</f>
        <v>43.82022471910112</v>
      </c>
      <c r="K91" s="11">
        <f>25.4*(1000/J91-10)</f>
        <v>325.64102564102564</v>
      </c>
      <c r="L91" t="inlineStr">
        <is>
          <t>Cambissolos Háplicos</t>
        </is>
      </c>
      <c r="M91" s="11">
        <f>IFERROR(VLOOKUP(L91,Classes_K,2,FALSE),"")</f>
        <v>0.04749999940395355</v>
      </c>
      <c r="N91" t="inlineStr">
        <is>
          <t>Mata Nativa</t>
        </is>
      </c>
      <c r="O91" s="11">
        <f>IFERROR(VLOOKUP(N91,Classes_C,2,FALSE),"")</f>
        <v>0.014999999664723873</v>
      </c>
      <c r="P91" s="12">
        <v>0.7969142198562622</v>
      </c>
      <c r="Q91">
        <f>IF(COUNT(M91,O91,P91)=3,1,0)</f>
        <v>1</v>
      </c>
      <c r="R91" s="12">
        <f>IF(H91&lt;=p_lambda*K91,0,(H91-p_lambda*K91)^2/(H91+(1-p_lambda)*K91))</f>
        <v>10.032478995357412</v>
      </c>
      <c r="S91" s="13">
        <f>R91/1000*A_pixel*RI_mmh/R_evento_mm/3600</f>
        <v>0.0003986144778521374</v>
      </c>
      <c r="T91" s="13">
        <f>IF(Q91=1,coef_W*MAX(R91*S91*A_pixel,0)^exp_M*M91*O91*fator_P*P91,"")</f>
        <v>0.013704819421805287</v>
      </c>
      <c r="U91" s="13">
        <f>IF(Q91=1,c_pura*T91,"")</f>
        <v>0.0014623831176902048</v>
      </c>
      <c r="V91" s="12">
        <f>IF(Q91=1,MIN(fator_f*R91,H91),"")</f>
        <v>12.289010042438749</v>
      </c>
      <c r="W91" s="13">
        <f>IF(Q91=1,V91/1000*A_pixel*RI_mmh/R_evento_mm/3600,"")</f>
        <v>0.0004882718741452874</v>
      </c>
      <c r="X91" s="13">
        <f>IF(Q91=1,coef_W*MAX(V91*W91*A_pixel,0)^exp_M*M91*O91*fator_P*P91,"")</f>
        <v>0.017201051428249285</v>
      </c>
      <c r="Y91" s="13">
        <f>IF(Q91=1,c_restr*X91,"")</f>
        <v>0.0023799670734629005</v>
      </c>
    </row>
    <row r="92">
      <c r="A92">
        <v>91</v>
      </c>
      <c r="B92">
        <v>13</v>
      </c>
      <c r="C92">
        <v>142</v>
      </c>
      <c r="D92" s="9">
        <f>X0_canto+(C92+0.5)*dx_pix</f>
        <v>322920.14510197967</v>
      </c>
      <c r="E92" s="9">
        <f>Y0_canto-(B92+0.5)*dy_pix</f>
        <v>7434653.603535753</v>
      </c>
      <c r="F92" s="10">
        <f>(D92-x_DBT5)^2+(E92-y_DBT5)^2</f>
        <v>723266133.4934615</v>
      </c>
      <c r="G92" s="10">
        <f>(D92-x_CLP)^2+(E92-y_CLP)^2</f>
        <v>14995654.110620879</v>
      </c>
      <c r="H92" s="11">
        <f>(P_DBT5/F92+P_CLP/G92)/(1/F92+1/G92)</f>
        <v>78.67094584989802</v>
      </c>
      <c r="I92" s="11">
        <v>77</v>
      </c>
      <c r="J92" s="11">
        <f>4.2*I92/(10-0.058*I92)</f>
        <v>58.438742320202394</v>
      </c>
      <c r="K92" s="11">
        <f>25.4*(1000/J92-10)</f>
        <v>180.64316635745197</v>
      </c>
      <c r="L92" t="inlineStr">
        <is>
          <t>Cambissolos Háplicos</t>
        </is>
      </c>
      <c r="M92" s="11">
        <f>IFERROR(VLOOKUP(L92,Classes_K,2,FALSE),"")</f>
        <v>0.04749999940395355</v>
      </c>
      <c r="N92" t="inlineStr">
        <is>
          <t>Mata Nativa</t>
        </is>
      </c>
      <c r="O92" s="11">
        <f>IFERROR(VLOOKUP(N92,Classes_C,2,FALSE),"")</f>
        <v>0.014999999664723873</v>
      </c>
      <c r="P92" s="12">
        <v>0.6690049767494202</v>
      </c>
      <c r="Q92">
        <f>IF(COUNT(M92,O92,P92)=3,1,0)</f>
        <v>1</v>
      </c>
      <c r="R92" s="12">
        <f>IF(H92&lt;=p_lambda*K92,0,(H92-p_lambda*K92)^2/(H92+(1-p_lambda)*K92))</f>
        <v>19.376389921712487</v>
      </c>
      <c r="S92" s="13">
        <f>R92/1000*A_pixel*RI_mmh/R_evento_mm/3600</f>
        <v>0.0007698704931131211</v>
      </c>
      <c r="T92" s="13">
        <f>IF(Q92=1,coef_W*MAX(R92*S92*A_pixel,0)^exp_M*M92*O92*fator_P*P92,"")</f>
        <v>0.024046919459758523</v>
      </c>
      <c r="U92" s="13">
        <f>IF(Q92=1,c_pura*T92,"")</f>
        <v>0.0025659447212019273</v>
      </c>
      <c r="V92" s="12">
        <f>IF(Q92=1,MIN(fator_f*R92,H92),"")</f>
        <v>23.734577510137182</v>
      </c>
      <c r="W92" s="13">
        <f>IF(Q92=1,V92/1000*A_pixel*RI_mmh/R_evento_mm/3600,"")</f>
        <v>0.0009430317497422645</v>
      </c>
      <c r="X92" s="13">
        <f>IF(Q92=1,coef_W*MAX(V92*W92*A_pixel,0)^exp_M*M92*O92*fator_P*P92,"")</f>
        <v>0.030181521228959653</v>
      </c>
      <c r="Y92" s="13">
        <f>IF(Q92=1,c_restr*X92,"")</f>
        <v>0.004175967210584431</v>
      </c>
    </row>
    <row r="93">
      <c r="A93">
        <v>92</v>
      </c>
      <c r="B93">
        <v>13</v>
      </c>
      <c r="C93">
        <v>143</v>
      </c>
      <c r="D93" s="9">
        <f>X0_canto+(C93+0.5)*dx_pix</f>
        <v>322950.1366774321</v>
      </c>
      <c r="E93" s="9">
        <f>Y0_canto-(B93+0.5)*dy_pix</f>
        <v>7434653.603535753</v>
      </c>
      <c r="F93" s="10">
        <f>(D93-x_DBT5)^2+(E93-y_DBT5)^2</f>
        <v>721731422.1048567</v>
      </c>
      <c r="G93" s="10">
        <f>(D93-x_CLP)^2+(E93-y_CLP)^2</f>
        <v>15179968.591643386</v>
      </c>
      <c r="H93" s="11">
        <f>(P_DBT5/F93+P_CLP/G93)/(1/F93+1/G93)</f>
        <v>78.66629094720678</v>
      </c>
      <c r="I93" s="11">
        <v>77</v>
      </c>
      <c r="J93" s="11">
        <f>4.2*I93/(10-0.058*I93)</f>
        <v>58.438742320202394</v>
      </c>
      <c r="K93" s="11">
        <f>25.4*(1000/J93-10)</f>
        <v>180.64316635745197</v>
      </c>
      <c r="L93" t="inlineStr">
        <is>
          <t>Cambissolos Háplicos</t>
        </is>
      </c>
      <c r="M93" s="11">
        <f>IFERROR(VLOOKUP(L93,Classes_K,2,FALSE),"")</f>
        <v>0.04749999940395355</v>
      </c>
      <c r="N93" t="inlineStr">
        <is>
          <t>Mata Nativa</t>
        </is>
      </c>
      <c r="O93" s="11">
        <f>IFERROR(VLOOKUP(N93,Classes_C,2,FALSE),"")</f>
        <v>0.014999999664723873</v>
      </c>
      <c r="P93" s="12">
        <v>0.6651260852813721</v>
      </c>
      <c r="Q93">
        <f>IF(COUNT(M93,O93,P93)=3,1,0)</f>
        <v>1</v>
      </c>
      <c r="R93" s="12">
        <f>IF(H93&lt;=p_lambda*K93,0,(H93-p_lambda*K93)^2/(H93+(1-p_lambda)*K93))</f>
        <v>19.37415996844248</v>
      </c>
      <c r="S93" s="13">
        <f>R93/1000*A_pixel*RI_mmh/R_evento_mm/3600</f>
        <v>0.0007697818917157226</v>
      </c>
      <c r="T93" s="13">
        <f>IF(Q93=1,coef_W*MAX(R93*S93*A_pixel,0)^exp_M*M93*O93*fator_P*P93,"")</f>
        <v>0.023904413828958495</v>
      </c>
      <c r="U93" s="13">
        <f>IF(Q93=1,c_pura*T93,"")</f>
        <v>0.0025507385501285468</v>
      </c>
      <c r="V93" s="12">
        <f>IF(Q93=1,MIN(fator_f*R93,H93),"")</f>
        <v>23.73184599002715</v>
      </c>
      <c r="W93" s="13">
        <f>IF(Q93=1,V93/1000*A_pixel*RI_mmh/R_evento_mm/3600,"")</f>
        <v>0.0009429232198900806</v>
      </c>
      <c r="X93" s="13">
        <f>IF(Q93=1,coef_W*MAX(V93*W93*A_pixel,0)^exp_M*M93*O93*fator_P*P93,"")</f>
        <v>0.03000266103323125</v>
      </c>
      <c r="Y93" s="13">
        <f>IF(Q93=1,c_restr*X93,"")</f>
        <v>0.004151219806138699</v>
      </c>
    </row>
    <row r="94">
      <c r="A94">
        <v>93</v>
      </c>
      <c r="B94">
        <v>13</v>
      </c>
      <c r="C94">
        <v>144</v>
      </c>
      <c r="D94" s="9">
        <f>X0_canto+(C94+0.5)*dx_pix</f>
        <v>322980.1282528846</v>
      </c>
      <c r="E94" s="9">
        <f>Y0_canto-(B94+0.5)*dy_pix</f>
        <v>7434653.603535753</v>
      </c>
      <c r="F94" s="10">
        <f>(D94-x_DBT5)^2+(E94-y_DBT5)^2</f>
        <v>720198509.705445</v>
      </c>
      <c r="G94" s="10">
        <f>(D94-x_CLP)^2+(E94-y_CLP)^2</f>
        <v>15366082.061862491</v>
      </c>
      <c r="H94" s="11">
        <f>(P_DBT5/F94+P_CLP/G94)/(1/F94+1/G94)</f>
        <v>78.66158098732184</v>
      </c>
      <c r="I94" s="11">
        <v>77</v>
      </c>
      <c r="J94" s="11">
        <f>4.2*I94/(10-0.058*I94)</f>
        <v>58.438742320202394</v>
      </c>
      <c r="K94" s="11">
        <f>25.4*(1000/J94-10)</f>
        <v>180.64316635745197</v>
      </c>
      <c r="L94" t="inlineStr">
        <is>
          <t>Cambissolos Háplicos</t>
        </is>
      </c>
      <c r="M94" s="11">
        <f>IFERROR(VLOOKUP(L94,Classes_K,2,FALSE),"")</f>
        <v>0.04749999940395355</v>
      </c>
      <c r="N94" t="inlineStr">
        <is>
          <t>Mata Nativa</t>
        </is>
      </c>
      <c r="O94" s="11">
        <f>IFERROR(VLOOKUP(N94,Classes_C,2,FALSE),"")</f>
        <v>0.014999999664723873</v>
      </c>
      <c r="P94" s="12">
        <v>0.5922365784645081</v>
      </c>
      <c r="Q94">
        <f>IF(COUNT(M94,O94,P94)=3,1,0)</f>
        <v>1</v>
      </c>
      <c r="R94" s="12">
        <f>IF(H94&lt;=p_lambda*K94,0,(H94-p_lambda*K94)^2/(H94+(1-p_lambda)*K94))</f>
        <v>19.371903731573596</v>
      </c>
      <c r="S94" s="13">
        <f>R94/1000*A_pixel*RI_mmh/R_evento_mm/3600</f>
        <v>0.0007696922460078357</v>
      </c>
      <c r="T94" s="13">
        <f>IF(Q94=1,coef_W*MAX(R94*S94*A_pixel,0)^exp_M*M94*O94*fator_P*P94,"")</f>
        <v>0.02128201263797971</v>
      </c>
      <c r="U94" s="13">
        <f>IF(Q94=1,c_pura*T94,"")</f>
        <v>0.00227091324842509</v>
      </c>
      <c r="V94" s="12">
        <f>IF(Q94=1,MIN(fator_f*R94,H94),"")</f>
        <v>23.729082274543405</v>
      </c>
      <c r="W94" s="13">
        <f>IF(Q94=1,V94/1000*A_pixel*RI_mmh/R_evento_mm/3600,"")</f>
        <v>0.0009428134108384001</v>
      </c>
      <c r="X94" s="13">
        <f>IF(Q94=1,coef_W*MAX(V94*W94*A_pixel,0)^exp_M*M94*O94*fator_P*P94,"")</f>
        <v>0.026711259930947615</v>
      </c>
      <c r="Y94" s="13">
        <f>IF(Q94=1,c_restr*X94,"")</f>
        <v>0.00369581588611264</v>
      </c>
    </row>
    <row r="95">
      <c r="A95">
        <v>94</v>
      </c>
      <c r="B95">
        <v>13</v>
      </c>
      <c r="C95">
        <v>145</v>
      </c>
      <c r="D95" s="9">
        <f>X0_canto+(C95+0.5)*dx_pix</f>
        <v>323010.1198283371</v>
      </c>
      <c r="E95" s="9">
        <f>Y0_canto-(B95+0.5)*dy_pix</f>
        <v>7434653.603535753</v>
      </c>
      <c r="F95" s="10">
        <f>(D95-x_DBT5)^2+(E95-y_DBT5)^2</f>
        <v>718667396.2952298</v>
      </c>
      <c r="G95" s="10">
        <f>(D95-x_CLP)^2+(E95-y_CLP)^2</f>
        <v>15553994.521277841</v>
      </c>
      <c r="H95" s="11">
        <f>(P_DBT5/F95+P_CLP/G95)/(1/F95+1/G95)</f>
        <v>78.65681573650734</v>
      </c>
      <c r="I95" s="11">
        <v>77</v>
      </c>
      <c r="J95" s="11">
        <f>4.2*I95/(10-0.058*I95)</f>
        <v>58.438742320202394</v>
      </c>
      <c r="K95" s="11">
        <f>25.4*(1000/J95-10)</f>
        <v>180.64316635745197</v>
      </c>
      <c r="L95" t="inlineStr">
        <is>
          <t>Área Urbana</t>
        </is>
      </c>
      <c r="M95" s="11">
        <f>IFERROR(VLOOKUP(L95,Classes_K,2,FALSE),"")</f>
        <v>0.0</v>
      </c>
      <c r="N95" t="inlineStr">
        <is>
          <t>Área Urbanizada</t>
        </is>
      </c>
      <c r="O95" s="11">
        <f>IFERROR(VLOOKUP(N95,Classes_C,2,FALSE),"")</f>
        <v>0.0</v>
      </c>
      <c r="P95" s="12">
        <v>0.5399587750434875</v>
      </c>
      <c r="Q95">
        <f>IF(COUNT(M95,O95,P95)=3,1,0)</f>
        <v>1</v>
      </c>
      <c r="R95" s="12">
        <f>IF(H95&lt;=p_lambda*K95,0,(H95-p_lambda*K95)^2/(H95+(1-p_lambda)*K95))</f>
        <v>19.369621102388958</v>
      </c>
      <c r="S95" s="13">
        <f>R95/1000*A_pixel*RI_mmh/R_evento_mm/3600</f>
        <v>0.0007696015516698773</v>
      </c>
      <c r="T95" s="13">
        <f>IF(Q95=1,coef_W*MAX(R95*S95*A_pixel,0)^exp_M*M95*O95*fator_P*P95,"")</f>
        <v>0.0</v>
      </c>
      <c r="U95" s="13">
        <f>IF(Q95=1,c_pura*T95,"")</f>
        <v>0.0</v>
      </c>
      <c r="V95" s="12">
        <f>IF(Q95=1,MIN(fator_f*R95,H95),"")</f>
        <v>23.726286230516184</v>
      </c>
      <c r="W95" s="13">
        <f>IF(Q95=1,V95/1000*A_pixel*RI_mmh/R_evento_mm/3600,"")</f>
        <v>0.0009427023172960686</v>
      </c>
      <c r="X95" s="13">
        <f>IF(Q95=1,coef_W*MAX(V95*W95*A_pixel,0)^exp_M*M95*O95*fator_P*P95,"")</f>
        <v>0.0</v>
      </c>
      <c r="Y95" s="13">
        <f>IF(Q95=1,c_restr*X95,"")</f>
        <v>0.0</v>
      </c>
    </row>
    <row r="96">
      <c r="A96">
        <v>95</v>
      </c>
      <c r="B96">
        <v>13</v>
      </c>
      <c r="C96">
        <v>146</v>
      </c>
      <c r="D96" s="9">
        <f>X0_canto+(C96+0.5)*dx_pix</f>
        <v>323040.1114037896</v>
      </c>
      <c r="E96" s="9">
        <f>Y0_canto-(B96+0.5)*dy_pix</f>
        <v>7434653.603535753</v>
      </c>
      <c r="F96" s="10">
        <f>(D96-x_DBT5)^2+(E96-y_DBT5)^2</f>
        <v>717138081.8742106</v>
      </c>
      <c r="G96" s="10">
        <f>(D96-x_CLP)^2+(E96-y_CLP)^2</f>
        <v>15743705.96988944</v>
      </c>
      <c r="H96" s="11">
        <f>(P_DBT5/F96+P_CLP/G96)/(1/F96+1/G96)</f>
        <v>78.65199496094016</v>
      </c>
      <c r="I96" s="11">
        <v>85</v>
      </c>
      <c r="J96" s="11">
        <f>4.2*I96/(10-0.058*I96)</f>
        <v>70.41420118343196</v>
      </c>
      <c r="K96" s="11">
        <f>25.4*(1000/J96-10)</f>
        <v>106.72268907563023</v>
      </c>
      <c r="L96" t="inlineStr">
        <is>
          <t>Área Urbana</t>
        </is>
      </c>
      <c r="M96" s="11">
        <f>IFERROR(VLOOKUP(L96,Classes_K,2,FALSE),"")</f>
        <v>0.0</v>
      </c>
      <c r="N96" t="inlineStr">
        <is>
          <t>Área Urbanizada</t>
        </is>
      </c>
      <c r="O96" s="11">
        <f>IFERROR(VLOOKUP(N96,Classes_C,2,FALSE),"")</f>
        <v>0.0</v>
      </c>
      <c r="P96" s="12">
        <v>0.4947569072246552</v>
      </c>
      <c r="Q96">
        <f>IF(COUNT(M96,O96,P96)=3,1,0)</f>
        <v>1</v>
      </c>
      <c r="R96" s="12">
        <f>IF(H96&lt;=p_lambda*K96,0,(H96-p_lambda*K96)^2/(H96+(1-p_lambda)*K96))</f>
        <v>29.855913716042284</v>
      </c>
      <c r="S96" s="13">
        <f>R96/1000*A_pixel*RI_mmh/R_evento_mm/3600</f>
        <v>0.0011862471341555678</v>
      </c>
      <c r="T96" s="13">
        <f>IF(Q96=1,coef_W*MAX(R96*S96*A_pixel,0)^exp_M*M96*O96*fator_P*P96,"")</f>
        <v>0.0</v>
      </c>
      <c r="U96" s="13">
        <f>IF(Q96=1,c_pura*T96,"")</f>
        <v>0.0</v>
      </c>
      <c r="V96" s="12">
        <f>IF(Q96=1,MIN(fator_f*R96,H96),"")</f>
        <v>36.57118282055844</v>
      </c>
      <c r="W96" s="13">
        <f>IF(Q96=1,V96/1000*A_pixel*RI_mmh/R_evento_mm/3600,"")</f>
        <v>0.0014530608986271412</v>
      </c>
      <c r="X96" s="13">
        <f>IF(Q96=1,coef_W*MAX(V96*W96*A_pixel,0)^exp_M*M96*O96*fator_P*P96,"")</f>
        <v>0.0</v>
      </c>
      <c r="Y96" s="13">
        <f>IF(Q96=1,c_restr*X96,"")</f>
        <v>0.0</v>
      </c>
    </row>
    <row r="97">
      <c r="A97">
        <v>96</v>
      </c>
      <c r="B97">
        <v>13</v>
      </c>
      <c r="C97">
        <v>147</v>
      </c>
      <c r="D97" s="9">
        <f>X0_canto+(C97+0.5)*dx_pix</f>
        <v>323070.1029792421</v>
      </c>
      <c r="E97" s="9">
        <f>Y0_canto-(B97+0.5)*dy_pix</f>
        <v>7434653.603535753</v>
      </c>
      <c r="F97" s="10">
        <f>(D97-x_DBT5)^2+(E97-y_DBT5)^2</f>
        <v>715610566.4423878</v>
      </c>
      <c r="G97" s="10">
        <f>(D97-x_CLP)^2+(E97-y_CLP)^2</f>
        <v>15935216.407697283</v>
      </c>
      <c r="H97" s="11">
        <f>(P_DBT5/F97+P_CLP/G97)/(1/F97+1/G97)</f>
        <v>78.64711842672078</v>
      </c>
      <c r="I97" s="11">
        <v>85</v>
      </c>
      <c r="J97" s="11">
        <f>4.2*I97/(10-0.058*I97)</f>
        <v>70.41420118343196</v>
      </c>
      <c r="K97" s="11">
        <f>25.4*(1000/J97-10)</f>
        <v>106.72268907563023</v>
      </c>
      <c r="L97" t="inlineStr">
        <is>
          <t>Área Urbana</t>
        </is>
      </c>
      <c r="M97" s="11">
        <f>IFERROR(VLOOKUP(L97,Classes_K,2,FALSE),"")</f>
        <v>0.0</v>
      </c>
      <c r="N97" t="inlineStr">
        <is>
          <t>Área Urbanizada</t>
        </is>
      </c>
      <c r="O97" s="11">
        <f>IFERROR(VLOOKUP(N97,Classes_C,2,FALSE),"")</f>
        <v>0.0</v>
      </c>
      <c r="P97" s="12">
        <v>0.4217045307159424</v>
      </c>
      <c r="Q97">
        <f>IF(COUNT(M97,O97,P97)=3,1,0)</f>
        <v>1</v>
      </c>
      <c r="R97" s="12">
        <f>IF(H97&lt;=p_lambda*K97,0,(H97-p_lambda*K97)^2/(H97+(1-p_lambda)*K97))</f>
        <v>29.852750766411493</v>
      </c>
      <c r="S97" s="13">
        <f>R97/1000*A_pixel*RI_mmh/R_evento_mm/3600</f>
        <v>0.0011861214625726885</v>
      </c>
      <c r="T97" s="13">
        <f>IF(Q97=1,coef_W*MAX(R97*S97*A_pixel,0)^exp_M*M97*O97*fator_P*P97,"")</f>
        <v>0.0</v>
      </c>
      <c r="U97" s="13">
        <f>IF(Q97=1,c_pura*T97,"")</f>
        <v>0.0</v>
      </c>
      <c r="V97" s="12">
        <f>IF(Q97=1,MIN(fator_f*R97,H97),"")</f>
        <v>36.567308452140175</v>
      </c>
      <c r="W97" s="13">
        <f>IF(Q97=1,V97/1000*A_pixel*RI_mmh/R_evento_mm/3600,"")</f>
        <v>0.0014529069606677623</v>
      </c>
      <c r="X97" s="13">
        <f>IF(Q97=1,coef_W*MAX(V97*W97*A_pixel,0)^exp_M*M97*O97*fator_P*P97,"")</f>
        <v>0.0</v>
      </c>
      <c r="Y97" s="13">
        <f>IF(Q97=1,c_restr*X97,"")</f>
        <v>0.0</v>
      </c>
    </row>
    <row r="98">
      <c r="A98">
        <v>97</v>
      </c>
      <c r="B98">
        <v>13</v>
      </c>
      <c r="C98">
        <v>148</v>
      </c>
      <c r="D98" s="9">
        <f>X0_canto+(C98+0.5)*dx_pix</f>
        <v>323100.09455469454</v>
      </c>
      <c r="E98" s="9">
        <f>Y0_canto-(B98+0.5)*dy_pix</f>
        <v>7434653.603535753</v>
      </c>
      <c r="F98" s="10">
        <f>(D98-x_DBT5)^2+(E98-y_DBT5)^2</f>
        <v>714084849.9997641</v>
      </c>
      <c r="G98" s="10">
        <f>(D98-x_CLP)^2+(E98-y_CLP)^2</f>
        <v>16128525.834700994</v>
      </c>
      <c r="H98" s="11">
        <f>(P_DBT5/F98+P_CLP/G98)/(1/F98+1/G98)</f>
        <v>78.64218589988397</v>
      </c>
      <c r="I98" s="11">
        <v>85</v>
      </c>
      <c r="J98" s="11">
        <f>4.2*I98/(10-0.058*I98)</f>
        <v>70.41420118343196</v>
      </c>
      <c r="K98" s="11">
        <f>25.4*(1000/J98-10)</f>
        <v>106.72268907563023</v>
      </c>
      <c r="L98" t="inlineStr">
        <is>
          <t>Área Urbana</t>
        </is>
      </c>
      <c r="M98" s="11">
        <f>IFERROR(VLOOKUP(L98,Classes_K,2,FALSE),"")</f>
        <v>0.0</v>
      </c>
      <c r="N98" t="inlineStr">
        <is>
          <t>Área Urbanizada</t>
        </is>
      </c>
      <c r="O98" s="11">
        <f>IFERROR(VLOOKUP(N98,Classes_C,2,FALSE),"")</f>
        <v>0.0</v>
      </c>
      <c r="P98" s="12">
        <v>0.3548797369003296</v>
      </c>
      <c r="Q98">
        <f>IF(COUNT(M98,O98,P98)=3,1,0)</f>
        <v>1</v>
      </c>
      <c r="R98" s="12">
        <f>IF(H98&lt;=p_lambda*K98,0,(H98-p_lambda*K98)^2/(H98+(1-p_lambda)*K98))</f>
        <v>29.849551594068444</v>
      </c>
      <c r="S98" s="13">
        <f>R98/1000*A_pixel*RI_mmh/R_evento_mm/3600</f>
        <v>0.0011859943517744827</v>
      </c>
      <c r="T98" s="13">
        <f>IF(Q98=1,coef_W*MAX(R98*S98*A_pixel,0)^exp_M*M98*O98*fator_P*P98,"")</f>
        <v>0.0</v>
      </c>
      <c r="U98" s="13">
        <f>IF(Q98=1,c_pura*T98,"")</f>
        <v>0.0</v>
      </c>
      <c r="V98" s="12">
        <f>IF(Q98=1,MIN(fator_f*R98,H98),"")</f>
        <v>36.5633897137038</v>
      </c>
      <c r="W98" s="13">
        <f>IF(Q98=1,V98/1000*A_pixel*RI_mmh/R_evento_mm/3600,"")</f>
        <v>0.0014527512597810347</v>
      </c>
      <c r="X98" s="13">
        <f>IF(Q98=1,coef_W*MAX(V98*W98*A_pixel,0)^exp_M*M98*O98*fator_P*P98,"")</f>
        <v>0.0</v>
      </c>
      <c r="Y98" s="13">
        <f>IF(Q98=1,c_restr*X98,"")</f>
        <v>0.0</v>
      </c>
    </row>
    <row r="99">
      <c r="A99">
        <v>98</v>
      </c>
      <c r="B99">
        <v>13</v>
      </c>
      <c r="C99">
        <v>154</v>
      </c>
      <c r="D99" s="9">
        <f>X0_canto+(C99+0.5)*dx_pix</f>
        <v>323280.0440074095</v>
      </c>
      <c r="E99" s="9">
        <f>Y0_canto-(B99+0.5)*dy_pix</f>
        <v>7434653.603535753</v>
      </c>
      <c r="F99" s="10">
        <f>(D99-x_DBT5)^2+(E99-y_DBT5)^2</f>
        <v>704968330.1171285</v>
      </c>
      <c r="G99" s="10">
        <f>(D99-x_CLP)^2+(E99-y_CLP)^2</f>
        <v>17326161.169846274</v>
      </c>
      <c r="H99" s="11">
        <f>(P_DBT5/F99+P_CLP/G99)/(1/F99+1/G99)</f>
        <v>78.61140178635966</v>
      </c>
      <c r="I99" s="11">
        <v>65</v>
      </c>
      <c r="J99" s="11">
        <f>4.2*I99/(10-0.058*I99)</f>
        <v>43.82022471910112</v>
      </c>
      <c r="K99" s="11">
        <f>25.4*(1000/J99-10)</f>
        <v>325.64102564102564</v>
      </c>
      <c r="L99" t="inlineStr">
        <is>
          <t>Cambissolos Háplicos</t>
        </is>
      </c>
      <c r="M99" s="11">
        <f>IFERROR(VLOOKUP(L99,Classes_K,2,FALSE),"")</f>
        <v>0.04749999940395355</v>
      </c>
      <c r="N99" t="inlineStr">
        <is>
          <t>Mata Nativa</t>
        </is>
      </c>
      <c r="O99" s="11">
        <f>IFERROR(VLOOKUP(N99,Classes_C,2,FALSE),"")</f>
        <v>0.014999999664723873</v>
      </c>
      <c r="P99" s="12">
        <v>0.6639418601989746</v>
      </c>
      <c r="Q99">
        <f>IF(COUNT(M99,O99,P99)=3,1,0)</f>
        <v>1</v>
      </c>
      <c r="R99" s="12">
        <f>IF(H99&lt;=p_lambda*K99,0,(H99-p_lambda*K99)^2/(H99+(1-p_lambda)*K99))</f>
        <v>10.013516941390447</v>
      </c>
      <c r="S99" s="13">
        <f>R99/1000*A_pixel*RI_mmh/R_evento_mm/3600</f>
        <v>0.0003978610699213016</v>
      </c>
      <c r="T99" s="13">
        <f>IF(Q99=1,coef_W*MAX(R99*S99*A_pixel,0)^exp_M*M99*O99*fator_P*P99,"")</f>
        <v>0.011393878270916822</v>
      </c>
      <c r="U99" s="13">
        <f>IF(Q99=1,c_pura*T99,"")</f>
        <v>0.0012157923950384432</v>
      </c>
      <c r="V99" s="12">
        <f>IF(Q99=1,MIN(fator_f*R99,H99),"")</f>
        <v>12.265782994394778</v>
      </c>
      <c r="W99" s="13">
        <f>IF(Q99=1,V99/1000*A_pixel*RI_mmh/R_evento_mm/3600,"")</f>
        <v>0.0004873490077597831</v>
      </c>
      <c r="X99" s="13">
        <f>IF(Q99=1,coef_W*MAX(V99*W99*A_pixel,0)^exp_M*M99*O99*fator_P*P99,"")</f>
        <v>0.014300566835154672</v>
      </c>
      <c r="Y99" s="13">
        <f>IF(Q99=1,c_restr*X99,"")</f>
        <v>0.0019786510342982987</v>
      </c>
    </row>
    <row r="100">
      <c r="A100">
        <v>99</v>
      </c>
      <c r="B100">
        <v>13</v>
      </c>
      <c r="C100">
        <v>155</v>
      </c>
      <c r="D100" s="9">
        <f>X0_canto+(C100+0.5)*dx_pix</f>
        <v>323310.035582862</v>
      </c>
      <c r="E100" s="9">
        <f>Y0_canto-(B100+0.5)*dy_pix</f>
        <v>7434653.603535753</v>
      </c>
      <c r="F100" s="10">
        <f>(D100-x_DBT5)^2+(E100-y_DBT5)^2</f>
        <v>703455206.5988756</v>
      </c>
      <c r="G100" s="10">
        <f>(D100-x_CLP)^2+(E100-y_CLP)^2</f>
        <v>17532063.521224078</v>
      </c>
      <c r="H100" s="11">
        <f>(P_DBT5/F100+P_CLP/G100)/(1/F100+1/G100)</f>
        <v>78.60607075699141</v>
      </c>
      <c r="I100" s="11">
        <v>65</v>
      </c>
      <c r="J100" s="11">
        <f>4.2*I100/(10-0.058*I100)</f>
        <v>43.82022471910112</v>
      </c>
      <c r="K100" s="11">
        <f>25.4*(1000/J100-10)</f>
        <v>325.64102564102564</v>
      </c>
      <c r="L100" t="inlineStr">
        <is>
          <t>Cambissolos Háplicos</t>
        </is>
      </c>
      <c r="M100" s="11">
        <f>IFERROR(VLOOKUP(L100,Classes_K,2,FALSE),"")</f>
        <v>0.04749999940395355</v>
      </c>
      <c r="N100" t="inlineStr">
        <is>
          <t>Mata Nativa</t>
        </is>
      </c>
      <c r="O100" s="11">
        <f>IFERROR(VLOOKUP(N100,Classes_C,2,FALSE),"")</f>
        <v>0.014999999664723873</v>
      </c>
      <c r="P100" s="12">
        <v>0.7644563317298889</v>
      </c>
      <c r="Q100">
        <f>IF(COUNT(M100,O100,P100)=3,1,0)</f>
        <v>1</v>
      </c>
      <c r="R100" s="12">
        <f>IF(H100&lt;=p_lambda*K100,0,(H100-p_lambda*K100)^2/(H100+(1-p_lambda)*K100))</f>
        <v>10.011941674672453</v>
      </c>
      <c r="S100" s="13">
        <f>R100/1000*A_pixel*RI_mmh/R_evento_mm/3600</f>
        <v>0.0003977984807924769</v>
      </c>
      <c r="T100" s="13">
        <f>IF(Q100=1,coef_W*MAX(R100*S100*A_pixel,0)^exp_M*M100*O100*fator_P*P100,"")</f>
        <v>0.0131164914765819</v>
      </c>
      <c r="U100" s="13">
        <f>IF(Q100=1,c_pura*T100,"")</f>
        <v>0.0013996051395001997</v>
      </c>
      <c r="V100" s="12">
        <f>IF(Q100=1,MIN(fator_f*R100,H100),"")</f>
        <v>12.263853414624323</v>
      </c>
      <c r="W100" s="13">
        <f>IF(Q100=1,V100/1000*A_pixel*RI_mmh/R_evento_mm/3600,"")</f>
        <v>0.00048727234092270025</v>
      </c>
      <c r="X100" s="13">
        <f>IF(Q100=1,coef_W*MAX(V100*W100*A_pixel,0)^exp_M*M100*O100*fator_P*P100,"")</f>
        <v>0.016462635333078974</v>
      </c>
      <c r="Y100" s="13">
        <f>IF(Q100=1,c_restr*X100,"")</f>
        <v>0.0022777985519425122</v>
      </c>
    </row>
    <row r="101">
      <c r="A101">
        <v>100</v>
      </c>
      <c r="B101">
        <v>13</v>
      </c>
      <c r="C101">
        <v>156</v>
      </c>
      <c r="D101" s="9">
        <f>X0_canto+(C101+0.5)*dx_pix</f>
        <v>323340.0271583145</v>
      </c>
      <c r="E101" s="9">
        <f>Y0_canto-(B101+0.5)*dy_pix</f>
        <v>7434653.603535753</v>
      </c>
      <c r="F101" s="10">
        <f>(D101-x_DBT5)^2+(E101-y_DBT5)^2</f>
        <v>701943882.069819</v>
      </c>
      <c r="G101" s="10">
        <f>(D101-x_CLP)^2+(E101-y_CLP)^2</f>
        <v>17739764.861798126</v>
      </c>
      <c r="H101" s="11">
        <f>(P_DBT5/F101+P_CLP/G101)/(1/F101+1/G101)</f>
        <v>78.60068186226083</v>
      </c>
      <c r="I101" s="11">
        <v>65</v>
      </c>
      <c r="J101" s="11">
        <f>4.2*I101/(10-0.058*I101)</f>
        <v>43.82022471910112</v>
      </c>
      <c r="K101" s="11">
        <f>25.4*(1000/J101-10)</f>
        <v>325.64102564102564</v>
      </c>
      <c r="L101" t="inlineStr">
        <is>
          <t>Cambissolos Háplicos</t>
        </is>
      </c>
      <c r="M101" s="11">
        <f>IFERROR(VLOOKUP(L101,Classes_K,2,FALSE),"")</f>
        <v>0.04749999940395355</v>
      </c>
      <c r="N101" t="inlineStr">
        <is>
          <t>Mata Nativa</t>
        </is>
      </c>
      <c r="O101" s="11">
        <f>IFERROR(VLOOKUP(N101,Classes_C,2,FALSE),"")</f>
        <v>0.014999999664723873</v>
      </c>
      <c r="P101" s="12">
        <v>0.8235403895378113</v>
      </c>
      <c r="Q101">
        <f>IF(COUNT(M101,O101,P101)=3,1,0)</f>
        <v>1</v>
      </c>
      <c r="R101" s="12">
        <f>IF(H101&lt;=p_lambda*K101,0,(H101-p_lambda*K101)^2/(H101+(1-p_lambda)*K101))</f>
        <v>10.010349414213282</v>
      </c>
      <c r="S101" s="13">
        <f>R101/1000*A_pixel*RI_mmh/R_evento_mm/3600</f>
        <v>0.0003977352164615144</v>
      </c>
      <c r="T101" s="13">
        <f>IF(Q101=1,coef_W*MAX(R101*S101*A_pixel,0)^exp_M*M101*O101*fator_P*P101,"")</f>
        <v>0.014127734992631029</v>
      </c>
      <c r="U101" s="13">
        <f>IF(Q101=1,c_pura*T101,"")</f>
        <v>0.0015075106434130072</v>
      </c>
      <c r="V101" s="12">
        <f>IF(Q101=1,MIN(fator_f*R101,H101),"")</f>
        <v>12.261903018836604</v>
      </c>
      <c r="W101" s="13">
        <f>IF(Q101=1,V101/1000*A_pixel*RI_mmh/R_evento_mm/3600,"")</f>
        <v>0.00048719484701527344</v>
      </c>
      <c r="X101" s="13">
        <f>IF(Q101=1,coef_W*MAX(V101*W101*A_pixel,0)^exp_M*M101*O101*fator_P*P101,"")</f>
        <v>0.017731856852216173</v>
      </c>
      <c r="Y101" s="13">
        <f>IF(Q101=1,c_restr*X101,"")</f>
        <v>0.0024534102252798872</v>
      </c>
    </row>
    <row r="102">
      <c r="A102">
        <v>101</v>
      </c>
      <c r="B102">
        <v>13</v>
      </c>
      <c r="C102">
        <v>157</v>
      </c>
      <c r="D102" s="9">
        <f>X0_canto+(C102+0.5)*dx_pix</f>
        <v>323370.018733767</v>
      </c>
      <c r="E102" s="9">
        <f>Y0_canto-(B102+0.5)*dy_pix</f>
        <v>7434653.603535753</v>
      </c>
      <c r="F102" s="10">
        <f>(D102-x_DBT5)^2+(E102-y_DBT5)^2</f>
        <v>700434356.5299586</v>
      </c>
      <c r="G102" s="10">
        <f>(D102-x_CLP)^2+(E102-y_CLP)^2</f>
        <v>17949265.191568423</v>
      </c>
      <c r="H102" s="11">
        <f>(P_DBT5/F102+P_CLP/G102)/(1/F102+1/G102)</f>
        <v>78.59523486811949</v>
      </c>
      <c r="I102" s="11">
        <v>65</v>
      </c>
      <c r="J102" s="11">
        <f>4.2*I102/(10-0.058*I102)</f>
        <v>43.82022471910112</v>
      </c>
      <c r="K102" s="11">
        <f>25.4*(1000/J102-10)</f>
        <v>325.64102564102564</v>
      </c>
      <c r="L102" t="inlineStr">
        <is>
          <t>Área Urbana</t>
        </is>
      </c>
      <c r="M102" s="11">
        <f>IFERROR(VLOOKUP(L102,Classes_K,2,FALSE),"")</f>
        <v>0.0</v>
      </c>
      <c r="N102" t="inlineStr">
        <is>
          <t>Mata Nativa</t>
        </is>
      </c>
      <c r="O102" s="11">
        <f>IFERROR(VLOOKUP(N102,Classes_C,2,FALSE),"")</f>
        <v>0.014999999664723873</v>
      </c>
      <c r="P102" s="12">
        <v>0.6218810677528381</v>
      </c>
      <c r="Q102">
        <f>IF(COUNT(M102,O102,P102)=3,1,0)</f>
        <v>1</v>
      </c>
      <c r="R102" s="12">
        <f>IF(H102&lt;=p_lambda*K102,0,(H102-p_lambda*K102)^2/(H102+(1-p_lambda)*K102))</f>
        <v>10.008740094267456</v>
      </c>
      <c r="S102" s="13">
        <f>R102/1000*A_pixel*RI_mmh/R_evento_mm/3600</f>
        <v>0.0003976712743161882</v>
      </c>
      <c r="T102" s="13">
        <f>IF(Q102=1,coef_W*MAX(R102*S102*A_pixel,0)^exp_M*M102*O102*fator_P*P102,"")</f>
        <v>0.0</v>
      </c>
      <c r="U102" s="13">
        <f>IF(Q102=1,c_pura*T102,"")</f>
        <v>0.0</v>
      </c>
      <c r="V102" s="12">
        <f>IF(Q102=1,MIN(fator_f*R102,H102),"")</f>
        <v>12.259931726498497</v>
      </c>
      <c r="W102" s="13">
        <f>IF(Q102=1,V102/1000*A_pixel*RI_mmh/R_evento_mm/3600,"")</f>
        <v>0.00048711652283772857</v>
      </c>
      <c r="X102" s="13">
        <f>IF(Q102=1,coef_W*MAX(V102*W102*A_pixel,0)^exp_M*M102*O102*fator_P*P102,"")</f>
        <v>0.0</v>
      </c>
      <c r="Y102" s="13">
        <f>IF(Q102=1,c_restr*X102,"")</f>
        <v>0.0</v>
      </c>
    </row>
    <row r="103">
      <c r="A103">
        <v>102</v>
      </c>
      <c r="B103">
        <v>13</v>
      </c>
      <c r="C103">
        <v>158</v>
      </c>
      <c r="D103" s="9">
        <f>X0_canto+(C103+0.5)*dx_pix</f>
        <v>323400.0103092195</v>
      </c>
      <c r="E103" s="9">
        <f>Y0_canto-(B103+0.5)*dy_pix</f>
        <v>7434653.603535753</v>
      </c>
      <c r="F103" s="10">
        <f>(D103-x_DBT5)^2+(E103-y_DBT5)^2</f>
        <v>698926629.9792944</v>
      </c>
      <c r="G103" s="10">
        <f>(D103-x_CLP)^2+(E103-y_CLP)^2</f>
        <v>18160564.510534965</v>
      </c>
      <c r="H103" s="11">
        <f>(P_DBT5/F103+P_CLP/G103)/(1/F103+1/G103)</f>
        <v>78.5897295405686</v>
      </c>
      <c r="I103" s="11">
        <v>77</v>
      </c>
      <c r="J103" s="11">
        <f>4.2*I103/(10-0.058*I103)</f>
        <v>58.438742320202394</v>
      </c>
      <c r="K103" s="11">
        <f>25.4*(1000/J103-10)</f>
        <v>180.64316635745197</v>
      </c>
      <c r="L103" t="inlineStr">
        <is>
          <t>Área Urbana</t>
        </is>
      </c>
      <c r="M103" s="11">
        <f>IFERROR(VLOOKUP(L103,Classes_K,2,FALSE),"")</f>
        <v>0.0</v>
      </c>
      <c r="N103" t="inlineStr">
        <is>
          <t>Área Urbanizada</t>
        </is>
      </c>
      <c r="O103" s="11">
        <f>IFERROR(VLOOKUP(N103,Classes_C,2,FALSE),"")</f>
        <v>0.0</v>
      </c>
      <c r="P103" s="12">
        <v>0.2669897079467773</v>
      </c>
      <c r="Q103">
        <f>IF(COUNT(M103,O103,P103)=3,1,0)</f>
        <v>1</v>
      </c>
      <c r="R103" s="12">
        <f>IF(H103&lt;=p_lambda*K103,0,(H103-p_lambda*K103)^2/(H103+(1-p_lambda)*K103))</f>
        <v>19.33749580914231</v>
      </c>
      <c r="S103" s="13">
        <f>R103/1000*A_pixel*RI_mmh/R_evento_mm/3600</f>
        <v>0.0007683251366383298</v>
      </c>
      <c r="T103" s="13">
        <f>IF(Q103=1,coef_W*MAX(R103*S103*A_pixel,0)^exp_M*M103*O103*fator_P*P103,"")</f>
        <v>0.0</v>
      </c>
      <c r="U103" s="13">
        <f>IF(Q103=1,c_pura*T103,"")</f>
        <v>0.0</v>
      </c>
      <c r="V103" s="12">
        <f>IF(Q103=1,MIN(fator_f*R103,H103),"")</f>
        <v>23.68693523346879</v>
      </c>
      <c r="W103" s="13">
        <f>IF(Q103=1,V103/1000*A_pixel*RI_mmh/R_evento_mm/3600,"")</f>
        <v>0.0009411388077040458</v>
      </c>
      <c r="X103" s="13">
        <f>IF(Q103=1,coef_W*MAX(V103*W103*A_pixel,0)^exp_M*M103*O103*fator_P*P103,"")</f>
        <v>0.0</v>
      </c>
      <c r="Y103" s="13">
        <f>IF(Q103=1,c_restr*X103,"")</f>
        <v>0.0</v>
      </c>
    </row>
    <row r="104">
      <c r="A104">
        <v>103</v>
      </c>
      <c r="B104">
        <v>13</v>
      </c>
      <c r="C104">
        <v>159</v>
      </c>
      <c r="D104" s="9">
        <f>X0_canto+(C104+0.5)*dx_pix</f>
        <v>323430.001884672</v>
      </c>
      <c r="E104" s="9">
        <f>Y0_canto-(B104+0.5)*dy_pix</f>
        <v>7434653.603535753</v>
      </c>
      <c r="F104" s="10">
        <f>(D104-x_DBT5)^2+(E104-y_DBT5)^2</f>
        <v>697420702.4178265</v>
      </c>
      <c r="G104" s="10">
        <f>(D104-x_CLP)^2+(E104-y_CLP)^2</f>
        <v>18373662.81869775</v>
      </c>
      <c r="H104" s="11">
        <f>(P_DBT5/F104+P_CLP/G104)/(1/F104+1/G104)</f>
        <v>78.58416564567094</v>
      </c>
      <c r="I104" s="11">
        <v>77</v>
      </c>
      <c r="J104" s="11">
        <f>4.2*I104/(10-0.058*I104)</f>
        <v>58.438742320202394</v>
      </c>
      <c r="K104" s="11">
        <f>25.4*(1000/J104-10)</f>
        <v>180.64316635745197</v>
      </c>
      <c r="L104" t="inlineStr">
        <is>
          <t/>
        </is>
      </c>
      <c r="M104" s="11">
        <f>IFERROR(VLOOKUP(L104,Classes_K,2,FALSE),"")</f>
        <v/>
      </c>
      <c r="N104" t="inlineStr">
        <is>
          <t/>
        </is>
      </c>
      <c r="O104" s="11">
        <f>IFERROR(VLOOKUP(N104,Classes_C,2,FALSE),"")</f>
        <v/>
      </c>
      <c r="P104" s="12">
        <v>0.2481264472007751</v>
      </c>
      <c r="Q104">
        <f>IF(COUNT(M104,O104,P104)=3,1,0)</f>
        <v>0</v>
      </c>
      <c r="R104" s="12">
        <f>IF(H104&lt;=p_lambda*K104,0,(H104-p_lambda*K104)^2/(H104+(1-p_lambda)*K104))</f>
        <v>19.334832291416408</v>
      </c>
      <c r="S104" s="13">
        <f>R104/1000*A_pixel*RI_mmh/R_evento_mm/3600</f>
        <v>0.0007682193086841368</v>
      </c>
      <c r="T104" s="13">
        <f>IF(Q104=1,coef_W*MAX(R104*S104*A_pixel,0)^exp_M*M104*O104*fator_P*P104,"")</f>
        <v/>
      </c>
      <c r="U104" s="13">
        <f>IF(Q104=1,c_pura*T104,"")</f>
        <v/>
      </c>
      <c r="V104" s="12">
        <f>IF(Q104=1,MIN(fator_f*R104,H104),"")</f>
        <v/>
      </c>
      <c r="W104" s="13">
        <f>IF(Q104=1,V104/1000*A_pixel*RI_mmh/R_evento_mm/3600,"")</f>
        <v/>
      </c>
      <c r="X104" s="13">
        <f>IF(Q104=1,coef_W*MAX(V104*W104*A_pixel,0)^exp_M*M104*O104*fator_P*P104,"")</f>
        <v/>
      </c>
      <c r="Y104" s="13">
        <f>IF(Q104=1,c_restr*X104,"")</f>
        <v/>
      </c>
    </row>
    <row r="105">
      <c r="A105">
        <v>104</v>
      </c>
      <c r="B105">
        <v>13</v>
      </c>
      <c r="C105">
        <v>344</v>
      </c>
      <c r="D105" s="9">
        <f>X0_canto+(C105+0.5)*dx_pix</f>
        <v>328978.4433433823</v>
      </c>
      <c r="E105" s="9">
        <f>Y0_canto-(B105+0.5)*dy_pix</f>
        <v>7434653.603535753</v>
      </c>
      <c r="F105" s="10">
        <f>(D105-x_DBT5)^2+(E105-y_DBT5)^2</f>
        <v>449775712.6677503</v>
      </c>
      <c r="G105" s="10">
        <f>(D105-x_CLP)^2+(E105-y_CLP)^2</f>
        <v>88748458.95018785</v>
      </c>
      <c r="H105" s="11">
        <f>(P_DBT5/F105+P_CLP/G105)/(1/F105+1/G105)</f>
        <v>76.33025192745433</v>
      </c>
      <c r="I105" s="11">
        <v>81</v>
      </c>
      <c r="J105" s="11">
        <f>4.2*I105/(10-0.058*I105)</f>
        <v>64.16446623915503</v>
      </c>
      <c r="K105" s="11">
        <f>25.4*(1000/J105-10)</f>
        <v>141.85773074661967</v>
      </c>
      <c r="L105" t="inlineStr">
        <is>
          <t>Cambissolos Háplicos</t>
        </is>
      </c>
      <c r="M105" s="11">
        <f>IFERROR(VLOOKUP(L105,Classes_K,2,FALSE),"")</f>
        <v>0.04749999940395355</v>
      </c>
      <c r="N105" t="inlineStr">
        <is>
          <t>Mata Nativa</t>
        </is>
      </c>
      <c r="O105" s="11">
        <f>IFERROR(VLOOKUP(N105,Classes_C,2,FALSE),"")</f>
        <v>0.014999999664723873</v>
      </c>
      <c r="P105" s="12">
        <v>0.2517332136631012</v>
      </c>
      <c r="Q105">
        <f>IF(COUNT(M105,O105,P105)=3,1,0)</f>
        <v>1</v>
      </c>
      <c r="R105" s="12">
        <f>IF(H105&lt;=p_lambda*K105,0,(H105-p_lambda*K105)^2/(H105+(1-p_lambda)*K105))</f>
        <v>22.709256888943163</v>
      </c>
      <c r="S105" s="13">
        <f>R105/1000*A_pixel*RI_mmh/R_evento_mm/3600</f>
        <v>0.0009022932997303167</v>
      </c>
      <c r="T105" s="13">
        <f>IF(Q105=1,coef_W*MAX(R105*S105*A_pixel,0)^exp_M*M105*O105*fator_P*P105,"")</f>
        <v>0.010808670682569075</v>
      </c>
      <c r="U105" s="13">
        <f>IF(Q105=1,c_pura*T105,"")</f>
        <v>0.0011533473768879441</v>
      </c>
      <c r="V105" s="12">
        <f>IF(Q105=1,MIN(fator_f*R105,H105),"")</f>
        <v>27.817081510331306</v>
      </c>
      <c r="W105" s="13">
        <f>IF(Q105=1,V105/1000*A_pixel*RI_mmh/R_evento_mm/3600,"")</f>
        <v>0.0011052394355116246</v>
      </c>
      <c r="X105" s="13">
        <f>IF(Q105=1,coef_W*MAX(V105*W105*A_pixel,0)^exp_M*M105*O105*fator_P*P105,"")</f>
        <v>0.01356606713008338</v>
      </c>
      <c r="Y105" s="13">
        <f>IF(Q105=1,c_restr*X105,"")</f>
        <v>0.0018770243912509435</v>
      </c>
    </row>
    <row r="106">
      <c r="A106">
        <v>105</v>
      </c>
      <c r="B106">
        <v>13</v>
      </c>
      <c r="C106">
        <v>345</v>
      </c>
      <c r="D106" s="9">
        <f>X0_canto+(C106+0.5)*dx_pix</f>
        <v>329008.4349188348</v>
      </c>
      <c r="E106" s="9">
        <f>Y0_canto-(B106+0.5)*dy_pix</f>
        <v>7434653.603535753</v>
      </c>
      <c r="F106" s="10">
        <f>(D106-x_DBT5)^2+(E106-y_DBT5)^2</f>
        <v>448604397.096784</v>
      </c>
      <c r="G106" s="10">
        <f>(D106-x_CLP)^2+(E106-y_CLP)^2</f>
        <v>89296169.24885225</v>
      </c>
      <c r="H106" s="11">
        <f>(P_DBT5/F106+P_CLP/G106)/(1/F106+1/G106)</f>
        <v>76.31066136151904</v>
      </c>
      <c r="I106" s="11">
        <v>81</v>
      </c>
      <c r="J106" s="11">
        <f>4.2*I106/(10-0.058*I106)</f>
        <v>64.16446623915503</v>
      </c>
      <c r="K106" s="11">
        <f>25.4*(1000/J106-10)</f>
        <v>141.85773074661967</v>
      </c>
      <c r="L106" t="inlineStr">
        <is>
          <t>Cambissolos Háplicos</t>
        </is>
      </c>
      <c r="M106" s="11">
        <f>IFERROR(VLOOKUP(L106,Classes_K,2,FALSE),"")</f>
        <v>0.04749999940395355</v>
      </c>
      <c r="N106" t="inlineStr">
        <is>
          <t>Campo</t>
        </is>
      </c>
      <c r="O106" s="11">
        <f>IFERROR(VLOOKUP(N106,Classes_C,2,FALSE),"")</f>
        <v>0.05000000074505806</v>
      </c>
      <c r="P106" s="12">
        <v>0.2569873332977295</v>
      </c>
      <c r="Q106">
        <f>IF(COUNT(M106,O106,P106)=3,1,0)</f>
        <v>1</v>
      </c>
      <c r="R106" s="12">
        <f>IF(H106&lt;=p_lambda*K106,0,(H106-p_lambda*K106)^2/(H106+(1-p_lambda)*K106))</f>
        <v>22.698514158028498</v>
      </c>
      <c r="S106" s="13">
        <f>R106/1000*A_pixel*RI_mmh/R_evento_mm/3600</f>
        <v>0.0009018664652384393</v>
      </c>
      <c r="T106" s="13">
        <f>IF(Q106=1,coef_W*MAX(R106*S106*A_pixel,0)^exp_M*M106*O106*fator_P*P106,"")</f>
        <v>0.036761404115244464</v>
      </c>
      <c r="U106" s="13">
        <f>IF(Q106=1,c_pura*T106,"")</f>
        <v>0.003922653418926931</v>
      </c>
      <c r="V106" s="12">
        <f>IF(Q106=1,MIN(fator_f*R106,H106),"")</f>
        <v>27.803922496676293</v>
      </c>
      <c r="W106" s="13">
        <f>IF(Q106=1,V106/1000*A_pixel*RI_mmh/R_evento_mm/3600,"")</f>
        <v>0.0011047165963051265</v>
      </c>
      <c r="X106" s="13">
        <f>IF(Q106=1,coef_W*MAX(V106*W106*A_pixel,0)^exp_M*M106*O106*fator_P*P106,"")</f>
        <v>0.04613959391211591</v>
      </c>
      <c r="Y106" s="13">
        <f>IF(Q106=1,c_restr*X106,"")</f>
        <v>0.006383953606082651</v>
      </c>
    </row>
    <row r="107">
      <c r="A107">
        <v>106</v>
      </c>
      <c r="B107">
        <v>13</v>
      </c>
      <c r="C107">
        <v>346</v>
      </c>
      <c r="D107" s="9">
        <f>X0_canto+(C107+0.5)*dx_pix</f>
        <v>329038.4264942873</v>
      </c>
      <c r="E107" s="9">
        <f>Y0_canto-(B107+0.5)*dy_pix</f>
        <v>7434653.603535753</v>
      </c>
      <c r="F107" s="10">
        <f>(D107-x_DBT5)^2+(E107-y_DBT5)^2</f>
        <v>447434880.515014</v>
      </c>
      <c r="G107" s="10">
        <f>(D107-x_CLP)^2+(E107-y_CLP)^2</f>
        <v>89845678.5367129</v>
      </c>
      <c r="H107" s="11">
        <f>(P_DBT5/F107+P_CLP/G107)/(1/F107+1/G107)</f>
        <v>76.29098921714787</v>
      </c>
      <c r="I107" s="11">
        <v>77</v>
      </c>
      <c r="J107" s="11">
        <f>4.2*I107/(10-0.058*I107)</f>
        <v>58.438742320202394</v>
      </c>
      <c r="K107" s="11">
        <f>25.4*(1000/J107-10)</f>
        <v>180.64316635745197</v>
      </c>
      <c r="L107" t="inlineStr">
        <is>
          <t>Cambissolos Háplicos</t>
        </is>
      </c>
      <c r="M107" s="11">
        <f>IFERROR(VLOOKUP(L107,Classes_K,2,FALSE),"")</f>
        <v>0.04749999940395355</v>
      </c>
      <c r="N107" t="inlineStr">
        <is>
          <t>Campo</t>
        </is>
      </c>
      <c r="O107" s="11">
        <f>IFERROR(VLOOKUP(N107,Classes_C,2,FALSE),"")</f>
        <v>0.05000000074505806</v>
      </c>
      <c r="P107" s="12">
        <v>0.2301586121320724</v>
      </c>
      <c r="Q107">
        <f>IF(COUNT(M107,O107,P107)=3,1,0)</f>
        <v>1</v>
      </c>
      <c r="R107" s="12">
        <f>IF(H107&lt;=p_lambda*K107,0,(H107-p_lambda*K107)^2/(H107+(1-p_lambda)*K107))</f>
        <v>18.248139926248804</v>
      </c>
      <c r="S107" s="13">
        <f>R107/1000*A_pixel*RI_mmh/R_evento_mm/3600</f>
        <v>0.0007250424119343266</v>
      </c>
      <c r="T107" s="13">
        <f>IF(Q107=1,coef_W*MAX(R107*S107*A_pixel,0)^exp_M*M107*O107*fator_P*P107,"")</f>
        <v>0.025784298321575368</v>
      </c>
      <c r="U107" s="13">
        <f>IF(Q107=1,c_pura*T107,"")</f>
        <v>0.0027513330461666715</v>
      </c>
      <c r="V107" s="12">
        <f>IF(Q107=1,MIN(fator_f*R107,H107),"")</f>
        <v>22.352558616197726</v>
      </c>
      <c r="W107" s="13">
        <f>IF(Q107=1,V107/1000*A_pixel*RI_mmh/R_evento_mm/3600,"")</f>
        <v>0.0008881208209434706</v>
      </c>
      <c r="X107" s="13">
        <f>IF(Q107=1,coef_W*MAX(V107*W107*A_pixel,0)^exp_M*M107*O107*fator_P*P107,"")</f>
        <v>0.03236212224475386</v>
      </c>
      <c r="Y107" s="13">
        <f>IF(Q107=1,c_restr*X107,"")</f>
        <v>0.004477678919290029</v>
      </c>
    </row>
    <row r="108">
      <c r="A108">
        <v>107</v>
      </c>
      <c r="B108">
        <v>14</v>
      </c>
      <c r="C108">
        <v>42</v>
      </c>
      <c r="D108" s="9">
        <f>X0_canto+(C108+0.5)*dx_pix</f>
        <v>319920.98755673075</v>
      </c>
      <c r="E108" s="9">
        <f>Y0_canto-(B108+0.5)*dy_pix</f>
        <v>7434623.678805068</v>
      </c>
      <c r="F108" s="10">
        <f>(D108-x_DBT5)^2+(E108-y_DBT5)^2</f>
        <v>885330003.6210806</v>
      </c>
      <c r="G108" s="10">
        <f>(D108-x_CLP)^2+(E108-y_CLP)^2</f>
        <v>5507790.973474046</v>
      </c>
      <c r="H108" s="11">
        <f>(P_DBT5/F108+P_CLP/G108)/(1/F108+1/G108)</f>
        <v>78.89984211814058</v>
      </c>
      <c r="I108" s="11">
        <v>77</v>
      </c>
      <c r="J108" s="11">
        <f>4.2*I108/(10-0.058*I108)</f>
        <v>58.438742320202394</v>
      </c>
      <c r="K108" s="11">
        <f>25.4*(1000/J108-10)</f>
        <v>180.64316635745197</v>
      </c>
      <c r="L108" t="inlineStr">
        <is>
          <t>Cambissolos Háplicos</t>
        </is>
      </c>
      <c r="M108" s="11">
        <f>IFERROR(VLOOKUP(L108,Classes_K,2,FALSE),"")</f>
        <v>0.04749999940395355</v>
      </c>
      <c r="N108" t="inlineStr">
        <is>
          <t>Mata Nativa</t>
        </is>
      </c>
      <c r="O108" s="11">
        <f>IFERROR(VLOOKUP(N108,Classes_C,2,FALSE),"")</f>
        <v>0.014999999664723873</v>
      </c>
      <c r="P108" s="12">
        <v>0.4669518172740936</v>
      </c>
      <c r="Q108">
        <f>IF(COUNT(M108,O108,P108)=3,1,0)</f>
        <v>1</v>
      </c>
      <c r="R108" s="12">
        <f>IF(H108&lt;=p_lambda*K108,0,(H108-p_lambda*K108)^2/(H108+(1-p_lambda)*K108))</f>
        <v>19.486154937164894</v>
      </c>
      <c r="S108" s="13">
        <f>R108/1000*A_pixel*RI_mmh/R_evento_mm/3600</f>
        <v>0.0007742317207161131</v>
      </c>
      <c r="T108" s="13">
        <f>IF(Q108=1,coef_W*MAX(R108*S108*A_pixel,0)^exp_M*M108*O108*fator_P*P108,"")</f>
        <v>0.01689078564414112</v>
      </c>
      <c r="U108" s="13">
        <f>IF(Q108=1,c_pura*T108,"")</f>
        <v>0.0018023440521379957</v>
      </c>
      <c r="V108" s="12">
        <f>IF(Q108=1,MIN(fator_f*R108,H108),"")</f>
        <v>23.86903115592376</v>
      </c>
      <c r="W108" s="13">
        <f>IF(Q108=1,V108/1000*A_pixel*RI_mmh/R_evento_mm/3600,"")</f>
        <v>0.0009483739159043203</v>
      </c>
      <c r="X108" s="13">
        <f>IF(Q108=1,coef_W*MAX(V108*W108*A_pixel,0)^exp_M*M108*O108*fator_P*P108,"")</f>
        <v>0.021199788452968507</v>
      </c>
      <c r="Y108" s="13">
        <f>IF(Q108=1,c_restr*X108,"")</f>
        <v>0.0029332392088301145</v>
      </c>
    </row>
    <row r="109">
      <c r="A109">
        <v>108</v>
      </c>
      <c r="B109">
        <v>14</v>
      </c>
      <c r="C109">
        <v>43</v>
      </c>
      <c r="D109" s="9">
        <f>X0_canto+(C109+0.5)*dx_pix</f>
        <v>319950.97913218325</v>
      </c>
      <c r="E109" s="9">
        <f>Y0_canto-(B109+0.5)*dy_pix</f>
        <v>7434623.678805068</v>
      </c>
      <c r="F109" s="10">
        <f>(D109-x_DBT5)^2+(E109-y_DBT5)^2</f>
        <v>883615393.3128483</v>
      </c>
      <c r="G109" s="10">
        <f>(D109-x_CLP)^2+(E109-y_CLP)^2</f>
        <v>5512206.53487238</v>
      </c>
      <c r="H109" s="11">
        <f>(P_DBT5/F109+P_CLP/G109)/(1/F109+1/G109)</f>
        <v>78.89956901336453</v>
      </c>
      <c r="I109" s="11">
        <v>65</v>
      </c>
      <c r="J109" s="11">
        <f>4.2*I109/(10-0.058*I109)</f>
        <v>43.82022471910112</v>
      </c>
      <c r="K109" s="11">
        <f>25.4*(1000/J109-10)</f>
        <v>325.64102564102564</v>
      </c>
      <c r="L109" t="inlineStr">
        <is>
          <t>Cambissolos Háplicos</t>
        </is>
      </c>
      <c r="M109" s="11">
        <f>IFERROR(VLOOKUP(L109,Classes_K,2,FALSE),"")</f>
        <v>0.04749999940395355</v>
      </c>
      <c r="N109" t="inlineStr">
        <is>
          <t>Mata Nativa</t>
        </is>
      </c>
      <c r="O109" s="11">
        <f>IFERROR(VLOOKUP(N109,Classes_C,2,FALSE),"")</f>
        <v>0.014999999664723873</v>
      </c>
      <c r="P109" s="12">
        <v>0.4802939593791962</v>
      </c>
      <c r="Q109">
        <f>IF(COUNT(M109,O109,P109)=3,1,0)</f>
        <v>1</v>
      </c>
      <c r="R109" s="12">
        <f>IF(H109&lt;=p_lambda*K109,0,(H109-p_lambda*K109)^2/(H109+(1-p_lambda)*K109))</f>
        <v>10.098820988650196</v>
      </c>
      <c r="S109" s="13">
        <f>R109/1000*A_pixel*RI_mmh/R_evento_mm/3600</f>
        <v>0.00040125040452871556</v>
      </c>
      <c r="T109" s="13">
        <f>IF(Q109=1,coef_W*MAX(R109*S109*A_pixel,0)^exp_M*M109*O109*fator_P*P109,"")</f>
        <v>0.008320985600286865</v>
      </c>
      <c r="U109" s="13">
        <f>IF(Q109=1,c_pura*T109,"")</f>
        <v>0.0008878970594126877</v>
      </c>
      <c r="V109" s="12">
        <f>IF(Q109=1,MIN(fator_f*R109,H109),"")</f>
        <v>12.370273847943619</v>
      </c>
      <c r="W109" s="13">
        <f>IF(Q109=1,V109/1000*A_pixel*RI_mmh/R_evento_mm/3600,"")</f>
        <v>0.0004915006802474075</v>
      </c>
      <c r="X109" s="13">
        <f>IF(Q109=1,coef_W*MAX(V109*W109*A_pixel,0)^exp_M*M109*O109*fator_P*P109,"")</f>
        <v>0.010443749518985065</v>
      </c>
      <c r="Y109" s="13">
        <f>IF(Q109=1,c_restr*X109,"")</f>
        <v>0.0014450151540072612</v>
      </c>
    </row>
    <row r="110">
      <c r="A110">
        <v>109</v>
      </c>
      <c r="B110">
        <v>14</v>
      </c>
      <c r="C110">
        <v>44</v>
      </c>
      <c r="D110" s="9">
        <f>X0_canto+(C110+0.5)*dx_pix</f>
        <v>319980.97070763574</v>
      </c>
      <c r="E110" s="9">
        <f>Y0_canto-(B110+0.5)*dy_pix</f>
        <v>7434623.678805068</v>
      </c>
      <c r="F110" s="10">
        <f>(D110-x_DBT5)^2+(E110-y_DBT5)^2</f>
        <v>881902581.9938122</v>
      </c>
      <c r="G110" s="10">
        <f>(D110-x_CLP)^2+(E110-y_CLP)^2</f>
        <v>5518421.0854669595</v>
      </c>
      <c r="H110" s="11">
        <f>(P_DBT5/F110+P_CLP/G110)/(1/F110+1/G110)</f>
        <v>78.89926242345635</v>
      </c>
      <c r="I110" s="11">
        <v>77</v>
      </c>
      <c r="J110" s="11">
        <f>4.2*I110/(10-0.058*I110)</f>
        <v>58.438742320202394</v>
      </c>
      <c r="K110" s="11">
        <f>25.4*(1000/J110-10)</f>
        <v>180.64316635745197</v>
      </c>
      <c r="L110" t="inlineStr">
        <is>
          <t>Cambissolos Háplicos</t>
        </is>
      </c>
      <c r="M110" s="11">
        <f>IFERROR(VLOOKUP(L110,Classes_K,2,FALSE),"")</f>
        <v>0.04749999940395355</v>
      </c>
      <c r="N110" t="inlineStr">
        <is>
          <t>Mata Nativa</t>
        </is>
      </c>
      <c r="O110" s="11">
        <f>IFERROR(VLOOKUP(N110,Classes_C,2,FALSE),"")</f>
        <v>0.014999999664723873</v>
      </c>
      <c r="P110" s="12">
        <v>0.3603821694850922</v>
      </c>
      <c r="Q110">
        <f>IF(COUNT(M110,O110,P110)=3,1,0)</f>
        <v>1</v>
      </c>
      <c r="R110" s="12">
        <f>IF(H110&lt;=p_lambda*K110,0,(H110-p_lambda*K110)^2/(H110+(1-p_lambda)*K110))</f>
        <v>19.485876675147175</v>
      </c>
      <c r="S110" s="13">
        <f>R110/1000*A_pixel*RI_mmh/R_evento_mm/3600</f>
        <v>0.0007742206646980592</v>
      </c>
      <c r="T110" s="13">
        <f>IF(Q110=1,coef_W*MAX(R110*S110*A_pixel,0)^exp_M*M110*O110*fator_P*P110,"")</f>
        <v>0.013035693179666685</v>
      </c>
      <c r="U110" s="13">
        <f>IF(Q110=1,c_pura*T110,"")</f>
        <v>0.0013909834961417377</v>
      </c>
      <c r="V110" s="12">
        <f>IF(Q110=1,MIN(fator_f*R110,H110),"")</f>
        <v>23.86869030649544</v>
      </c>
      <c r="W110" s="13">
        <f>IF(Q110=1,V110/1000*A_pixel*RI_mmh/R_evento_mm/3600,"")</f>
        <v>0.0009483603731381745</v>
      </c>
      <c r="X110" s="13">
        <f>IF(Q110=1,coef_W*MAX(V110*W110*A_pixel,0)^exp_M*M110*O110*fator_P*P110,"")</f>
        <v>0.016361224609027968</v>
      </c>
      <c r="Y110" s="13">
        <f>IF(Q110=1,c_restr*X110,"")</f>
        <v>0.0022637671896653757</v>
      </c>
    </row>
    <row r="111">
      <c r="A111">
        <v>110</v>
      </c>
      <c r="B111">
        <v>14</v>
      </c>
      <c r="C111">
        <v>45</v>
      </c>
      <c r="D111" s="9">
        <f>X0_canto+(C111+0.5)*dx_pix</f>
        <v>320010.96228308824</v>
      </c>
      <c r="E111" s="9">
        <f>Y0_canto-(B111+0.5)*dy_pix</f>
        <v>7434623.678805068</v>
      </c>
      <c r="F111" s="10">
        <f>(D111-x_DBT5)^2+(E111-y_DBT5)^2</f>
        <v>880191569.6639723</v>
      </c>
      <c r="G111" s="10">
        <f>(D111-x_CLP)^2+(E111-y_CLP)^2</f>
        <v>5526434.6252577845</v>
      </c>
      <c r="H111" s="11">
        <f>(P_DBT5/F111+P_CLP/G111)/(1/F111+1/G111)</f>
        <v>78.89892215859541</v>
      </c>
      <c r="I111" s="11">
        <v>77</v>
      </c>
      <c r="J111" s="11">
        <f>4.2*I111/(10-0.058*I111)</f>
        <v>58.438742320202394</v>
      </c>
      <c r="K111" s="11">
        <f>25.4*(1000/J111-10)</f>
        <v>180.64316635745197</v>
      </c>
      <c r="L111" t="inlineStr">
        <is>
          <t>Área Urbana</t>
        </is>
      </c>
      <c r="M111" s="11">
        <f>IFERROR(VLOOKUP(L111,Classes_K,2,FALSE),"")</f>
        <v>0.0</v>
      </c>
      <c r="N111" t="inlineStr">
        <is>
          <t>Mata Nativa</t>
        </is>
      </c>
      <c r="O111" s="11">
        <f>IFERROR(VLOOKUP(N111,Classes_C,2,FALSE),"")</f>
        <v>0.014999999664723873</v>
      </c>
      <c r="P111" s="12">
        <v>0.3567620813846588</v>
      </c>
      <c r="Q111">
        <f>IF(COUNT(M111,O111,P111)=3,1,0)</f>
        <v>1</v>
      </c>
      <c r="R111" s="12">
        <f>IF(H111&lt;=p_lambda*K111,0,(H111-p_lambda*K111)^2/(H111+(1-p_lambda)*K111))</f>
        <v>19.485713343633748</v>
      </c>
      <c r="S111" s="13">
        <f>R111/1000*A_pixel*RI_mmh/R_evento_mm/3600</f>
        <v>0.000774214175144882</v>
      </c>
      <c r="T111" s="13">
        <f>IF(Q111=1,coef_W*MAX(R111*S111*A_pixel,0)^exp_M*M111*O111*fator_P*P111,"")</f>
        <v>0.0</v>
      </c>
      <c r="U111" s="13">
        <f>IF(Q111=1,c_pura*T111,"")</f>
        <v>0.0</v>
      </c>
      <c r="V111" s="12">
        <f>IF(Q111=1,MIN(fator_f*R111,H111),"")</f>
        <v>23.86849023803682</v>
      </c>
      <c r="W111" s="13">
        <f>IF(Q111=1,V111/1000*A_pixel*RI_mmh/R_evento_mm/3600,"")</f>
        <v>0.0009483524239379612</v>
      </c>
      <c r="X111" s="13">
        <f>IF(Q111=1,coef_W*MAX(V111*W111*A_pixel,0)^exp_M*M111*O111*fator_P*P111,"")</f>
        <v>0.0</v>
      </c>
      <c r="Y111" s="13">
        <f>IF(Q111=1,c_restr*X111,"")</f>
        <v>0.0</v>
      </c>
    </row>
    <row r="112">
      <c r="A112">
        <v>111</v>
      </c>
      <c r="B112">
        <v>14</v>
      </c>
      <c r="C112">
        <v>46</v>
      </c>
      <c r="D112" s="9">
        <f>X0_canto+(C112+0.5)*dx_pix</f>
        <v>320040.95385854074</v>
      </c>
      <c r="E112" s="9">
        <f>Y0_canto-(B112+0.5)*dy_pix</f>
        <v>7434623.678805068</v>
      </c>
      <c r="F112" s="10">
        <f>(D112-x_DBT5)^2+(E112-y_DBT5)^2</f>
        <v>878482356.3233286</v>
      </c>
      <c r="G112" s="10">
        <f>(D112-x_CLP)^2+(E112-y_CLP)^2</f>
        <v>5536247.154244855</v>
      </c>
      <c r="H112" s="11">
        <f>(P_DBT5/F112+P_CLP/G112)/(1/F112+1/G112)</f>
        <v>78.89854802831918</v>
      </c>
      <c r="I112" s="11">
        <v>77</v>
      </c>
      <c r="J112" s="11">
        <f>4.2*I112/(10-0.058*I112)</f>
        <v>58.438742320202394</v>
      </c>
      <c r="K112" s="11">
        <f>25.4*(1000/J112-10)</f>
        <v>180.64316635745197</v>
      </c>
      <c r="L112" t="inlineStr">
        <is>
          <t>Área Urbana</t>
        </is>
      </c>
      <c r="M112" s="11">
        <f>IFERROR(VLOOKUP(L112,Classes_K,2,FALSE),"")</f>
        <v>0.0</v>
      </c>
      <c r="N112" t="inlineStr">
        <is>
          <t>Área Urbanizada</t>
        </is>
      </c>
      <c r="O112" s="11">
        <f>IFERROR(VLOOKUP(N112,Classes_C,2,FALSE),"")</f>
        <v>0.0</v>
      </c>
      <c r="P112" s="12">
        <v>0.3252001106739044</v>
      </c>
      <c r="Q112">
        <f>IF(COUNT(M112,O112,P112)=3,1,0)</f>
        <v>1</v>
      </c>
      <c r="R112" s="12">
        <f>IF(H112&lt;=p_lambda*K112,0,(H112-p_lambda*K112)^2/(H112+(1-p_lambda)*K112))</f>
        <v>19.48553375683983</v>
      </c>
      <c r="S112" s="13">
        <f>R112/1000*A_pixel*RI_mmh/R_evento_mm/3600</f>
        <v>0.0007742070397303827</v>
      </c>
      <c r="T112" s="13">
        <f>IF(Q112=1,coef_W*MAX(R112*S112*A_pixel,0)^exp_M*M112*O112*fator_P*P112,"")</f>
        <v>0.0</v>
      </c>
      <c r="U112" s="13">
        <f>IF(Q112=1,c_pura*T112,"")</f>
        <v>0.0</v>
      </c>
      <c r="V112" s="12">
        <f>IF(Q112=1,MIN(fator_f*R112,H112),"")</f>
        <v>23.868270258118102</v>
      </c>
      <c r="W112" s="13">
        <f>IF(Q112=1,V112/1000*A_pixel*RI_mmh/R_evento_mm/3600,"")</f>
        <v>0.0009483436836076323</v>
      </c>
      <c r="X112" s="13">
        <f>IF(Q112=1,coef_W*MAX(V112*W112*A_pixel,0)^exp_M*M112*O112*fator_P*P112,"")</f>
        <v>0.0</v>
      </c>
      <c r="Y112" s="13">
        <f>IF(Q112=1,c_restr*X112,"")</f>
        <v>0.0</v>
      </c>
    </row>
    <row r="113">
      <c r="A113">
        <v>112</v>
      </c>
      <c r="B113">
        <v>14</v>
      </c>
      <c r="C113">
        <v>47</v>
      </c>
      <c r="D113" s="9">
        <f>X0_canto+(C113+0.5)*dx_pix</f>
        <v>320070.94543399324</v>
      </c>
      <c r="E113" s="9">
        <f>Y0_canto-(B113+0.5)*dy_pix</f>
        <v>7434623.678805068</v>
      </c>
      <c r="F113" s="10">
        <f>(D113-x_DBT5)^2+(E113-y_DBT5)^2</f>
        <v>876774941.9718813</v>
      </c>
      <c r="G113" s="10">
        <f>(D113-x_CLP)^2+(E113-y_CLP)^2</f>
        <v>5547858.672428172</v>
      </c>
      <c r="H113" s="11">
        <f>(P_DBT5/F113+P_CLP/G113)/(1/F113+1/G113)</f>
        <v>78.89813984152484</v>
      </c>
      <c r="I113" s="11">
        <v>77</v>
      </c>
      <c r="J113" s="11">
        <f>4.2*I113/(10-0.058*I113)</f>
        <v>58.438742320202394</v>
      </c>
      <c r="K113" s="11">
        <f>25.4*(1000/J113-10)</f>
        <v>180.64316635745197</v>
      </c>
      <c r="L113" t="inlineStr">
        <is>
          <t>Área Urbana</t>
        </is>
      </c>
      <c r="M113" s="11">
        <f>IFERROR(VLOOKUP(L113,Classes_K,2,FALSE),"")</f>
        <v>0.0</v>
      </c>
      <c r="N113" t="inlineStr">
        <is>
          <t>Área Urbanizada</t>
        </is>
      </c>
      <c r="O113" s="11">
        <f>IFERROR(VLOOKUP(N113,Classes_C,2,FALSE),"")</f>
        <v>0.0</v>
      </c>
      <c r="Q113">
        <f>IF(COUNT(M113,O113,P113)=3,1,0)</f>
        <v>0</v>
      </c>
      <c r="R113" s="12">
        <f>IF(H113&lt;=p_lambda*K113,0,(H113-p_lambda*K113)^2/(H113+(1-p_lambda)*K113))</f>
        <v>19.485337823192154</v>
      </c>
      <c r="S113" s="13">
        <f>R113/1000*A_pixel*RI_mmh/R_evento_mm/3600</f>
        <v>0.0007741992548161358</v>
      </c>
      <c r="T113" s="13">
        <f>IF(Q113=1,coef_W*MAX(R113*S113*A_pixel,0)^exp_M*M113*O113*fator_P*P113,"")</f>
        <v/>
      </c>
      <c r="U113" s="13">
        <f>IF(Q113=1,c_pura*T113,"")</f>
        <v/>
      </c>
      <c r="V113" s="12">
        <f>IF(Q113=1,MIN(fator_f*R113,H113),"")</f>
        <v/>
      </c>
      <c r="W113" s="13">
        <f>IF(Q113=1,V113/1000*A_pixel*RI_mmh/R_evento_mm/3600,"")</f>
        <v/>
      </c>
      <c r="X113" s="13">
        <f>IF(Q113=1,coef_W*MAX(V113*W113*A_pixel,0)^exp_M*M113*O113*fator_P*P113,"")</f>
        <v/>
      </c>
      <c r="Y113" s="13">
        <f>IF(Q113=1,c_restr*X113,"")</f>
        <v/>
      </c>
    </row>
    <row r="114">
      <c r="A114">
        <v>113</v>
      </c>
      <c r="B114">
        <v>14</v>
      </c>
      <c r="C114">
        <v>48</v>
      </c>
      <c r="D114" s="9">
        <f>X0_canto+(C114+0.5)*dx_pix</f>
        <v>320100.9370094457</v>
      </c>
      <c r="E114" s="9">
        <f>Y0_canto-(B114+0.5)*dy_pix</f>
        <v>7434623.678805068</v>
      </c>
      <c r="F114" s="10">
        <f>(D114-x_DBT5)^2+(E114-y_DBT5)^2</f>
        <v>875069326.6096334</v>
      </c>
      <c r="G114" s="10">
        <f>(D114-x_CLP)^2+(E114-y_CLP)^2</f>
        <v>5561269.179807708</v>
      </c>
      <c r="H114" s="11">
        <f>(P_DBT5/F114+P_CLP/G114)/(1/F114+1/G114)</f>
        <v>78.8976974064708</v>
      </c>
      <c r="I114" s="11">
        <v>77</v>
      </c>
      <c r="J114" s="11">
        <f>4.2*I114/(10-0.058*I114)</f>
        <v>58.438742320202394</v>
      </c>
      <c r="K114" s="11">
        <f>25.4*(1000/J114-10)</f>
        <v>180.64316635745197</v>
      </c>
      <c r="L114" t="inlineStr">
        <is>
          <t/>
        </is>
      </c>
      <c r="M114" s="11">
        <f>IFERROR(VLOOKUP(L114,Classes_K,2,FALSE),"")</f>
        <v/>
      </c>
      <c r="N114" t="inlineStr">
        <is>
          <t/>
        </is>
      </c>
      <c r="O114" s="11">
        <f>IFERROR(VLOOKUP(N114,Classes_C,2,FALSE),"")</f>
        <v/>
      </c>
      <c r="Q114">
        <f>IF(COUNT(M114,O114,P114)=3,1,0)</f>
        <v>0</v>
      </c>
      <c r="R114" s="12">
        <f>IF(H114&lt;=p_lambda*K114,0,(H114-p_lambda*K114)^2/(H114+(1-p_lambda)*K114))</f>
        <v>19.485125450826548</v>
      </c>
      <c r="S114" s="13">
        <f>R114/1000*A_pixel*RI_mmh/R_evento_mm/3600</f>
        <v>0.0007741908167521573</v>
      </c>
      <c r="T114" s="13">
        <f>IF(Q114=1,coef_W*MAX(R114*S114*A_pixel,0)^exp_M*M114*O114*fator_P*P114,"")</f>
        <v/>
      </c>
      <c r="U114" s="13">
        <f>IF(Q114=1,c_pura*T114,"")</f>
        <v/>
      </c>
      <c r="V114" s="12">
        <f>IF(Q114=1,MIN(fator_f*R114,H114),"")</f>
        <v/>
      </c>
      <c r="W114" s="13">
        <f>IF(Q114=1,V114/1000*A_pixel*RI_mmh/R_evento_mm/3600,"")</f>
        <v/>
      </c>
      <c r="X114" s="13">
        <f>IF(Q114=1,coef_W*MAX(V114*W114*A_pixel,0)^exp_M*M114*O114*fator_P*P114,"")</f>
        <v/>
      </c>
      <c r="Y114" s="13">
        <f>IF(Q114=1,c_restr*X114,"")</f>
        <v/>
      </c>
    </row>
    <row r="115">
      <c r="A115">
        <v>114</v>
      </c>
      <c r="B115">
        <v>14</v>
      </c>
      <c r="C115">
        <v>108</v>
      </c>
      <c r="D115" s="9">
        <f>X0_canto+(C115+0.5)*dx_pix</f>
        <v>321900.43153659505</v>
      </c>
      <c r="E115" s="9">
        <f>Y0_canto-(B115+0.5)*dy_pix</f>
        <v>7434623.678805068</v>
      </c>
      <c r="F115" s="10">
        <f>(D115-x_DBT5)^2+(E115-y_DBT5)^2</f>
        <v>776024555.1037259</v>
      </c>
      <c r="G115" s="10">
        <f>(D115-x_CLP)^2+(E115-y_CLP)^2</f>
        <v>9658049.851708878</v>
      </c>
      <c r="H115" s="11">
        <f>(P_DBT5/F115+P_CLP/G115)/(1/F115+1/G115)</f>
        <v>78.80086255494571</v>
      </c>
      <c r="I115" s="11">
        <v>85</v>
      </c>
      <c r="J115" s="11">
        <f>4.2*I115/(10-0.058*I115)</f>
        <v>70.41420118343196</v>
      </c>
      <c r="K115" s="11">
        <f>25.4*(1000/J115-10)</f>
        <v>106.72268907563023</v>
      </c>
      <c r="L115" t="inlineStr">
        <is>
          <t/>
        </is>
      </c>
      <c r="M115" s="11">
        <f>IFERROR(VLOOKUP(L115,Classes_K,2,FALSE),"")</f>
        <v/>
      </c>
      <c r="N115" t="inlineStr">
        <is>
          <t/>
        </is>
      </c>
      <c r="O115" s="11">
        <f>IFERROR(VLOOKUP(N115,Classes_C,2,FALSE),"")</f>
        <v/>
      </c>
      <c r="Q115">
        <f>IF(COUNT(M115,O115,P115)=3,1,0)</f>
        <v>0</v>
      </c>
      <c r="R115" s="12">
        <f>IF(H115&lt;=p_lambda*K115,0,(H115-p_lambda*K115)^2/(H115+(1-p_lambda)*K115))</f>
        <v>29.952514773451394</v>
      </c>
      <c r="S115" s="13">
        <f>R115/1000*A_pixel*RI_mmh/R_evento_mm/3600</f>
        <v>0.0011900853260996443</v>
      </c>
      <c r="T115" s="13">
        <f>IF(Q115=1,coef_W*MAX(R115*S115*A_pixel,0)^exp_M*M115*O115*fator_P*P115,"")</f>
        <v/>
      </c>
      <c r="U115" s="13">
        <f>IF(Q115=1,c_pura*T115,"")</f>
        <v/>
      </c>
      <c r="V115" s="12">
        <f>IF(Q115=1,MIN(fator_f*R115,H115),"")</f>
        <v/>
      </c>
      <c r="W115" s="13">
        <f>IF(Q115=1,V115/1000*A_pixel*RI_mmh/R_evento_mm/3600,"")</f>
        <v/>
      </c>
      <c r="X115" s="13">
        <f>IF(Q115=1,coef_W*MAX(V115*W115*A_pixel,0)^exp_M*M115*O115*fator_P*P115,"")</f>
        <v/>
      </c>
      <c r="Y115" s="13">
        <f>IF(Q115=1,c_restr*X115,"")</f>
        <v/>
      </c>
    </row>
    <row r="116">
      <c r="A116">
        <v>115</v>
      </c>
      <c r="B116">
        <v>14</v>
      </c>
      <c r="C116">
        <v>109</v>
      </c>
      <c r="D116" s="9">
        <f>X0_canto+(C116+0.5)*dx_pix</f>
        <v>321930.4231120475</v>
      </c>
      <c r="E116" s="9">
        <f>Y0_canto-(B116+0.5)*dy_pix</f>
        <v>7434623.678805068</v>
      </c>
      <c r="F116" s="10">
        <f>(D116-x_DBT5)^2+(E116-y_DBT5)^2</f>
        <v>774428678.0824488</v>
      </c>
      <c r="G116" s="10">
        <f>(D116-x_CLP)^2+(E116-y_CLP)^2</f>
        <v>9781198.70005916</v>
      </c>
      <c r="H116" s="11">
        <f>(P_DBT5/F116+P_CLP/G116)/(1/F116+1/G116)</f>
        <v>78.79794459948641</v>
      </c>
      <c r="I116" s="11">
        <v>85</v>
      </c>
      <c r="J116" s="11">
        <f>4.2*I116/(10-0.058*I116)</f>
        <v>70.41420118343196</v>
      </c>
      <c r="K116" s="11">
        <f>25.4*(1000/J116-10)</f>
        <v>106.72268907563023</v>
      </c>
      <c r="L116" t="inlineStr">
        <is>
          <t/>
        </is>
      </c>
      <c r="M116" s="11">
        <f>IFERROR(VLOOKUP(L116,Classes_K,2,FALSE),"")</f>
        <v/>
      </c>
      <c r="N116" t="inlineStr">
        <is>
          <t/>
        </is>
      </c>
      <c r="O116" s="11">
        <f>IFERROR(VLOOKUP(N116,Classes_C,2,FALSE),"")</f>
        <v/>
      </c>
      <c r="Q116">
        <f>IF(COUNT(M116,O116,P116)=3,1,0)</f>
        <v>0</v>
      </c>
      <c r="R116" s="12">
        <f>IF(H116&lt;=p_lambda*K116,0,(H116-p_lambda*K116)^2/(H116+(1-p_lambda)*K116))</f>
        <v>29.950620465162583</v>
      </c>
      <c r="S116" s="13">
        <f>R116/1000*A_pixel*RI_mmh/R_evento_mm/3600</f>
        <v>0.001190010060683212</v>
      </c>
      <c r="T116" s="13">
        <f>IF(Q116=1,coef_W*MAX(R116*S116*A_pixel,0)^exp_M*M116*O116*fator_P*P116,"")</f>
        <v/>
      </c>
      <c r="U116" s="13">
        <f>IF(Q116=1,c_pura*T116,"")</f>
        <v/>
      </c>
      <c r="V116" s="12">
        <f>IF(Q116=1,MIN(fator_f*R116,H116),"")</f>
        <v/>
      </c>
      <c r="W116" s="13">
        <f>IF(Q116=1,V116/1000*A_pixel*RI_mmh/R_evento_mm/3600,"")</f>
        <v/>
      </c>
      <c r="X116" s="13">
        <f>IF(Q116=1,coef_W*MAX(V116*W116*A_pixel,0)^exp_M*M116*O116*fator_P*P116,"")</f>
        <v/>
      </c>
      <c r="Y116" s="13">
        <f>IF(Q116=1,c_restr*X116,"")</f>
        <v/>
      </c>
    </row>
    <row r="117">
      <c r="A117">
        <v>116</v>
      </c>
      <c r="B117">
        <v>14</v>
      </c>
      <c r="C117">
        <v>110</v>
      </c>
      <c r="D117" s="9">
        <f>X0_canto+(C117+0.5)*dx_pix</f>
        <v>321960.4146875</v>
      </c>
      <c r="E117" s="9">
        <f>Y0_canto-(B117+0.5)*dy_pix</f>
        <v>7434623.678805068</v>
      </c>
      <c r="F117" s="10">
        <f>(D117-x_DBT5)^2+(E117-y_DBT5)^2</f>
        <v>772834600.0503649</v>
      </c>
      <c r="G117" s="10">
        <f>(D117-x_CLP)^2+(E117-y_CLP)^2</f>
        <v>9906146.537605928</v>
      </c>
      <c r="H117" s="11">
        <f>(P_DBT5/F117+P_CLP/G117)/(1/F117+1/G117)</f>
        <v>78.7949793731563</v>
      </c>
      <c r="I117" s="11">
        <v>85</v>
      </c>
      <c r="J117" s="11">
        <f>4.2*I117/(10-0.058*I117)</f>
        <v>70.41420118343196</v>
      </c>
      <c r="K117" s="11">
        <f>25.4*(1000/J117-10)</f>
        <v>106.72268907563023</v>
      </c>
      <c r="L117" t="inlineStr">
        <is>
          <t>Área Urbana</t>
        </is>
      </c>
      <c r="M117" s="11">
        <f>IFERROR(VLOOKUP(L117,Classes_K,2,FALSE),"")</f>
        <v>0.0</v>
      </c>
      <c r="N117" t="inlineStr">
        <is>
          <t>Área Urbanizada</t>
        </is>
      </c>
      <c r="O117" s="11">
        <f>IFERROR(VLOOKUP(N117,Classes_C,2,FALSE),"")</f>
        <v>0.0</v>
      </c>
      <c r="P117" s="12">
        <v>0.2318384945392609</v>
      </c>
      <c r="Q117">
        <f>IF(COUNT(M117,O117,P117)=3,1,0)</f>
        <v>1</v>
      </c>
      <c r="R117" s="12">
        <f>IF(H117&lt;=p_lambda*K117,0,(H117-p_lambda*K117)^2/(H117+(1-p_lambda)*K117))</f>
        <v>29.94869550304943</v>
      </c>
      <c r="S117" s="13">
        <f>R117/1000*A_pixel*RI_mmh/R_evento_mm/3600</f>
        <v>0.0011899335773167402</v>
      </c>
      <c r="T117" s="13">
        <f>IF(Q117=1,coef_W*MAX(R117*S117*A_pixel,0)^exp_M*M117*O117*fator_P*P117,"")</f>
        <v>0.0</v>
      </c>
      <c r="U117" s="13">
        <f>IF(Q117=1,c_pura*T117,"")</f>
        <v>0.0</v>
      </c>
      <c r="V117" s="12">
        <f>IF(Q117=1,MIN(fator_f*R117,H117),"")</f>
        <v>36.684833326362025</v>
      </c>
      <c r="W117" s="13">
        <f>IF(Q117=1,V117/1000*A_pixel*RI_mmh/R_evento_mm/3600,"")</f>
        <v>0.0014575765060906097</v>
      </c>
      <c r="X117" s="13">
        <f>IF(Q117=1,coef_W*MAX(V117*W117*A_pixel,0)^exp_M*M117*O117*fator_P*P117,"")</f>
        <v>0.0</v>
      </c>
      <c r="Y117" s="13">
        <f>IF(Q117=1,c_restr*X117,"")</f>
        <v>0.0</v>
      </c>
    </row>
    <row r="118">
      <c r="A118">
        <v>117</v>
      </c>
      <c r="B118">
        <v>14</v>
      </c>
      <c r="C118">
        <v>111</v>
      </c>
      <c r="D118" s="9">
        <f>X0_canto+(C118+0.5)*dx_pix</f>
        <v>321990.4062629525</v>
      </c>
      <c r="E118" s="9">
        <f>Y0_canto-(B118+0.5)*dy_pix</f>
        <v>7434623.678805068</v>
      </c>
      <c r="F118" s="10">
        <f>(D118-x_DBT5)^2+(E118-y_DBT5)^2</f>
        <v>771242321.0074772</v>
      </c>
      <c r="G118" s="10">
        <f>(D118-x_CLP)^2+(E118-y_CLP)^2</f>
        <v>10032893.36434894</v>
      </c>
      <c r="H118" s="11">
        <f>(P_DBT5/F118+P_CLP/G118)/(1/F118+1/G118)</f>
        <v>78.79196665025421</v>
      </c>
      <c r="I118" s="11">
        <v>85</v>
      </c>
      <c r="J118" s="11">
        <f>4.2*I118/(10-0.058*I118)</f>
        <v>70.41420118343196</v>
      </c>
      <c r="K118" s="11">
        <f>25.4*(1000/J118-10)</f>
        <v>106.72268907563023</v>
      </c>
      <c r="L118" t="inlineStr">
        <is>
          <t>Área Urbana</t>
        </is>
      </c>
      <c r="M118" s="11">
        <f>IFERROR(VLOOKUP(L118,Classes_K,2,FALSE),"")</f>
        <v>0.0</v>
      </c>
      <c r="N118" t="inlineStr">
        <is>
          <t>Área Urbanizada</t>
        </is>
      </c>
      <c r="O118" s="11">
        <f>IFERROR(VLOOKUP(N118,Classes_C,2,FALSE),"")</f>
        <v>0.0</v>
      </c>
      <c r="P118" s="12">
        <v>0.2236346453428268</v>
      </c>
      <c r="Q118">
        <f>IF(COUNT(M118,O118,P118)=3,1,0)</f>
        <v>1</v>
      </c>
      <c r="R118" s="12">
        <f>IF(H118&lt;=p_lambda*K118,0,(H118-p_lambda*K118)^2/(H118+(1-p_lambda)*K118))</f>
        <v>29.946739742234644</v>
      </c>
      <c r="S118" s="13">
        <f>R118/1000*A_pixel*RI_mmh/R_evento_mm/3600</f>
        <v>0.0011898558702439072</v>
      </c>
      <c r="T118" s="13">
        <f>IF(Q118=1,coef_W*MAX(R118*S118*A_pixel,0)^exp_M*M118*O118*fator_P*P118,"")</f>
        <v>0.0</v>
      </c>
      <c r="U118" s="13">
        <f>IF(Q118=1,c_pura*T118,"")</f>
        <v>0.0</v>
      </c>
      <c r="V118" s="12">
        <f>IF(Q118=1,MIN(fator_f*R118,H118),"")</f>
        <v>36.682437670781326</v>
      </c>
      <c r="W118" s="13">
        <f>IF(Q118=1,V118/1000*A_pixel*RI_mmh/R_evento_mm/3600,"")</f>
        <v>0.001457481320942566</v>
      </c>
      <c r="X118" s="13">
        <f>IF(Q118=1,coef_W*MAX(V118*W118*A_pixel,0)^exp_M*M118*O118*fator_P*P118,"")</f>
        <v>0.0</v>
      </c>
      <c r="Y118" s="13">
        <f>IF(Q118=1,c_restr*X118,"")</f>
        <v>0.0</v>
      </c>
    </row>
    <row r="119">
      <c r="A119">
        <v>118</v>
      </c>
      <c r="B119">
        <v>14</v>
      </c>
      <c r="C119">
        <v>112</v>
      </c>
      <c r="D119" s="9">
        <f>X0_canto+(C119+0.5)*dx_pix</f>
        <v>322020.397838405</v>
      </c>
      <c r="E119" s="9">
        <f>Y0_canto-(B119+0.5)*dy_pix</f>
        <v>7434623.678805068</v>
      </c>
      <c r="F119" s="10">
        <f>(D119-x_DBT5)^2+(E119-y_DBT5)^2</f>
        <v>769651840.9537858</v>
      </c>
      <c r="G119" s="10">
        <f>(D119-x_CLP)^2+(E119-y_CLP)^2</f>
        <v>10161439.1802882</v>
      </c>
      <c r="H119" s="11">
        <f>(P_DBT5/F119+P_CLP/G119)/(1/F119+1/G119)</f>
        <v>78.7889062046951</v>
      </c>
      <c r="I119" s="11">
        <v>85</v>
      </c>
      <c r="J119" s="11">
        <f>4.2*I119/(10-0.058*I119)</f>
        <v>70.41420118343196</v>
      </c>
      <c r="K119" s="11">
        <f>25.4*(1000/J119-10)</f>
        <v>106.72268907563023</v>
      </c>
      <c r="L119" t="inlineStr">
        <is>
          <t>Área Urbana</t>
        </is>
      </c>
      <c r="M119" s="11">
        <f>IFERROR(VLOOKUP(L119,Classes_K,2,FALSE),"")</f>
        <v>0.0</v>
      </c>
      <c r="N119" t="inlineStr">
        <is>
          <t>Área Urbanizada</t>
        </is>
      </c>
      <c r="O119" s="11">
        <f>IFERROR(VLOOKUP(N119,Classes_C,2,FALSE),"")</f>
        <v>0.0</v>
      </c>
      <c r="Q119">
        <f>IF(COUNT(M119,O119,P119)=3,1,0)</f>
        <v>0</v>
      </c>
      <c r="R119" s="12">
        <f>IF(H119&lt;=p_lambda*K119,0,(H119-p_lambda*K119)^2/(H119+(1-p_lambda)*K119))</f>
        <v>29.944753037628754</v>
      </c>
      <c r="S119" s="13">
        <f>R119/1000*A_pixel*RI_mmh/R_evento_mm/3600</f>
        <v>0.0011897769336999592</v>
      </c>
      <c r="T119" s="13">
        <f>IF(Q119=1,coef_W*MAX(R119*S119*A_pixel,0)^exp_M*M119*O119*fator_P*P119,"")</f>
        <v/>
      </c>
      <c r="U119" s="13">
        <f>IF(Q119=1,c_pura*T119,"")</f>
        <v/>
      </c>
      <c r="V119" s="12">
        <f>IF(Q119=1,MIN(fator_f*R119,H119),"")</f>
        <v/>
      </c>
      <c r="W119" s="13">
        <f>IF(Q119=1,V119/1000*A_pixel*RI_mmh/R_evento_mm/3600,"")</f>
        <v/>
      </c>
      <c r="X119" s="13">
        <f>IF(Q119=1,coef_W*MAX(V119*W119*A_pixel,0)^exp_M*M119*O119*fator_P*P119,"")</f>
        <v/>
      </c>
      <c r="Y119" s="13">
        <f>IF(Q119=1,c_restr*X119,"")</f>
        <v/>
      </c>
    </row>
    <row r="120">
      <c r="A120">
        <v>119</v>
      </c>
      <c r="B120">
        <v>14</v>
      </c>
      <c r="C120">
        <v>113</v>
      </c>
      <c r="D120" s="9">
        <f>X0_canto+(C120+0.5)*dx_pix</f>
        <v>322050.3894138575</v>
      </c>
      <c r="E120" s="9">
        <f>Y0_canto-(B120+0.5)*dy_pix</f>
        <v>7434623.678805068</v>
      </c>
      <c r="F120" s="10">
        <f>(D120-x_DBT5)^2+(E120-y_DBT5)^2</f>
        <v>768063159.8892906</v>
      </c>
      <c r="G120" s="10">
        <f>(D120-x_CLP)^2+(E120-y_CLP)^2</f>
        <v>10291783.985423703</v>
      </c>
      <c r="H120" s="11">
        <f>(P_DBT5/F120+P_CLP/G120)/(1/F120+1/G120)</f>
        <v>78.78579781001682</v>
      </c>
      <c r="I120" s="11">
        <v>85</v>
      </c>
      <c r="J120" s="11">
        <f>4.2*I120/(10-0.058*I120)</f>
        <v>70.41420118343196</v>
      </c>
      <c r="K120" s="11">
        <f>25.4*(1000/J120-10)</f>
        <v>106.72268907563023</v>
      </c>
      <c r="L120" t="inlineStr">
        <is>
          <t/>
        </is>
      </c>
      <c r="M120" s="11">
        <f>IFERROR(VLOOKUP(L120,Classes_K,2,FALSE),"")</f>
        <v/>
      </c>
      <c r="N120" t="inlineStr">
        <is>
          <t/>
        </is>
      </c>
      <c r="O120" s="11">
        <f>IFERROR(VLOOKUP(N120,Classes_C,2,FALSE),"")</f>
        <v/>
      </c>
      <c r="Q120">
        <f>IF(COUNT(M120,O120,P120)=3,1,0)</f>
        <v>0</v>
      </c>
      <c r="R120" s="12">
        <f>IF(H120&lt;=p_lambda*K120,0,(H120-p_lambda*K120)^2/(H120+(1-p_lambda)*K120))</f>
        <v>29.942735243934987</v>
      </c>
      <c r="S120" s="13">
        <f>R120/1000*A_pixel*RI_mmh/R_evento_mm/3600</f>
        <v>0.0011896967619119073</v>
      </c>
      <c r="T120" s="13">
        <f>IF(Q120=1,coef_W*MAX(R120*S120*A_pixel,0)^exp_M*M120*O120*fator_P*P120,"")</f>
        <v/>
      </c>
      <c r="U120" s="13">
        <f>IF(Q120=1,c_pura*T120,"")</f>
        <v/>
      </c>
      <c r="V120" s="12">
        <f>IF(Q120=1,MIN(fator_f*R120,H120),"")</f>
        <v/>
      </c>
      <c r="W120" s="13">
        <f>IF(Q120=1,V120/1000*A_pixel*RI_mmh/R_evento_mm/3600,"")</f>
        <v/>
      </c>
      <c r="X120" s="13">
        <f>IF(Q120=1,coef_W*MAX(V120*W120*A_pixel,0)^exp_M*M120*O120*fator_P*P120,"")</f>
        <v/>
      </c>
      <c r="Y120" s="13">
        <f>IF(Q120=1,c_restr*X120,"")</f>
        <v/>
      </c>
    </row>
    <row r="121">
      <c r="A121">
        <v>120</v>
      </c>
      <c r="B121">
        <v>14</v>
      </c>
      <c r="C121">
        <v>123</v>
      </c>
      <c r="D121" s="9">
        <f>X0_canto+(C121+0.5)*dx_pix</f>
        <v>322350.30516838236</v>
      </c>
      <c r="E121" s="9">
        <f>Y0_canto-(B121+0.5)*dy_pix</f>
        <v>7434623.678805068</v>
      </c>
      <c r="F121" s="10">
        <f>(D121-x_DBT5)^2+(E121-y_DBT5)^2</f>
        <v>752275293.6501381</v>
      </c>
      <c r="G121" s="10">
        <f>(D121-x_CLP)^2+(E121-y_CLP)^2</f>
        <v>11694176.442571687</v>
      </c>
      <c r="H121" s="11">
        <f>(P_DBT5/F121+P_CLP/G121)/(1/F121+1/G121)</f>
        <v>78.75202658463098</v>
      </c>
      <c r="I121" s="11">
        <v>85</v>
      </c>
      <c r="J121" s="11">
        <f>4.2*I121/(10-0.058*I121)</f>
        <v>70.41420118343196</v>
      </c>
      <c r="K121" s="11">
        <f>25.4*(1000/J121-10)</f>
        <v>106.72268907563023</v>
      </c>
      <c r="L121" t="inlineStr">
        <is>
          <t>Cambissolos Háplicos</t>
        </is>
      </c>
      <c r="M121" s="11">
        <f>IFERROR(VLOOKUP(L121,Classes_K,2,FALSE),"")</f>
        <v>0.04749999940395355</v>
      </c>
      <c r="N121" t="inlineStr">
        <is>
          <t>Área Urbanizada</t>
        </is>
      </c>
      <c r="O121" s="11">
        <f>IFERROR(VLOOKUP(N121,Classes_C,2,FALSE),"")</f>
        <v>0.0</v>
      </c>
      <c r="P121" s="12">
        <v>0.2753593027591705</v>
      </c>
      <c r="Q121">
        <f>IF(COUNT(M121,O121,P121)=3,1,0)</f>
        <v>1</v>
      </c>
      <c r="R121" s="12">
        <f>IF(H121&lt;=p_lambda*K121,0,(H121-p_lambda*K121)^2/(H121+(1-p_lambda)*K121))</f>
        <v>29.920815303804822</v>
      </c>
      <c r="S121" s="13">
        <f>R121/1000*A_pixel*RI_mmh/R_evento_mm/3600</f>
        <v>0.001188825830062104</v>
      </c>
      <c r="T121" s="13">
        <f>IF(Q121=1,coef_W*MAX(R121*S121*A_pixel,0)^exp_M*M121*O121*fator_P*P121,"")</f>
        <v>0.0</v>
      </c>
      <c r="U121" s="13">
        <f>IF(Q121=1,c_pura*T121,"")</f>
        <v>0.0</v>
      </c>
      <c r="V121" s="12">
        <f>IF(Q121=1,MIN(fator_f*R121,H121),"")</f>
        <v>36.65068224080673</v>
      </c>
      <c r="W121" s="13">
        <f>IF(Q121=1,V121/1000*A_pixel*RI_mmh/R_evento_mm/3600,"")</f>
        <v>0.0014562196014668363</v>
      </c>
      <c r="X121" s="13">
        <f>IF(Q121=1,coef_W*MAX(V121*W121*A_pixel,0)^exp_M*M121*O121*fator_P*P121,"")</f>
        <v>0.0</v>
      </c>
      <c r="Y121" s="13">
        <f>IF(Q121=1,c_restr*X121,"")</f>
        <v>0.0</v>
      </c>
    </row>
    <row r="122">
      <c r="A122">
        <v>121</v>
      </c>
      <c r="B122">
        <v>14</v>
      </c>
      <c r="C122">
        <v>124</v>
      </c>
      <c r="D122" s="9">
        <f>X0_canto+(C122+0.5)*dx_pix</f>
        <v>322380.29674383486</v>
      </c>
      <c r="E122" s="9">
        <f>Y0_canto-(B122+0.5)*dy_pix</f>
        <v>7434623.678805068</v>
      </c>
      <c r="F122" s="10">
        <f>(D122-x_DBT5)^2+(E122-y_DBT5)^2</f>
        <v>750706401.4668016</v>
      </c>
      <c r="G122" s="10">
        <f>(D122-x_CLP)^2+(E122-y_CLP)^2</f>
        <v>11844310.128865888</v>
      </c>
      <c r="H122" s="11">
        <f>(P_DBT5/F122+P_CLP/G122)/(1/F122+1/G122)</f>
        <v>78.74837570246261</v>
      </c>
      <c r="I122" s="11">
        <v>77</v>
      </c>
      <c r="J122" s="11">
        <f>4.2*I122/(10-0.058*I122)</f>
        <v>58.438742320202394</v>
      </c>
      <c r="K122" s="11">
        <f>25.4*(1000/J122-10)</f>
        <v>180.64316635745197</v>
      </c>
      <c r="L122" t="inlineStr">
        <is>
          <t>Cambissolos Háplicos</t>
        </is>
      </c>
      <c r="M122" s="11">
        <f>IFERROR(VLOOKUP(L122,Classes_K,2,FALSE),"")</f>
        <v>0.04749999940395355</v>
      </c>
      <c r="N122" t="inlineStr">
        <is>
          <t>Área Urbanizada</t>
        </is>
      </c>
      <c r="O122" s="11">
        <f>IFERROR(VLOOKUP(N122,Classes_C,2,FALSE),"")</f>
        <v>0.0</v>
      </c>
      <c r="P122" s="12">
        <v>0.3883199691772461</v>
      </c>
      <c r="Q122">
        <f>IF(COUNT(M122,O122,P122)=3,1,0)</f>
        <v>1</v>
      </c>
      <c r="R122" s="12">
        <f>IF(H122&lt;=p_lambda*K122,0,(H122-p_lambda*K122)^2/(H122+(1-p_lambda)*K122))</f>
        <v>19.41349628589627</v>
      </c>
      <c r="S122" s="13">
        <f>R122/1000*A_pixel*RI_mmh/R_evento_mm/3600</f>
        <v>0.0007713448180522466</v>
      </c>
      <c r="T122" s="13">
        <f>IF(Q122=1,coef_W*MAX(R122*S122*A_pixel,0)^exp_M*M122*O122*fator_P*P122,"")</f>
        <v>0.0</v>
      </c>
      <c r="U122" s="13">
        <f>IF(Q122=1,c_pura*T122,"")</f>
        <v>0.0</v>
      </c>
      <c r="V122" s="12">
        <f>IF(Q122=1,MIN(fator_f*R122,H122),"")</f>
        <v>23.78002993344192</v>
      </c>
      <c r="W122" s="13">
        <f>IF(Q122=1,V122/1000*A_pixel*RI_mmh/R_evento_mm/3600,"")</f>
        <v>0.0009448376836486414</v>
      </c>
      <c r="X122" s="13">
        <f>IF(Q122=1,coef_W*MAX(V122*W122*A_pixel,0)^exp_M*M122*O122*fator_P*P122,"")</f>
        <v>0.0</v>
      </c>
      <c r="Y122" s="13">
        <f>IF(Q122=1,c_restr*X122,"")</f>
        <v>0.0</v>
      </c>
    </row>
    <row r="123">
      <c r="A123">
        <v>122</v>
      </c>
      <c r="B123">
        <v>14</v>
      </c>
      <c r="C123">
        <v>125</v>
      </c>
      <c r="D123" s="9">
        <f>X0_canto+(C123+0.5)*dx_pix</f>
        <v>322410.28831928736</v>
      </c>
      <c r="E123" s="9">
        <f>Y0_canto-(B123+0.5)*dy_pix</f>
        <v>7434623.678805068</v>
      </c>
      <c r="F123" s="10">
        <f>(D123-x_DBT5)^2+(E123-y_DBT5)^2</f>
        <v>749139308.2726614</v>
      </c>
      <c r="G123" s="10">
        <f>(D123-x_CLP)^2+(E123-y_CLP)^2</f>
        <v>11996242.804356337</v>
      </c>
      <c r="H123" s="11">
        <f>(P_DBT5/F123+P_CLP/G123)/(1/F123+1/G123)</f>
        <v>78.74467412685134</v>
      </c>
      <c r="I123" s="11">
        <v>65</v>
      </c>
      <c r="J123" s="11">
        <f>4.2*I123/(10-0.058*I123)</f>
        <v>43.82022471910112</v>
      </c>
      <c r="K123" s="11">
        <f>25.4*(1000/J123-10)</f>
        <v>325.64102564102564</v>
      </c>
      <c r="L123" t="inlineStr">
        <is>
          <t>Cambissolos Háplicos</t>
        </is>
      </c>
      <c r="M123" s="11">
        <f>IFERROR(VLOOKUP(L123,Classes_K,2,FALSE),"")</f>
        <v>0.04749999940395355</v>
      </c>
      <c r="N123" t="inlineStr">
        <is>
          <t>Campo</t>
        </is>
      </c>
      <c r="O123" s="11">
        <f>IFERROR(VLOOKUP(N123,Classes_C,2,FALSE),"")</f>
        <v>0.05000000074505806</v>
      </c>
      <c r="P123" s="12">
        <v>0.5087669491767883</v>
      </c>
      <c r="Q123">
        <f>IF(COUNT(M123,O123,P123)=3,1,0)</f>
        <v>1</v>
      </c>
      <c r="R123" s="12">
        <f>IF(H123&lt;=p_lambda*K123,0,(H123-p_lambda*K123)^2/(H123+(1-p_lambda)*K123))</f>
        <v>10.05293113804425</v>
      </c>
      <c r="S123" s="13">
        <f>R123/1000*A_pixel*RI_mmh/R_evento_mm/3600</f>
        <v>0.0003994270905854254</v>
      </c>
      <c r="T123" s="13">
        <f>IF(Q123=1,coef_W*MAX(R123*S123*A_pixel,0)^exp_M*M123*O123*fator_P*P123,"")</f>
        <v>0.029231424223839956</v>
      </c>
      <c r="U123" s="13">
        <f>IF(Q123=1,c_pura*T123,"")</f>
        <v>0.00311916122170642</v>
      </c>
      <c r="V123" s="12">
        <f>IF(Q123=1,MIN(fator_f*R123,H123),"")</f>
        <v>12.314062333800061</v>
      </c>
      <c r="W123" s="13">
        <f>IF(Q123=1,V123/1000*A_pixel*RI_mmh/R_evento_mm/3600,"")</f>
        <v>0.0004892672618300871</v>
      </c>
      <c r="X123" s="13">
        <f>IF(Q123=1,coef_W*MAX(V123*W123*A_pixel,0)^exp_M*M123*O123*fator_P*P123,"")</f>
        <v>0.03668864331004877</v>
      </c>
      <c r="Y123" s="13">
        <f>IF(Q123=1,c_restr*X123,"")</f>
        <v>0.005076303818529316</v>
      </c>
    </row>
    <row r="124">
      <c r="A124">
        <v>123</v>
      </c>
      <c r="B124">
        <v>14</v>
      </c>
      <c r="C124">
        <v>126</v>
      </c>
      <c r="D124" s="9">
        <f>X0_canto+(C124+0.5)*dx_pix</f>
        <v>322440.2798947398</v>
      </c>
      <c r="E124" s="9">
        <f>Y0_canto-(B124+0.5)*dy_pix</f>
        <v>7434623.678805068</v>
      </c>
      <c r="F124" s="10">
        <f>(D124-x_DBT5)^2+(E124-y_DBT5)^2</f>
        <v>747574014.0677204</v>
      </c>
      <c r="G124" s="10">
        <f>(D124-x_CLP)^2+(E124-y_CLP)^2</f>
        <v>12149974.46904273</v>
      </c>
      <c r="H124" s="11">
        <f>(P_DBT5/F124+P_CLP/G124)/(1/F124+1/G124)</f>
        <v>78.7409216271035</v>
      </c>
      <c r="I124" s="11">
        <v>65</v>
      </c>
      <c r="J124" s="11">
        <f>4.2*I124/(10-0.058*I124)</f>
        <v>43.82022471910112</v>
      </c>
      <c r="K124" s="11">
        <f>25.4*(1000/J124-10)</f>
        <v>325.64102564102564</v>
      </c>
      <c r="L124" t="inlineStr">
        <is>
          <t>Cambissolos Háplicos</t>
        </is>
      </c>
      <c r="M124" s="11">
        <f>IFERROR(VLOOKUP(L124,Classes_K,2,FALSE),"")</f>
        <v>0.04749999940395355</v>
      </c>
      <c r="N124" t="inlineStr">
        <is>
          <t>Campo</t>
        </is>
      </c>
      <c r="O124" s="11">
        <f>IFERROR(VLOOKUP(N124,Classes_C,2,FALSE),"")</f>
        <v>0.05000000074505806</v>
      </c>
      <c r="P124" s="12">
        <v>0.652553379535675</v>
      </c>
      <c r="Q124">
        <f>IF(COUNT(M124,O124,P124)=3,1,0)</f>
        <v>1</v>
      </c>
      <c r="R124" s="12">
        <f>IF(H124&lt;=p_lambda*K124,0,(H124-p_lambda*K124)^2/(H124+(1-p_lambda)*K124))</f>
        <v>10.051820485208237</v>
      </c>
      <c r="S124" s="13">
        <f>R124/1000*A_pixel*RI_mmh/R_evento_mm/3600</f>
        <v>0.0003993829616816412</v>
      </c>
      <c r="T124" s="13">
        <f>IF(Q124=1,coef_W*MAX(R124*S124*A_pixel,0)^exp_M*M124*O124*fator_P*P124,"")</f>
        <v>0.03748809626698309</v>
      </c>
      <c r="U124" s="13">
        <f>IF(Q124=1,c_pura*T124,"")</f>
        <v>0.004000195654380957</v>
      </c>
      <c r="V124" s="12">
        <f>IF(Q124=1,MIN(fator_f*R124,H124),"")</f>
        <v>12.312701870064055</v>
      </c>
      <c r="W124" s="13">
        <f>IF(Q124=1,V124/1000*A_pixel*RI_mmh/R_evento_mm/3600,"")</f>
        <v>0.0004892132073394655</v>
      </c>
      <c r="X124" s="13">
        <f>IF(Q124=1,coef_W*MAX(V124*W124*A_pixel,0)^exp_M*M124*O124*fator_P*P124,"")</f>
        <v>0.047051672261333194</v>
      </c>
      <c r="Y124" s="13">
        <f>IF(Q124=1,c_restr*X124,"")</f>
        <v>0.00651015033589363</v>
      </c>
    </row>
    <row r="125">
      <c r="A125">
        <v>124</v>
      </c>
      <c r="B125">
        <v>14</v>
      </c>
      <c r="C125">
        <v>127</v>
      </c>
      <c r="D125" s="9">
        <f>X0_canto+(C125+0.5)*dx_pix</f>
        <v>322470.2714701923</v>
      </c>
      <c r="E125" s="9">
        <f>Y0_canto-(B125+0.5)*dy_pix</f>
        <v>7434623.678805068</v>
      </c>
      <c r="F125" s="10">
        <f>(D125-x_DBT5)^2+(E125-y_DBT5)^2</f>
        <v>746010518.8519727</v>
      </c>
      <c r="G125" s="10">
        <f>(D125-x_CLP)^2+(E125-y_CLP)^2</f>
        <v>12305505.122925665</v>
      </c>
      <c r="H125" s="11">
        <f>(P_DBT5/F125+P_CLP/G125)/(1/F125+1/G125)</f>
        <v>78.73711797225526</v>
      </c>
      <c r="I125" s="11">
        <v>65</v>
      </c>
      <c r="J125" s="11">
        <f>4.2*I125/(10-0.058*I125)</f>
        <v>43.82022471910112</v>
      </c>
      <c r="K125" s="11">
        <f>25.4*(1000/J125-10)</f>
        <v>325.64102564102564</v>
      </c>
      <c r="L125" t="inlineStr">
        <is>
          <t>Cambissolos Háplicos</t>
        </is>
      </c>
      <c r="M125" s="11">
        <f>IFERROR(VLOOKUP(L125,Classes_K,2,FALSE),"")</f>
        <v>0.04749999940395355</v>
      </c>
      <c r="N125" t="inlineStr">
        <is>
          <t>Campo</t>
        </is>
      </c>
      <c r="O125" s="11">
        <f>IFERROR(VLOOKUP(N125,Classes_C,2,FALSE),"")</f>
        <v>0.05000000074505806</v>
      </c>
      <c r="P125" s="12">
        <v>0.6353093981742859</v>
      </c>
      <c r="Q125">
        <f>IF(COUNT(M125,O125,P125)=3,1,0)</f>
        <v>1</v>
      </c>
      <c r="R125" s="12">
        <f>IF(H125&lt;=p_lambda*K125,0,(H125-p_lambda*K125)^2/(H125+(1-p_lambda)*K125))</f>
        <v>10.050694743787162</v>
      </c>
      <c r="S125" s="13">
        <f>R125/1000*A_pixel*RI_mmh/R_evento_mm/3600</f>
        <v>0.0003993382332721457</v>
      </c>
      <c r="T125" s="13">
        <f>IF(Q125=1,coef_W*MAX(R125*S125*A_pixel,0)^exp_M*M125*O125*fator_P*P125,"")</f>
        <v>0.03649288052744294</v>
      </c>
      <c r="U125" s="13">
        <f>IF(Q125=1,c_pura*T125,"")</f>
        <v>0.003894000406478058</v>
      </c>
      <c r="V125" s="12">
        <f>IF(Q125=1,MIN(fator_f*R125,H125),"")</f>
        <v>12.311322923979525</v>
      </c>
      <c r="W125" s="13">
        <f>IF(Q125=1,V125/1000*A_pixel*RI_mmh/R_evento_mm/3600,"")</f>
        <v>0.0004891584185007622</v>
      </c>
      <c r="X125" s="13">
        <f>IF(Q125=1,coef_W*MAX(V125*W125*A_pixel,0)^exp_M*M125*O125*fator_P*P125,"")</f>
        <v>0.04580256735953522</v>
      </c>
      <c r="Y125" s="13">
        <f>IF(Q125=1,c_restr*X125,"")</f>
        <v>0.006337322032345976</v>
      </c>
    </row>
    <row r="126">
      <c r="A126">
        <v>125</v>
      </c>
      <c r="B126">
        <v>14</v>
      </c>
      <c r="C126">
        <v>128</v>
      </c>
      <c r="D126" s="9">
        <f>X0_canto+(C126+0.5)*dx_pix</f>
        <v>322500.2630456448</v>
      </c>
      <c r="E126" s="9">
        <f>Y0_canto-(B126+0.5)*dy_pix</f>
        <v>7434623.678805068</v>
      </c>
      <c r="F126" s="10">
        <f>(D126-x_DBT5)^2+(E126-y_DBT5)^2</f>
        <v>744448822.6254212</v>
      </c>
      <c r="G126" s="10">
        <f>(D126-x_CLP)^2+(E126-y_CLP)^2</f>
        <v>12462834.766004847</v>
      </c>
      <c r="H126" s="11">
        <f>(P_DBT5/F126+P_CLP/G126)/(1/F126+1/G126)</f>
        <v>78.73326293108111</v>
      </c>
      <c r="I126" s="11">
        <v>65</v>
      </c>
      <c r="J126" s="11">
        <f>4.2*I126/(10-0.058*I126)</f>
        <v>43.82022471910112</v>
      </c>
      <c r="K126" s="11">
        <f>25.4*(1000/J126-10)</f>
        <v>325.64102564102564</v>
      </c>
      <c r="L126" t="inlineStr">
        <is>
          <t>Cambissolos Háplicos</t>
        </is>
      </c>
      <c r="M126" s="11">
        <f>IFERROR(VLOOKUP(L126,Classes_K,2,FALSE),"")</f>
        <v>0.04749999940395355</v>
      </c>
      <c r="N126" t="inlineStr">
        <is>
          <t>Campo</t>
        </is>
      </c>
      <c r="O126" s="11">
        <f>IFERROR(VLOOKUP(N126,Classes_C,2,FALSE),"")</f>
        <v>0.05000000074505806</v>
      </c>
      <c r="P126" s="12">
        <v>0.5278001427650452</v>
      </c>
      <c r="Q126">
        <f>IF(COUNT(M126,O126,P126)=3,1,0)</f>
        <v>1</v>
      </c>
      <c r="R126" s="12">
        <f>IF(H126&lt;=p_lambda*K126,0,(H126-p_lambda*K126)^2/(H126+(1-p_lambda)*K126))</f>
        <v>10.049553847471035</v>
      </c>
      <c r="S126" s="13">
        <f>R126/1000*A_pixel*RI_mmh/R_evento_mm/3600</f>
        <v>0.000399292902722284</v>
      </c>
      <c r="T126" s="13">
        <f>IF(Q126=1,coef_W*MAX(R126*S126*A_pixel,0)^exp_M*M126*O126*fator_P*P126,"")</f>
        <v>0.03031357456207592</v>
      </c>
      <c r="U126" s="13">
        <f>IF(Q126=1,c_pura*T126,"")</f>
        <v>0.003234632891688523</v>
      </c>
      <c r="V126" s="12">
        <f>IF(Q126=1,MIN(fator_f*R126,H126),"")</f>
        <v>12.309925414321865</v>
      </c>
      <c r="W126" s="13">
        <f>IF(Q126=1,V126/1000*A_pixel*RI_mmh/R_evento_mm/3600,"")</f>
        <v>0.0004891028920867284</v>
      </c>
      <c r="X126" s="13">
        <f>IF(Q126=1,coef_W*MAX(V126*W126*A_pixel,0)^exp_M*M126*O126*fator_P*P126,"")</f>
        <v>0.03804686066762138</v>
      </c>
      <c r="Y126" s="13">
        <f>IF(Q126=1,c_restr*X126,"")</f>
        <v>0.005264229109207759</v>
      </c>
    </row>
    <row r="127">
      <c r="A127">
        <v>126</v>
      </c>
      <c r="B127">
        <v>14</v>
      </c>
      <c r="C127">
        <v>129</v>
      </c>
      <c r="D127" s="9">
        <f>X0_canto+(C127+0.5)*dx_pix</f>
        <v>322530.2546210973</v>
      </c>
      <c r="E127" s="9">
        <f>Y0_canto-(B127+0.5)*dy_pix</f>
        <v>7434623.678805068</v>
      </c>
      <c r="F127" s="10">
        <f>(D127-x_DBT5)^2+(E127-y_DBT5)^2</f>
        <v>742888925.3880659</v>
      </c>
      <c r="G127" s="10">
        <f>(D127-x_CLP)^2+(E127-y_CLP)^2</f>
        <v>12621963.398280274</v>
      </c>
      <c r="H127" s="11">
        <f>(P_DBT5/F127+P_CLP/G127)/(1/F127+1/G127)</f>
        <v>78.72935627210235</v>
      </c>
      <c r="I127" s="11">
        <v>65</v>
      </c>
      <c r="J127" s="11">
        <f>4.2*I127/(10-0.058*I127)</f>
        <v>43.82022471910112</v>
      </c>
      <c r="K127" s="11">
        <f>25.4*(1000/J127-10)</f>
        <v>325.64102564102564</v>
      </c>
      <c r="L127" t="inlineStr">
        <is>
          <t>Cambissolos Háplicos</t>
        </is>
      </c>
      <c r="M127" s="11">
        <f>IFERROR(VLOOKUP(L127,Classes_K,2,FALSE),"")</f>
        <v>0.04749999940395355</v>
      </c>
      <c r="N127" t="inlineStr">
        <is>
          <t>Área Urbanizada</t>
        </is>
      </c>
      <c r="O127" s="11">
        <f>IFERROR(VLOOKUP(N127,Classes_C,2,FALSE),"")</f>
        <v>0.0</v>
      </c>
      <c r="P127" s="12">
        <v>0.4826605916023254</v>
      </c>
      <c r="Q127">
        <f>IF(COUNT(M127,O127,P127)=3,1,0)</f>
        <v>1</v>
      </c>
      <c r="R127" s="12">
        <f>IF(H127&lt;=p_lambda*K127,0,(H127-p_lambda*K127)^2/(H127+(1-p_lambda)*K127))</f>
        <v>10.048397729916658</v>
      </c>
      <c r="S127" s="13">
        <f>R127/1000*A_pixel*RI_mmh/R_evento_mm/3600</f>
        <v>0.0003992469673960813</v>
      </c>
      <c r="T127" s="13">
        <f>IF(Q127=1,coef_W*MAX(R127*S127*A_pixel,0)^exp_M*M127*O127*fator_P*P127,"")</f>
        <v>0.0</v>
      </c>
      <c r="U127" s="13">
        <f>IF(Q127=1,c_pura*T127,"")</f>
        <v>0.0</v>
      </c>
      <c r="V127" s="12">
        <f>IF(Q127=1,MIN(fator_f*R127,H127),"")</f>
        <v>12.308509259825799</v>
      </c>
      <c r="W127" s="13">
        <f>IF(Q127=1,V127/1000*A_pixel*RI_mmh/R_evento_mm/3600,"")</f>
        <v>0.0004890466248684996</v>
      </c>
      <c r="X127" s="13">
        <f>IF(Q127=1,coef_W*MAX(V127*W127*A_pixel,0)^exp_M*M127*O127*fator_P*P127,"")</f>
        <v>0.0</v>
      </c>
      <c r="Y127" s="13">
        <f>IF(Q127=1,c_restr*X127,"")</f>
        <v>0.0</v>
      </c>
    </row>
    <row r="128">
      <c r="A128">
        <v>127</v>
      </c>
      <c r="B128">
        <v>14</v>
      </c>
      <c r="C128">
        <v>130</v>
      </c>
      <c r="D128" s="9">
        <f>X0_canto+(C128+0.5)*dx_pix</f>
        <v>322560.2461965498</v>
      </c>
      <c r="E128" s="9">
        <f>Y0_canto-(B128+0.5)*dy_pix</f>
        <v>7434623.678805068</v>
      </c>
      <c r="F128" s="10">
        <f>(D128-x_DBT5)^2+(E128-y_DBT5)^2</f>
        <v>741330827.1399069</v>
      </c>
      <c r="G128" s="10">
        <f>(D128-x_CLP)^2+(E128-y_CLP)^2</f>
        <v>12782891.019751947</v>
      </c>
      <c r="H128" s="11">
        <f>(P_DBT5/F128+P_CLP/G128)/(1/F128+1/G128)</f>
        <v>78.72539776359588</v>
      </c>
      <c r="I128" s="11">
        <v>85</v>
      </c>
      <c r="J128" s="11">
        <f>4.2*I128/(10-0.058*I128)</f>
        <v>70.41420118343196</v>
      </c>
      <c r="K128" s="11">
        <f>25.4*(1000/J128-10)</f>
        <v>106.72268907563023</v>
      </c>
      <c r="L128" t="inlineStr">
        <is>
          <t>Cambissolos Háplicos</t>
        </is>
      </c>
      <c r="M128" s="11">
        <f>IFERROR(VLOOKUP(L128,Classes_K,2,FALSE),"")</f>
        <v>0.04749999940395355</v>
      </c>
      <c r="N128" t="inlineStr">
        <is>
          <t>Área Urbanizada</t>
        </is>
      </c>
      <c r="O128" s="11">
        <f>IFERROR(VLOOKUP(N128,Classes_C,2,FALSE),"")</f>
        <v>0.0</v>
      </c>
      <c r="P128" s="12">
        <v>0.3984547257423401</v>
      </c>
      <c r="Q128">
        <f>IF(COUNT(M128,O128,P128)=3,1,0)</f>
        <v>1</v>
      </c>
      <c r="R128" s="12">
        <f>IF(H128&lt;=p_lambda*K128,0,(H128-p_lambda*K128)^2/(H128+(1-p_lambda)*K128))</f>
        <v>29.903534428582006</v>
      </c>
      <c r="S128" s="13">
        <f>R128/1000*A_pixel*RI_mmh/R_evento_mm/3600</f>
        <v>0.0011881392193991804</v>
      </c>
      <c r="T128" s="13">
        <f>IF(Q128=1,coef_W*MAX(R128*S128*A_pixel,0)^exp_M*M128*O128*fator_P*P128,"")</f>
        <v>0.0</v>
      </c>
      <c r="U128" s="13">
        <f>IF(Q128=1,c_pura*T128,"")</f>
        <v>0.0</v>
      </c>
      <c r="V128" s="12">
        <f>IF(Q128=1,MIN(fator_f*R128,H128),"")</f>
        <v>36.629514506565414</v>
      </c>
      <c r="W128" s="13">
        <f>IF(Q128=1,V128/1000*A_pixel*RI_mmh/R_evento_mm/3600,"")</f>
        <v>0.0014553785565629977</v>
      </c>
      <c r="X128" s="13">
        <f>IF(Q128=1,coef_W*MAX(V128*W128*A_pixel,0)^exp_M*M128*O128*fator_P*P128,"")</f>
        <v>0.0</v>
      </c>
      <c r="Y128" s="13">
        <f>IF(Q128=1,c_restr*X128,"")</f>
        <v>0.0</v>
      </c>
    </row>
    <row r="129">
      <c r="A129">
        <v>128</v>
      </c>
      <c r="B129">
        <v>14</v>
      </c>
      <c r="C129">
        <v>131</v>
      </c>
      <c r="D129" s="9">
        <f>X0_canto+(C129+0.5)*dx_pix</f>
        <v>322590.23777200223</v>
      </c>
      <c r="E129" s="9">
        <f>Y0_canto-(B129+0.5)*dy_pix</f>
        <v>7434623.678805068</v>
      </c>
      <c r="F129" s="10">
        <f>(D129-x_DBT5)^2+(E129-y_DBT5)^2</f>
        <v>739774527.8809471</v>
      </c>
      <c r="G129" s="10">
        <f>(D129-x_CLP)^2+(E129-y_CLP)^2</f>
        <v>12945617.63041955</v>
      </c>
      <c r="H129" s="11">
        <f>(P_DBT5/F129+P_CLP/G129)/(1/F129+1/G129)</f>
        <v>78.721387173603</v>
      </c>
      <c r="I129" s="11">
        <v>85</v>
      </c>
      <c r="J129" s="11">
        <f>4.2*I129/(10-0.058*I129)</f>
        <v>70.41420118343196</v>
      </c>
      <c r="K129" s="11">
        <f>25.4*(1000/J129-10)</f>
        <v>106.72268907563023</v>
      </c>
      <c r="L129" t="inlineStr">
        <is>
          <t>Área Urbana</t>
        </is>
      </c>
      <c r="M129" s="11">
        <f>IFERROR(VLOOKUP(L129,Classes_K,2,FALSE),"")</f>
        <v>0.0</v>
      </c>
      <c r="N129" t="inlineStr">
        <is>
          <t>Área Urbanizada</t>
        </is>
      </c>
      <c r="O129" s="11">
        <f>IFERROR(VLOOKUP(N129,Classes_C,2,FALSE),"")</f>
        <v>0.0</v>
      </c>
      <c r="P129" s="12">
        <v>0.303897500038147</v>
      </c>
      <c r="Q129">
        <f>IF(COUNT(M129,O129,P129)=3,1,0)</f>
        <v>1</v>
      </c>
      <c r="R129" s="12">
        <f>IF(H129&lt;=p_lambda*K129,0,(H129-p_lambda*K129)^2/(H129+(1-p_lambda)*K129))</f>
        <v>29.900931980380143</v>
      </c>
      <c r="S129" s="13">
        <f>R129/1000*A_pixel*RI_mmh/R_evento_mm/3600</f>
        <v>0.0011880358178838017</v>
      </c>
      <c r="T129" s="13">
        <f>IF(Q129=1,coef_W*MAX(R129*S129*A_pixel,0)^exp_M*M129*O129*fator_P*P129,"")</f>
        <v>0.0</v>
      </c>
      <c r="U129" s="13">
        <f>IF(Q129=1,c_pura*T129,"")</f>
        <v>0.0</v>
      </c>
      <c r="V129" s="12">
        <f>IF(Q129=1,MIN(fator_f*R129,H129),"")</f>
        <v>36.626326709002875</v>
      </c>
      <c r="W129" s="13">
        <f>IF(Q129=1,V129/1000*A_pixel*RI_mmh/R_evento_mm/3600,"")</f>
        <v>0.0014552518977121317</v>
      </c>
      <c r="X129" s="13">
        <f>IF(Q129=1,coef_W*MAX(V129*W129*A_pixel,0)^exp_M*M129*O129*fator_P*P129,"")</f>
        <v>0.0</v>
      </c>
      <c r="Y129" s="13">
        <f>IF(Q129=1,c_restr*X129,"")</f>
        <v>0.0</v>
      </c>
    </row>
    <row r="130">
      <c r="A130">
        <v>129</v>
      </c>
      <c r="B130">
        <v>14</v>
      </c>
      <c r="C130">
        <v>132</v>
      </c>
      <c r="D130" s="9">
        <f>X0_canto+(C130+0.5)*dx_pix</f>
        <v>322620.22934745473</v>
      </c>
      <c r="E130" s="9">
        <f>Y0_canto-(B130+0.5)*dy_pix</f>
        <v>7434623.678805068</v>
      </c>
      <c r="F130" s="10">
        <f>(D130-x_DBT5)^2+(E130-y_DBT5)^2</f>
        <v>738220027.6111805</v>
      </c>
      <c r="G130" s="10">
        <f>(D130-x_CLP)^2+(E130-y_CLP)^2</f>
        <v>13110143.230283711</v>
      </c>
      <c r="H130" s="11">
        <f>(P_DBT5/F130+P_CLP/G130)/(1/F130+1/G130)</f>
        <v>78.71732426993815</v>
      </c>
      <c r="I130" s="11">
        <v>85</v>
      </c>
      <c r="J130" s="11">
        <f>4.2*I130/(10-0.058*I130)</f>
        <v>70.41420118343196</v>
      </c>
      <c r="K130" s="11">
        <f>25.4*(1000/J130-10)</f>
        <v>106.72268907563023</v>
      </c>
      <c r="L130" t="inlineStr">
        <is>
          <t>Área Urbana</t>
        </is>
      </c>
      <c r="M130" s="11">
        <f>IFERROR(VLOOKUP(L130,Classes_K,2,FALSE),"")</f>
        <v>0.0</v>
      </c>
      <c r="N130" t="inlineStr">
        <is>
          <t>Área Urbanizada</t>
        </is>
      </c>
      <c r="O130" s="11">
        <f>IFERROR(VLOOKUP(N130,Classes_C,2,FALSE),"")</f>
        <v>0.0</v>
      </c>
      <c r="P130" s="12">
        <v>0.2286145687103271</v>
      </c>
      <c r="Q130">
        <f>IF(COUNT(M130,O130,P130)=3,1,0)</f>
        <v>1</v>
      </c>
      <c r="R130" s="12">
        <f>IF(H130&lt;=p_lambda*K130,0,(H130-p_lambda*K130)^2/(H130+(1-p_lambda)*K130))</f>
        <v>29.89829565009091</v>
      </c>
      <c r="S130" s="13">
        <f>R130/1000*A_pixel*RI_mmh/R_evento_mm/3600</f>
        <v>0.0011879310701517433</v>
      </c>
      <c r="T130" s="13">
        <f>IF(Q130=1,coef_W*MAX(R130*S130*A_pixel,0)^exp_M*M130*O130*fator_P*P130,"")</f>
        <v>0.0</v>
      </c>
      <c r="U130" s="13">
        <f>IF(Q130=1,c_pura*T130,"")</f>
        <v>0.0</v>
      </c>
      <c r="V130" s="12">
        <f>IF(Q130=1,MIN(fator_f*R130,H130),"")</f>
        <v>36.623097408506496</v>
      </c>
      <c r="W130" s="13">
        <f>IF(Q130=1,V130/1000*A_pixel*RI_mmh/R_evento_mm/3600,"")</f>
        <v>0.0014551235898500581</v>
      </c>
      <c r="X130" s="13">
        <f>IF(Q130=1,coef_W*MAX(V130*W130*A_pixel,0)^exp_M*M130*O130*fator_P*P130,"")</f>
        <v>0.0</v>
      </c>
      <c r="Y130" s="13">
        <f>IF(Q130=1,c_restr*X130,"")</f>
        <v>0.0</v>
      </c>
    </row>
    <row r="131">
      <c r="A131">
        <v>130</v>
      </c>
      <c r="B131">
        <v>14</v>
      </c>
      <c r="C131">
        <v>133</v>
      </c>
      <c r="D131" s="9">
        <f>X0_canto+(C131+0.5)*dx_pix</f>
        <v>322650.22092290723</v>
      </c>
      <c r="E131" s="9">
        <f>Y0_canto-(B131+0.5)*dy_pix</f>
        <v>7434623.678805068</v>
      </c>
      <c r="F131" s="10">
        <f>(D131-x_DBT5)^2+(E131-y_DBT5)^2</f>
        <v>736667326.3306103</v>
      </c>
      <c r="G131" s="10">
        <f>(D131-x_CLP)^2+(E131-y_CLP)^2</f>
        <v>13276467.81934412</v>
      </c>
      <c r="H131" s="11">
        <f>(P_DBT5/F131+P_CLP/G131)/(1/F131+1/G131)</f>
        <v>78.71320882019818</v>
      </c>
      <c r="I131" s="11">
        <v>85</v>
      </c>
      <c r="J131" s="11">
        <f>4.2*I131/(10-0.058*I131)</f>
        <v>70.41420118343196</v>
      </c>
      <c r="K131" s="11">
        <f>25.4*(1000/J131-10)</f>
        <v>106.72268907563023</v>
      </c>
      <c r="L131" t="inlineStr">
        <is>
          <t>Área Urbana</t>
        </is>
      </c>
      <c r="M131" s="11">
        <f>IFERROR(VLOOKUP(L131,Classes_K,2,FALSE),"")</f>
        <v>0.0</v>
      </c>
      <c r="N131" t="inlineStr">
        <is>
          <t>Área Urbanizada</t>
        </is>
      </c>
      <c r="O131" s="11">
        <f>IFERROR(VLOOKUP(N131,Classes_C,2,FALSE),"")</f>
        <v>0.0</v>
      </c>
      <c r="P131" s="12">
        <v>0.243137001991272</v>
      </c>
      <c r="Q131">
        <f>IF(COUNT(M131,O131,P131)=3,1,0)</f>
        <v>1</v>
      </c>
      <c r="R131" s="12">
        <f>IF(H131&lt;=p_lambda*K131,0,(H131-p_lambda*K131)^2/(H131+(1-p_lambda)*K131))</f>
        <v>29.895625289409036</v>
      </c>
      <c r="S131" s="13">
        <f>R131/1000*A_pixel*RI_mmh/R_evento_mm/3600</f>
        <v>0.0011878249703104805</v>
      </c>
      <c r="T131" s="13">
        <f>IF(Q131=1,coef_W*MAX(R131*S131*A_pixel,0)^exp_M*M131*O131*fator_P*P131,"")</f>
        <v>0.0</v>
      </c>
      <c r="U131" s="13">
        <f>IF(Q131=1,c_pura*T131,"")</f>
        <v>0.0</v>
      </c>
      <c r="V131" s="12">
        <f>IF(Q131=1,MIN(fator_f*R131,H131),"")</f>
        <v>36.61982642341382</v>
      </c>
      <c r="W131" s="13">
        <f>IF(Q131=1,V131/1000*A_pixel*RI_mmh/R_evento_mm/3600,"")</f>
        <v>0.0014549936257588914</v>
      </c>
      <c r="X131" s="13">
        <f>IF(Q131=1,coef_W*MAX(V131*W131*A_pixel,0)^exp_M*M131*O131*fator_P*P131,"")</f>
        <v>0.0</v>
      </c>
      <c r="Y131" s="13">
        <f>IF(Q131=1,c_restr*X131,"")</f>
        <v>0.0</v>
      </c>
    </row>
    <row r="132">
      <c r="A132">
        <v>131</v>
      </c>
      <c r="B132">
        <v>14</v>
      </c>
      <c r="C132">
        <v>134</v>
      </c>
      <c r="D132" s="9">
        <f>X0_canto+(C132+0.5)*dx_pix</f>
        <v>322680.21249835973</v>
      </c>
      <c r="E132" s="9">
        <f>Y0_canto-(B132+0.5)*dy_pix</f>
        <v>7434623.678805068</v>
      </c>
      <c r="F132" s="10">
        <f>(D132-x_DBT5)^2+(E132-y_DBT5)^2</f>
        <v>735116424.0392362</v>
      </c>
      <c r="G132" s="10">
        <f>(D132-x_CLP)^2+(E132-y_CLP)^2</f>
        <v>13444591.397600774</v>
      </c>
      <c r="H132" s="11">
        <f>(P_DBT5/F132+P_CLP/G132)/(1/F132+1/G132)</f>
        <v>78.70904059177137</v>
      </c>
      <c r="I132" s="11">
        <v>85</v>
      </c>
      <c r="J132" s="11">
        <f>4.2*I132/(10-0.058*I132)</f>
        <v>70.41420118343196</v>
      </c>
      <c r="K132" s="11">
        <f>25.4*(1000/J132-10)</f>
        <v>106.72268907563023</v>
      </c>
      <c r="L132" t="inlineStr">
        <is>
          <t>Área Urbana</t>
        </is>
      </c>
      <c r="M132" s="11">
        <f>IFERROR(VLOOKUP(L132,Classes_K,2,FALSE),"")</f>
        <v>0.0</v>
      </c>
      <c r="N132" t="inlineStr">
        <is>
          <t>Área Urbanizada</t>
        </is>
      </c>
      <c r="O132" s="11">
        <f>IFERROR(VLOOKUP(N132,Classes_C,2,FALSE),"")</f>
        <v>0.0</v>
      </c>
      <c r="P132" s="12">
        <v>0.2819431722164154</v>
      </c>
      <c r="Q132">
        <f>IF(COUNT(M132,O132,P132)=3,1,0)</f>
        <v>1</v>
      </c>
      <c r="R132" s="12">
        <f>IF(H132&lt;=p_lambda*K132,0,(H132-p_lambda*K132)^2/(H132+(1-p_lambda)*K132))</f>
        <v>29.892920749941393</v>
      </c>
      <c r="S132" s="13">
        <f>R132/1000*A_pixel*RI_mmh/R_evento_mm/3600</f>
        <v>0.0011877175124639977</v>
      </c>
      <c r="T132" s="13">
        <f>IF(Q132=1,coef_W*MAX(R132*S132*A_pixel,0)^exp_M*M132*O132*fator_P*P132,"")</f>
        <v>0.0</v>
      </c>
      <c r="U132" s="13">
        <f>IF(Q132=1,c_pura*T132,"")</f>
        <v>0.0</v>
      </c>
      <c r="V132" s="12">
        <f>IF(Q132=1,MIN(fator_f*R132,H132),"")</f>
        <v>36.61651357195473</v>
      </c>
      <c r="W132" s="13">
        <f>IF(Q132=1,V132/1000*A_pixel*RI_mmh/R_evento_mm/3600,"")</f>
        <v>0.0014548619982164687</v>
      </c>
      <c r="X132" s="13">
        <f>IF(Q132=1,coef_W*MAX(V132*W132*A_pixel,0)^exp_M*M132*O132*fator_P*P132,"")</f>
        <v>0.0</v>
      </c>
      <c r="Y132" s="13">
        <f>IF(Q132=1,c_restr*X132,"")</f>
        <v>0.0</v>
      </c>
    </row>
    <row r="133">
      <c r="A133">
        <v>132</v>
      </c>
      <c r="B133">
        <v>14</v>
      </c>
      <c r="C133">
        <v>135</v>
      </c>
      <c r="D133" s="9">
        <f>X0_canto+(C133+0.5)*dx_pix</f>
        <v>322710.20407381223</v>
      </c>
      <c r="E133" s="9">
        <f>Y0_canto-(B133+0.5)*dy_pix</f>
        <v>7434623.678805068</v>
      </c>
      <c r="F133" s="10">
        <f>(D133-x_DBT5)^2+(E133-y_DBT5)^2</f>
        <v>733567320.7370584</v>
      </c>
      <c r="G133" s="10">
        <f>(D133-x_CLP)^2+(E133-y_CLP)^2</f>
        <v>13614513.965053674</v>
      </c>
      <c r="H133" s="11">
        <f>(P_DBT5/F133+P_CLP/G133)/(1/F133+1/G133)</f>
        <v>78.70481935184678</v>
      </c>
      <c r="I133" s="11">
        <v>85</v>
      </c>
      <c r="J133" s="11">
        <f>4.2*I133/(10-0.058*I133)</f>
        <v>70.41420118343196</v>
      </c>
      <c r="K133" s="11">
        <f>25.4*(1000/J133-10)</f>
        <v>106.72268907563023</v>
      </c>
      <c r="L133" t="inlineStr">
        <is>
          <t>Área Urbana</t>
        </is>
      </c>
      <c r="M133" s="11">
        <f>IFERROR(VLOOKUP(L133,Classes_K,2,FALSE),"")</f>
        <v>0.0</v>
      </c>
      <c r="N133" t="inlineStr">
        <is>
          <t>Área Urbanizada</t>
        </is>
      </c>
      <c r="O133" s="11">
        <f>IFERROR(VLOOKUP(N133,Classes_C,2,FALSE),"")</f>
        <v>0.0</v>
      </c>
      <c r="P133" s="12">
        <v>0.3445719182491302</v>
      </c>
      <c r="Q133">
        <f>IF(COUNT(M133,O133,P133)=3,1,0)</f>
        <v>1</v>
      </c>
      <c r="R133" s="12">
        <f>IF(H133&lt;=p_lambda*K133,0,(H133-p_lambda*K133)^2/(H133+(1-p_lambda)*K133))</f>
        <v>29.890181883213554</v>
      </c>
      <c r="S133" s="13">
        <f>R133/1000*A_pixel*RI_mmh/R_evento_mm/3600</f>
        <v>0.0011876086907130494</v>
      </c>
      <c r="T133" s="13">
        <f>IF(Q133=1,coef_W*MAX(R133*S133*A_pixel,0)^exp_M*M133*O133*fator_P*P133,"")</f>
        <v>0.0</v>
      </c>
      <c r="U133" s="13">
        <f>IF(Q133=1,c_pura*T133,"")</f>
        <v>0.0</v>
      </c>
      <c r="V133" s="12">
        <f>IF(Q133=1,MIN(fator_f*R133,H133),"")</f>
        <v>36.61315867225956</v>
      </c>
      <c r="W133" s="13">
        <f>IF(Q133=1,V133/1000*A_pixel*RI_mmh/R_evento_mm/3600,"")</f>
        <v>0.0014547286999966713</v>
      </c>
      <c r="X133" s="13">
        <f>IF(Q133=1,coef_W*MAX(V133*W133*A_pixel,0)^exp_M*M133*O133*fator_P*P133,"")</f>
        <v>0.0</v>
      </c>
      <c r="Y133" s="13">
        <f>IF(Q133=1,c_restr*X133,"")</f>
        <v>0.0</v>
      </c>
    </row>
    <row r="134">
      <c r="A134">
        <v>133</v>
      </c>
      <c r="B134">
        <v>14</v>
      </c>
      <c r="C134">
        <v>136</v>
      </c>
      <c r="D134" s="9">
        <f>X0_canto+(C134+0.5)*dx_pix</f>
        <v>322740.19564926473</v>
      </c>
      <c r="E134" s="9">
        <f>Y0_canto-(B134+0.5)*dy_pix</f>
        <v>7434623.678805068</v>
      </c>
      <c r="F134" s="10">
        <f>(D134-x_DBT5)^2+(E134-y_DBT5)^2</f>
        <v>732020016.4240769</v>
      </c>
      <c r="G134" s="10">
        <f>(D134-x_CLP)^2+(E134-y_CLP)^2</f>
        <v>13786235.521702819</v>
      </c>
      <c r="H134" s="11">
        <f>(P_DBT5/F134+P_CLP/G134)/(1/F134+1/G134)</f>
        <v>78.70054486742343</v>
      </c>
      <c r="I134" s="11">
        <v>85</v>
      </c>
      <c r="J134" s="11">
        <f>4.2*I134/(10-0.058*I134)</f>
        <v>70.41420118343196</v>
      </c>
      <c r="K134" s="11">
        <f>25.4*(1000/J134-10)</f>
        <v>106.72268907563023</v>
      </c>
      <c r="L134" t="inlineStr">
        <is>
          <t>Área Urbana</t>
        </is>
      </c>
      <c r="M134" s="11">
        <f>IFERROR(VLOOKUP(L134,Classes_K,2,FALSE),"")</f>
        <v>0.0</v>
      </c>
      <c r="N134" t="inlineStr">
        <is>
          <t>Área Urbanizada</t>
        </is>
      </c>
      <c r="O134" s="11">
        <f>IFERROR(VLOOKUP(N134,Classes_C,2,FALSE),"")</f>
        <v>0.0</v>
      </c>
      <c r="P134" s="12">
        <v>0.4262559711933136</v>
      </c>
      <c r="Q134">
        <f>IF(COUNT(M134,O134,P134)=3,1,0)</f>
        <v>1</v>
      </c>
      <c r="R134" s="12">
        <f>IF(H134&lt;=p_lambda*K134,0,(H134-p_lambda*K134)^2/(H134+(1-p_lambda)*K134))</f>
        <v>29.88740854067628</v>
      </c>
      <c r="S134" s="13">
        <f>R134/1000*A_pixel*RI_mmh/R_evento_mm/3600</f>
        <v>0.0011874984991554181</v>
      </c>
      <c r="T134" s="13">
        <f>IF(Q134=1,coef_W*MAX(R134*S134*A_pixel,0)^exp_M*M134*O134*fator_P*P134,"")</f>
        <v>0.0</v>
      </c>
      <c r="U134" s="13">
        <f>IF(Q134=1,c_pura*T134,"")</f>
        <v>0.0</v>
      </c>
      <c r="V134" s="12">
        <f>IF(Q134=1,MIN(fator_f*R134,H134),"")</f>
        <v>36.60976154236699</v>
      </c>
      <c r="W134" s="13">
        <f>IF(Q134=1,V134/1000*A_pixel*RI_mmh/R_evento_mm/3600,"")</f>
        <v>0.001454593723869739</v>
      </c>
      <c r="X134" s="13">
        <f>IF(Q134=1,coef_W*MAX(V134*W134*A_pixel,0)^exp_M*M134*O134*fator_P*P134,"")</f>
        <v>0.0</v>
      </c>
      <c r="Y134" s="13">
        <f>IF(Q134=1,c_restr*X134,"")</f>
        <v>0.0</v>
      </c>
    </row>
    <row r="135">
      <c r="A135">
        <v>134</v>
      </c>
      <c r="B135">
        <v>14</v>
      </c>
      <c r="C135">
        <v>137</v>
      </c>
      <c r="D135" s="9">
        <f>X0_canto+(C135+0.5)*dx_pix</f>
        <v>322770.18722471717</v>
      </c>
      <c r="E135" s="9">
        <f>Y0_canto-(B135+0.5)*dy_pix</f>
        <v>7434623.678805068</v>
      </c>
      <c r="F135" s="10">
        <f>(D135-x_DBT5)^2+(E135-y_DBT5)^2</f>
        <v>730474511.1002946</v>
      </c>
      <c r="G135" s="10">
        <f>(D135-x_CLP)^2+(E135-y_CLP)^2</f>
        <v>13959756.067547873</v>
      </c>
      <c r="H135" s="11">
        <f>(P_DBT5/F135+P_CLP/G135)/(1/F135+1/G135)</f>
        <v>78.69621690532013</v>
      </c>
      <c r="I135" s="11">
        <v>85</v>
      </c>
      <c r="J135" s="11">
        <f>4.2*I135/(10-0.058*I135)</f>
        <v>70.41420118343196</v>
      </c>
      <c r="K135" s="11">
        <f>25.4*(1000/J135-10)</f>
        <v>106.72268907563023</v>
      </c>
      <c r="L135" t="inlineStr">
        <is>
          <t>Cambissolos Háplicos</t>
        </is>
      </c>
      <c r="M135" s="11">
        <f>IFERROR(VLOOKUP(L135,Classes_K,2,FALSE),"")</f>
        <v>0.04749999940395355</v>
      </c>
      <c r="N135" t="inlineStr">
        <is>
          <t>Campo</t>
        </is>
      </c>
      <c r="O135" s="11">
        <f>IFERROR(VLOOKUP(N135,Classes_C,2,FALSE),"")</f>
        <v>0.05000000074505806</v>
      </c>
      <c r="P135" s="12">
        <v>0.5276619791984558</v>
      </c>
      <c r="Q135">
        <f>IF(COUNT(M135,O135,P135)=3,1,0)</f>
        <v>1</v>
      </c>
      <c r="R135" s="12">
        <f>IF(H135&lt;=p_lambda*K135,0,(H135-p_lambda*K135)^2/(H135+(1-p_lambda)*K135))</f>
        <v>29.88460057371237</v>
      </c>
      <c r="S135" s="13">
        <f>R135/1000*A_pixel*RI_mmh/R_evento_mm/3600</f>
        <v>0.0011873869318861857</v>
      </c>
      <c r="T135" s="13">
        <f>IF(Q135=1,coef_W*MAX(R135*S135*A_pixel,0)^exp_M*M135*O135*fator_P*P135,"")</f>
        <v>0.10271176799098539</v>
      </c>
      <c r="U135" s="13">
        <f>IF(Q135=1,c_pura*T135,"")</f>
        <v>0.010959936856894708</v>
      </c>
      <c r="V135" s="12">
        <f>IF(Q135=1,MIN(fator_f*R135,H135),"")</f>
        <v>36.60632200023246</v>
      </c>
      <c r="W135" s="13">
        <f>IF(Q135=1,V135/1000*A_pixel*RI_mmh/R_evento_mm/3600,"")</f>
        <v>0.0014544570626026045</v>
      </c>
      <c r="X135" s="13">
        <f>IF(Q135=1,coef_W*MAX(V135*W135*A_pixel,0)^exp_M*M135*O135*fator_P*P135,"")</f>
        <v>0.1289145335755632</v>
      </c>
      <c r="Y135" s="13">
        <f>IF(Q135=1,c_restr*X135,"")</f>
        <v>0.01783683668876137</v>
      </c>
    </row>
    <row r="136">
      <c r="A136">
        <v>135</v>
      </c>
      <c r="B136">
        <v>14</v>
      </c>
      <c r="C136">
        <v>138</v>
      </c>
      <c r="D136" s="9">
        <f>X0_canto+(C136+0.5)*dx_pix</f>
        <v>322800.17880016967</v>
      </c>
      <c r="E136" s="9">
        <f>Y0_canto-(B136+0.5)*dy_pix</f>
        <v>7434623.678805068</v>
      </c>
      <c r="F136" s="10">
        <f>(D136-x_DBT5)^2+(E136-y_DBT5)^2</f>
        <v>728930804.7657055</v>
      </c>
      <c r="G136" s="10">
        <f>(D136-x_CLP)^2+(E136-y_CLP)^2</f>
        <v>14135075.602589507</v>
      </c>
      <c r="H136" s="11">
        <f>(P_DBT5/F136+P_CLP/G136)/(1/F136+1/G136)</f>
        <v>78.69183523218477</v>
      </c>
      <c r="I136" s="11">
        <v>77</v>
      </c>
      <c r="J136" s="11">
        <f>4.2*I136/(10-0.058*I136)</f>
        <v>58.438742320202394</v>
      </c>
      <c r="K136" s="11">
        <f>25.4*(1000/J136-10)</f>
        <v>180.64316635745197</v>
      </c>
      <c r="L136" t="inlineStr">
        <is>
          <t>Cambissolos Háplicos</t>
        </is>
      </c>
      <c r="M136" s="11">
        <f>IFERROR(VLOOKUP(L136,Classes_K,2,FALSE),"")</f>
        <v>0.04749999940395355</v>
      </c>
      <c r="N136" t="inlineStr">
        <is>
          <t>Campo</t>
        </is>
      </c>
      <c r="O136" s="11">
        <f>IFERROR(VLOOKUP(N136,Classes_C,2,FALSE),"")</f>
        <v>0.05000000074505806</v>
      </c>
      <c r="P136" s="12">
        <v>0.6340552568435669</v>
      </c>
      <c r="Q136">
        <f>IF(COUNT(M136,O136,P136)=3,1,0)</f>
        <v>1</v>
      </c>
      <c r="R136" s="12">
        <f>IF(H136&lt;=p_lambda*K136,0,(H136-p_lambda*K136)^2/(H136+(1-p_lambda)*K136))</f>
        <v>19.38639819020285</v>
      </c>
      <c r="S136" s="13">
        <f>R136/1000*A_pixel*RI_mmh/R_evento_mm/3600</f>
        <v>0.0007702681456494817</v>
      </c>
      <c r="T136" s="13">
        <f>IF(Q136=1,coef_W*MAX(R136*S136*A_pixel,0)^exp_M*M136*O136*fator_P*P136,"")</f>
        <v>0.07601287242271361</v>
      </c>
      <c r="U136" s="13">
        <f>IF(Q136=1,c_pura*T136,"")</f>
        <v>0.008111011020054215</v>
      </c>
      <c r="V136" s="12">
        <f>IF(Q136=1,MIN(fator_f*R136,H136),"")</f>
        <v>23.74683686418541</v>
      </c>
      <c r="W136" s="13">
        <f>IF(Q136=1,V136/1000*A_pixel*RI_mmh/R_evento_mm/3600,"")</f>
        <v>0.0009435188433125576</v>
      </c>
      <c r="X136" s="13">
        <f>IF(Q136=1,coef_W*MAX(V136*W136*A_pixel,0)^exp_M*M136*O136*fator_P*P136,"")</f>
        <v>0.09540449147923297</v>
      </c>
      <c r="Y136" s="13">
        <f>IF(Q136=1,c_restr*X136,"")</f>
        <v>0.013200329603581466</v>
      </c>
    </row>
    <row r="137">
      <c r="A137">
        <v>136</v>
      </c>
      <c r="B137">
        <v>14</v>
      </c>
      <c r="C137">
        <v>139</v>
      </c>
      <c r="D137" s="9">
        <f>X0_canto+(C137+0.5)*dx_pix</f>
        <v>322830.17037562217</v>
      </c>
      <c r="E137" s="9">
        <f>Y0_canto-(B137+0.5)*dy_pix</f>
        <v>7434623.678805068</v>
      </c>
      <c r="F137" s="10">
        <f>(D137-x_DBT5)^2+(E137-y_DBT5)^2</f>
        <v>727388897.4203126</v>
      </c>
      <c r="G137" s="10">
        <f>(D137-x_CLP)^2+(E137-y_CLP)^2</f>
        <v>14312194.126827385</v>
      </c>
      <c r="H137" s="11">
        <f>(P_DBT5/F137+P_CLP/G137)/(1/F137+1/G137)</f>
        <v>78.68739961450427</v>
      </c>
      <c r="I137" s="11">
        <v>77</v>
      </c>
      <c r="J137" s="11">
        <f>4.2*I137/(10-0.058*I137)</f>
        <v>58.438742320202394</v>
      </c>
      <c r="K137" s="11">
        <f>25.4*(1000/J137-10)</f>
        <v>180.64316635745197</v>
      </c>
      <c r="L137" t="inlineStr">
        <is>
          <t>Cambissolos Háplicos</t>
        </is>
      </c>
      <c r="M137" s="11">
        <f>IFERROR(VLOOKUP(L137,Classes_K,2,FALSE),"")</f>
        <v>0.04749999940395355</v>
      </c>
      <c r="N137" t="inlineStr">
        <is>
          <t>Campo</t>
        </is>
      </c>
      <c r="O137" s="11">
        <f>IFERROR(VLOOKUP(N137,Classes_C,2,FALSE),"")</f>
        <v>0.05000000074505806</v>
      </c>
      <c r="P137" s="12">
        <v>0.7607869505882263</v>
      </c>
      <c r="Q137">
        <f>IF(COUNT(M137,O137,P137)=3,1,0)</f>
        <v>1</v>
      </c>
      <c r="R137" s="12">
        <f>IF(H137&lt;=p_lambda*K137,0,(H137-p_lambda*K137)^2/(H137+(1-p_lambda)*K137))</f>
        <v>19.384272898760585</v>
      </c>
      <c r="S137" s="13">
        <f>R137/1000*A_pixel*RI_mmh/R_evento_mm/3600</f>
        <v>0.0007701837027177862</v>
      </c>
      <c r="T137" s="13">
        <f>IF(Q137=1,coef_W*MAX(R137*S137*A_pixel,0)^exp_M*M137*O137*fator_P*P137,"")</f>
        <v>0.09119473472987481</v>
      </c>
      <c r="U137" s="13">
        <f>IF(Q137=1,c_pura*T137,"")</f>
        <v>0.009731003115518487</v>
      </c>
      <c r="V137" s="12">
        <f>IF(Q137=1,MIN(fator_f*R137,H137),"")</f>
        <v>23.744233546711314</v>
      </c>
      <c r="W137" s="13">
        <f>IF(Q137=1,V137/1000*A_pixel*RI_mmh/R_evento_mm/3600,"")</f>
        <v>0.0009434154072589061</v>
      </c>
      <c r="X137" s="13">
        <f>IF(Q137=1,coef_W*MAX(V137*W137*A_pixel,0)^exp_M*M137*O137*fator_P*P137,"")</f>
        <v>0.11445939372089123</v>
      </c>
      <c r="Y137" s="13">
        <f>IF(Q137=1,c_restr*X137,"")</f>
        <v>0.01583679866550885</v>
      </c>
    </row>
    <row r="138">
      <c r="A138">
        <v>137</v>
      </c>
      <c r="B138">
        <v>14</v>
      </c>
      <c r="C138">
        <v>140</v>
      </c>
      <c r="D138" s="9">
        <f>X0_canto+(C138+0.5)*dx_pix</f>
        <v>322860.16195107467</v>
      </c>
      <c r="E138" s="9">
        <f>Y0_canto-(B138+0.5)*dy_pix</f>
        <v>7434623.678805068</v>
      </c>
      <c r="F138" s="10">
        <f>(D138-x_DBT5)^2+(E138-y_DBT5)^2</f>
        <v>725848789.0641161</v>
      </c>
      <c r="G138" s="10">
        <f>(D138-x_CLP)^2+(E138-y_CLP)^2</f>
        <v>14491111.640261512</v>
      </c>
      <c r="H138" s="11">
        <f>(P_DBT5/F138+P_CLP/G138)/(1/F138+1/G138)</f>
        <v>78.68290981861445</v>
      </c>
      <c r="I138" s="11">
        <v>77</v>
      </c>
      <c r="J138" s="11">
        <f>4.2*I138/(10-0.058*I138)</f>
        <v>58.438742320202394</v>
      </c>
      <c r="K138" s="11">
        <f>25.4*(1000/J138-10)</f>
        <v>180.64316635745197</v>
      </c>
      <c r="L138" t="inlineStr">
        <is>
          <t>Cambissolos Háplicos</t>
        </is>
      </c>
      <c r="M138" s="11">
        <f>IFERROR(VLOOKUP(L138,Classes_K,2,FALSE),"")</f>
        <v>0.04749999940395355</v>
      </c>
      <c r="N138" t="inlineStr">
        <is>
          <t>Campo</t>
        </is>
      </c>
      <c r="O138" s="11">
        <f>IFERROR(VLOOKUP(N138,Classes_C,2,FALSE),"")</f>
        <v>0.05000000074505806</v>
      </c>
      <c r="P138" s="12">
        <v>1.126845121383667</v>
      </c>
      <c r="Q138">
        <f>IF(COUNT(M138,O138,P138)=3,1,0)</f>
        <v>1</v>
      </c>
      <c r="R138" s="12">
        <f>IF(H138&lt;=p_lambda*K138,0,(H138-p_lambda*K138)^2/(H138+(1-p_lambda)*K138))</f>
        <v>19.382121731645903</v>
      </c>
      <c r="S138" s="13">
        <f>R138/1000*A_pixel*RI_mmh/R_evento_mm/3600</f>
        <v>0.0007700982316834996</v>
      </c>
      <c r="T138" s="13">
        <f>IF(Q138=1,coef_W*MAX(R138*S138*A_pixel,0)^exp_M*M138*O138*fator_P*P138,"")</f>
        <v>0.13505695570895335</v>
      </c>
      <c r="U138" s="13">
        <f>IF(Q138=1,c_pura*T138,"")</f>
        <v>0.014411354566347906</v>
      </c>
      <c r="V138" s="12">
        <f>IF(Q138=1,MIN(fator_f*R138,H138),"")</f>
        <v>23.741598533541836</v>
      </c>
      <c r="W138" s="13">
        <f>IF(Q138=1,V138/1000*A_pixel*RI_mmh/R_evento_mm/3600,"")</f>
        <v>0.0009433107118591777</v>
      </c>
      <c r="X138" s="13">
        <f>IF(Q138=1,coef_W*MAX(V138*W138*A_pixel,0)^exp_M*M138*O138*fator_P*P138,"")</f>
        <v>0.16951129156771308</v>
      </c>
      <c r="Y138" s="13">
        <f>IF(Q138=1,c_restr*X138,"")</f>
        <v>0.023453873979399385</v>
      </c>
    </row>
    <row r="139">
      <c r="A139">
        <v>138</v>
      </c>
      <c r="B139">
        <v>14</v>
      </c>
      <c r="C139">
        <v>141</v>
      </c>
      <c r="D139" s="9">
        <f>X0_canto+(C139+0.5)*dx_pix</f>
        <v>322890.15352652717</v>
      </c>
      <c r="E139" s="9">
        <f>Y0_canto-(B139+0.5)*dy_pix</f>
        <v>7434623.678805068</v>
      </c>
      <c r="F139" s="10">
        <f>(D139-x_DBT5)^2+(E139-y_DBT5)^2</f>
        <v>724310479.6971158</v>
      </c>
      <c r="G139" s="10">
        <f>(D139-x_CLP)^2+(E139-y_CLP)^2</f>
        <v>14671828.142891884</v>
      </c>
      <c r="H139" s="11">
        <f>(P_DBT5/F139+P_CLP/G139)/(1/F139+1/G139)</f>
        <v>78.67836561070976</v>
      </c>
      <c r="I139" s="11">
        <v>65</v>
      </c>
      <c r="J139" s="11">
        <f>4.2*I139/(10-0.058*I139)</f>
        <v>43.82022471910112</v>
      </c>
      <c r="K139" s="11">
        <f>25.4*(1000/J139-10)</f>
        <v>325.64102564102564</v>
      </c>
      <c r="L139" t="inlineStr">
        <is>
          <t>Cambissolos Háplicos</t>
        </is>
      </c>
      <c r="M139" s="11">
        <f>IFERROR(VLOOKUP(L139,Classes_K,2,FALSE),"")</f>
        <v>0.04749999940395355</v>
      </c>
      <c r="N139" t="inlineStr">
        <is>
          <t>Campo</t>
        </is>
      </c>
      <c r="O139" s="11">
        <f>IFERROR(VLOOKUP(N139,Classes_C,2,FALSE),"")</f>
        <v>0.05000000074505806</v>
      </c>
      <c r="P139" s="12">
        <v>1.250368118286133</v>
      </c>
      <c r="Q139">
        <f>IF(COUNT(M139,O139,P139)=3,1,0)</f>
        <v>1</v>
      </c>
      <c r="R139" s="12">
        <f>IF(H139&lt;=p_lambda*K139,0,(H139-p_lambda*K139)^2/(H139+(1-p_lambda)*K139))</f>
        <v>10.033312881963678</v>
      </c>
      <c r="S139" s="13">
        <f>R139/1000*A_pixel*RI_mmh/R_evento_mm/3600</f>
        <v>0.00039864761016911485</v>
      </c>
      <c r="T139" s="13">
        <f>IF(Q139=1,coef_W*MAX(R139*S139*A_pixel,0)^exp_M*M139*O139*fator_P*P139,"")</f>
        <v>0.07168343734868836</v>
      </c>
      <c r="U139" s="13">
        <f>IF(Q139=1,c_pura*T139,"")</f>
        <v>0.007649035377287491</v>
      </c>
      <c r="V139" s="12">
        <f>IF(Q139=1,MIN(fator_f*R139,H139),"")</f>
        <v>12.290031488970897</v>
      </c>
      <c r="W139" s="13">
        <f>IF(Q139=1,V139/1000*A_pixel*RI_mmh/R_evento_mm/3600,"")</f>
        <v>0.0004883124586684402</v>
      </c>
      <c r="X139" s="13">
        <f>IF(Q139=1,coef_W*MAX(V139*W139*A_pixel,0)^exp_M*M139*O139*fator_P*P139,"")</f>
        <v>0.08997057563754837</v>
      </c>
      <c r="Y139" s="13">
        <f>IF(Q139=1,c_restr*X139,"")</f>
        <v>0.012448483657586638</v>
      </c>
    </row>
    <row r="140">
      <c r="A140">
        <v>139</v>
      </c>
      <c r="B140">
        <v>14</v>
      </c>
      <c r="C140">
        <v>142</v>
      </c>
      <c r="D140" s="9">
        <f>X0_canto+(C140+0.5)*dx_pix</f>
        <v>322920.14510197967</v>
      </c>
      <c r="E140" s="9">
        <f>Y0_canto-(B140+0.5)*dy_pix</f>
        <v>7434623.678805068</v>
      </c>
      <c r="F140" s="10">
        <f>(D140-x_DBT5)^2+(E140-y_DBT5)^2</f>
        <v>722773969.3193116</v>
      </c>
      <c r="G140" s="10">
        <f>(D140-x_CLP)^2+(E140-y_CLP)^2</f>
        <v>14854343.6347185</v>
      </c>
      <c r="H140" s="11">
        <f>(P_DBT5/F140+P_CLP/G140)/(1/F140+1/G140)</f>
        <v>78.67376675685378</v>
      </c>
      <c r="I140" s="11">
        <v>77</v>
      </c>
      <c r="J140" s="11">
        <f>4.2*I140/(10-0.058*I140)</f>
        <v>58.438742320202394</v>
      </c>
      <c r="K140" s="11">
        <f>25.4*(1000/J140-10)</f>
        <v>180.64316635745197</v>
      </c>
      <c r="L140" t="inlineStr">
        <is>
          <t>Cambissolos Háplicos</t>
        </is>
      </c>
      <c r="M140" s="11">
        <f>IFERROR(VLOOKUP(L140,Classes_K,2,FALSE),"")</f>
        <v>0.04749999940395355</v>
      </c>
      <c r="N140" t="inlineStr">
        <is>
          <t>Mata Nativa</t>
        </is>
      </c>
      <c r="O140" s="11">
        <f>IFERROR(VLOOKUP(N140,Classes_C,2,FALSE),"")</f>
        <v>0.014999999664723873</v>
      </c>
      <c r="P140" s="12">
        <v>0.8740661144256592</v>
      </c>
      <c r="Q140">
        <f>IF(COUNT(M140,O140,P140)=3,1,0)</f>
        <v>1</v>
      </c>
      <c r="R140" s="12">
        <f>IF(H140&lt;=p_lambda*K140,0,(H140-p_lambda*K140)^2/(H140+(1-p_lambda)*K140))</f>
        <v>19.377741334498037</v>
      </c>
      <c r="S140" s="13">
        <f>R140/1000*A_pixel*RI_mmh/R_evento_mm/3600</f>
        <v>0.0007699241879877502</v>
      </c>
      <c r="T140" s="13">
        <f>IF(Q140=1,coef_W*MAX(R140*S140*A_pixel,0)^exp_M*M140*O140*fator_P*P140,"")</f>
        <v>0.03142015389495674</v>
      </c>
      <c r="U140" s="13">
        <f>IF(Q140=1,c_pura*T140,"")</f>
        <v>0.003352711276013315</v>
      </c>
      <c r="V140" s="12">
        <f>IF(Q140=1,MIN(fator_f*R140,H140),"")</f>
        <v>23.73623288617144</v>
      </c>
      <c r="W140" s="13">
        <f>IF(Q140=1,V140/1000*A_pixel*RI_mmh/R_evento_mm/3600,"")</f>
        <v>0.0009430975218065618</v>
      </c>
      <c r="X140" s="13">
        <f>IF(Q140=1,coef_W*MAX(V140*W140*A_pixel,0)^exp_M*M140*O140*fator_P*P140,"")</f>
        <v>0.039435739092683726</v>
      </c>
      <c r="Y140" s="13">
        <f>IF(Q140=1,c_restr*X140,"")</f>
        <v>0.0054563967179425835</v>
      </c>
    </row>
    <row r="141">
      <c r="A141">
        <v>140</v>
      </c>
      <c r="B141">
        <v>14</v>
      </c>
      <c r="C141">
        <v>143</v>
      </c>
      <c r="D141" s="9">
        <f>X0_canto+(C141+0.5)*dx_pix</f>
        <v>322950.1366774321</v>
      </c>
      <c r="E141" s="9">
        <f>Y0_canto-(B141+0.5)*dy_pix</f>
        <v>7434623.678805068</v>
      </c>
      <c r="F141" s="10">
        <f>(D141-x_DBT5)^2+(E141-y_DBT5)^2</f>
        <v>721239257.9307069</v>
      </c>
      <c r="G141" s="10">
        <f>(D141-x_CLP)^2+(E141-y_CLP)^2</f>
        <v>15038658.115741003</v>
      </c>
      <c r="H141" s="11">
        <f>(P_DBT5/F141+P_CLP/G141)/(1/F141+1/G141)</f>
        <v>78.66911302298907</v>
      </c>
      <c r="I141" s="11">
        <v>77</v>
      </c>
      <c r="J141" s="11">
        <f>4.2*I141/(10-0.058*I141)</f>
        <v>58.438742320202394</v>
      </c>
      <c r="K141" s="11">
        <f>25.4*(1000/J141-10)</f>
        <v>180.64316635745197</v>
      </c>
      <c r="L141" t="inlineStr">
        <is>
          <t>Cambissolos Háplicos</t>
        </is>
      </c>
      <c r="M141" s="11">
        <f>IFERROR(VLOOKUP(L141,Classes_K,2,FALSE),"")</f>
        <v>0.04749999940395355</v>
      </c>
      <c r="N141" t="inlineStr">
        <is>
          <t>Mata Nativa</t>
        </is>
      </c>
      <c r="O141" s="11">
        <f>IFERROR(VLOOKUP(N141,Classes_C,2,FALSE),"")</f>
        <v>0.014999999664723873</v>
      </c>
      <c r="P141" s="12">
        <v>0.802886426448822</v>
      </c>
      <c r="Q141">
        <f>IF(COUNT(M141,O141,P141)=3,1,0)</f>
        <v>1</v>
      </c>
      <c r="R141" s="12">
        <f>IF(H141&lt;=p_lambda*K141,0,(H141-p_lambda*K141)^2/(H141+(1-p_lambda)*K141))</f>
        <v>19.375511886499957</v>
      </c>
      <c r="S141" s="13">
        <f>R141/1000*A_pixel*RI_mmh/R_evento_mm/3600</f>
        <v>0.0007698356066660185</v>
      </c>
      <c r="T141" s="13">
        <f>IF(Q141=1,coef_W*MAX(R141*S141*A_pixel,0)^exp_M*M141*O141*fator_P*P141,"")</f>
        <v>0.02885773055630684</v>
      </c>
      <c r="U141" s="13">
        <f>IF(Q141=1,c_pura*T141,"")</f>
        <v>0.003079285956387807</v>
      </c>
      <c r="V141" s="12">
        <f>IF(Q141=1,MIN(fator_f*R141,H141),"")</f>
        <v>23.7335019849804</v>
      </c>
      <c r="W141" s="13">
        <f>IF(Q141=1,V141/1000*A_pixel*RI_mmh/R_evento_mm/3600,"")</f>
        <v>0.0009429890165455156</v>
      </c>
      <c r="X141" s="13">
        <f>IF(Q141=1,coef_W*MAX(V141*W141*A_pixel,0)^exp_M*M141*O141*fator_P*P141,"")</f>
        <v>0.03621961677304669</v>
      </c>
      <c r="Y141" s="13">
        <f>IF(Q141=1,c_restr*X141,"")</f>
        <v>0.005011408499815715</v>
      </c>
    </row>
    <row r="142">
      <c r="A142">
        <v>141</v>
      </c>
      <c r="B142">
        <v>14</v>
      </c>
      <c r="C142">
        <v>144</v>
      </c>
      <c r="D142" s="9">
        <f>X0_canto+(C142+0.5)*dx_pix</f>
        <v>322980.1282528846</v>
      </c>
      <c r="E142" s="9">
        <f>Y0_canto-(B142+0.5)*dy_pix</f>
        <v>7434623.678805068</v>
      </c>
      <c r="F142" s="10">
        <f>(D142-x_DBT5)^2+(E142-y_DBT5)^2</f>
        <v>719706345.5312952</v>
      </c>
      <c r="G142" s="10">
        <f>(D142-x_CLP)^2+(E142-y_CLP)^2</f>
        <v>15224771.585960109</v>
      </c>
      <c r="H142" s="11">
        <f>(P_DBT5/F142+P_CLP/G142)/(1/F142+1/G142)</f>
        <v>78.66440417494772</v>
      </c>
      <c r="I142" s="11">
        <v>77</v>
      </c>
      <c r="J142" s="11">
        <f>4.2*I142/(10-0.058*I142)</f>
        <v>58.438742320202394</v>
      </c>
      <c r="K142" s="11">
        <f>25.4*(1000/J142-10)</f>
        <v>180.64316635745197</v>
      </c>
      <c r="L142" t="inlineStr">
        <is>
          <t>Cambissolos Háplicos</t>
        </is>
      </c>
      <c r="M142" s="11">
        <f>IFERROR(VLOOKUP(L142,Classes_K,2,FALSE),"")</f>
        <v>0.04749999940395355</v>
      </c>
      <c r="N142" t="inlineStr">
        <is>
          <t>Mata Nativa</t>
        </is>
      </c>
      <c r="O142" s="11">
        <f>IFERROR(VLOOKUP(N142,Classes_C,2,FALSE),"")</f>
        <v>0.014999999664723873</v>
      </c>
      <c r="P142" s="12">
        <v>0.7483465671539307</v>
      </c>
      <c r="Q142">
        <f>IF(COUNT(M142,O142,P142)=3,1,0)</f>
        <v>1</v>
      </c>
      <c r="R142" s="12">
        <f>IF(H142&lt;=p_lambda*K142,0,(H142-p_lambda*K142)^2/(H142+(1-p_lambda)*K142))</f>
        <v>19.373256126910572</v>
      </c>
      <c r="S142" s="13">
        <f>R142/1000*A_pixel*RI_mmh/R_evento_mm/3600</f>
        <v>0.0007697459799215917</v>
      </c>
      <c r="T142" s="13">
        <f>IF(Q142=1,coef_W*MAX(R142*S142*A_pixel,0)^exp_M*M142*O142*fator_P*P142,"")</f>
        <v>0.026893925431076018</v>
      </c>
      <c r="U142" s="13">
        <f>IF(Q142=1,c_pura*T142,"")</f>
        <v>0.0028697366457999</v>
      </c>
      <c r="V142" s="12">
        <f>IF(Q142=1,MIN(fator_f*R142,H142),"")</f>
        <v>23.730738854127086</v>
      </c>
      <c r="W142" s="13">
        <f>IF(Q142=1,V142/1000*A_pixel*RI_mmh/R_evento_mm/3600,"")</f>
        <v>0.0009428792307226057</v>
      </c>
      <c r="X142" s="13">
        <f>IF(Q142=1,coef_W*MAX(V142*W142*A_pixel,0)^exp_M*M142*O142*fator_P*P142,"")</f>
        <v>0.03375482596373406</v>
      </c>
      <c r="Y142" s="13">
        <f>IF(Q142=1,c_restr*X142,"")</f>
        <v>0.004670375802273511</v>
      </c>
    </row>
    <row r="143">
      <c r="A143">
        <v>142</v>
      </c>
      <c r="B143">
        <v>14</v>
      </c>
      <c r="C143">
        <v>145</v>
      </c>
      <c r="D143" s="9">
        <f>X0_canto+(C143+0.5)*dx_pix</f>
        <v>323010.1198283371</v>
      </c>
      <c r="E143" s="9">
        <f>Y0_canto-(B143+0.5)*dy_pix</f>
        <v>7434623.678805068</v>
      </c>
      <c r="F143" s="10">
        <f>(D143-x_DBT5)^2+(E143-y_DBT5)^2</f>
        <v>718175232.1210799</v>
      </c>
      <c r="G143" s="10">
        <f>(D143-x_CLP)^2+(E143-y_CLP)^2</f>
        <v>15412684.045375463</v>
      </c>
      <c r="H143" s="11">
        <f>(P_DBT5/F143+P_CLP/G143)/(1/F143+1/G143)</f>
        <v>78.65963997846183</v>
      </c>
      <c r="I143" s="11">
        <v>77</v>
      </c>
      <c r="J143" s="11">
        <f>4.2*I143/(10-0.058*I143)</f>
        <v>58.438742320202394</v>
      </c>
      <c r="K143" s="11">
        <f>25.4*(1000/J143-10)</f>
        <v>180.64316635745197</v>
      </c>
      <c r="L143" t="inlineStr">
        <is>
          <t>Área Urbana</t>
        </is>
      </c>
      <c r="M143" s="11">
        <f>IFERROR(VLOOKUP(L143,Classes_K,2,FALSE),"")</f>
        <v>0.0</v>
      </c>
      <c r="N143" t="inlineStr">
        <is>
          <t>Área Urbanizada</t>
        </is>
      </c>
      <c r="O143" s="11">
        <f>IFERROR(VLOOKUP(N143,Classes_C,2,FALSE),"")</f>
        <v>0.0</v>
      </c>
      <c r="P143" s="12">
        <v>0.6656003594398499</v>
      </c>
      <c r="Q143">
        <f>IF(COUNT(M143,O143,P143)=3,1,0)</f>
        <v>1</v>
      </c>
      <c r="R143" s="12">
        <f>IF(H143&lt;=p_lambda*K143,0,(H143-p_lambda*K143)^2/(H143+(1-p_lambda)*K143))</f>
        <v>19.37097394675789</v>
      </c>
      <c r="S143" s="13">
        <f>R143/1000*A_pixel*RI_mmh/R_evento_mm/3600</f>
        <v>0.0007696553034247512</v>
      </c>
      <c r="T143" s="13">
        <f>IF(Q143=1,coef_W*MAX(R143*S143*A_pixel,0)^exp_M*M143*O143*fator_P*P143,"")</f>
        <v>0.0</v>
      </c>
      <c r="U143" s="13">
        <f>IF(Q143=1,c_pura*T143,"")</f>
        <v>0.0</v>
      </c>
      <c r="V143" s="12">
        <f>IF(Q143=1,MIN(fator_f*R143,H143),"")</f>
        <v>23.72794336012925</v>
      </c>
      <c r="W143" s="13">
        <f>IF(Q143=1,V143/1000*A_pixel*RI_mmh/R_evento_mm/3600,"")</f>
        <v>0.0009427681590342621</v>
      </c>
      <c r="X143" s="13">
        <f>IF(Q143=1,coef_W*MAX(V143*W143*A_pixel,0)^exp_M*M143*O143*fator_P*P143,"")</f>
        <v>0.0</v>
      </c>
      <c r="Y143" s="13">
        <f>IF(Q143=1,c_restr*X143,"")</f>
        <v>0.0</v>
      </c>
    </row>
    <row r="144">
      <c r="A144">
        <v>143</v>
      </c>
      <c r="B144">
        <v>14</v>
      </c>
      <c r="C144">
        <v>146</v>
      </c>
      <c r="D144" s="9">
        <f>X0_canto+(C144+0.5)*dx_pix</f>
        <v>323040.1114037896</v>
      </c>
      <c r="E144" s="9">
        <f>Y0_canto-(B144+0.5)*dy_pix</f>
        <v>7434623.678805068</v>
      </c>
      <c r="F144" s="10">
        <f>(D144-x_DBT5)^2+(E144-y_DBT5)^2</f>
        <v>716645917.7000607</v>
      </c>
      <c r="G144" s="10">
        <f>(D144-x_CLP)^2+(E144-y_CLP)^2</f>
        <v>15602395.493987057</v>
      </c>
      <c r="H144" s="11">
        <f>(P_DBT5/F144+P_CLP/G144)/(1/F144+1/G144)</f>
        <v>78.6548201991739</v>
      </c>
      <c r="I144" s="11">
        <v>77</v>
      </c>
      <c r="J144" s="11">
        <f>4.2*I144/(10-0.058*I144)</f>
        <v>58.438742320202394</v>
      </c>
      <c r="K144" s="11">
        <f>25.4*(1000/J144-10)</f>
        <v>180.64316635745197</v>
      </c>
      <c r="L144" t="inlineStr">
        <is>
          <t>Área Urbana</t>
        </is>
      </c>
      <c r="M144" s="11">
        <f>IFERROR(VLOOKUP(L144,Classes_K,2,FALSE),"")</f>
        <v>0.0</v>
      </c>
      <c r="N144" t="inlineStr">
        <is>
          <t>Área Urbanizada</t>
        </is>
      </c>
      <c r="O144" s="11">
        <f>IFERROR(VLOOKUP(N144,Classes_C,2,FALSE),"")</f>
        <v>0.0</v>
      </c>
      <c r="P144" s="12">
        <v>0.583104133605957</v>
      </c>
      <c r="Q144">
        <f>IF(COUNT(M144,O144,P144)=3,1,0)</f>
        <v>1</v>
      </c>
      <c r="R144" s="12">
        <f>IF(H144&lt;=p_lambda*K144,0,(H144-p_lambda*K144)^2/(H144+(1-p_lambda)*K144))</f>
        <v>19.368665237084116</v>
      </c>
      <c r="S144" s="13">
        <f>R144/1000*A_pixel*RI_mmh/R_evento_mm/3600</f>
        <v>0.0007695635728463419</v>
      </c>
      <c r="T144" s="13">
        <f>IF(Q144=1,coef_W*MAX(R144*S144*A_pixel,0)^exp_M*M144*O144*fator_P*P144,"")</f>
        <v>0.0</v>
      </c>
      <c r="U144" s="13">
        <f>IF(Q144=1,c_pura*T144,"")</f>
        <v>0.0</v>
      </c>
      <c r="V144" s="12">
        <f>IF(Q144=1,MIN(fator_f*R144,H144),"")</f>
        <v>23.72511536952202</v>
      </c>
      <c r="W144" s="13">
        <f>IF(Q144=1,V144/1000*A_pixel*RI_mmh/R_evento_mm/3600,"")</f>
        <v>0.0009426557961776049</v>
      </c>
      <c r="X144" s="13">
        <f>IF(Q144=1,coef_W*MAX(V144*W144*A_pixel,0)^exp_M*M144*O144*fator_P*P144,"")</f>
        <v>0.0</v>
      </c>
      <c r="Y144" s="13">
        <f>IF(Q144=1,c_restr*X144,"")</f>
        <v>0.0</v>
      </c>
    </row>
    <row r="145">
      <c r="A145">
        <v>144</v>
      </c>
      <c r="B145">
        <v>14</v>
      </c>
      <c r="C145">
        <v>147</v>
      </c>
      <c r="D145" s="9">
        <f>X0_canto+(C145+0.5)*dx_pix</f>
        <v>323070.1029792421</v>
      </c>
      <c r="E145" s="9">
        <f>Y0_canto-(B145+0.5)*dy_pix</f>
        <v>7434623.678805068</v>
      </c>
      <c r="F145" s="10">
        <f>(D145-x_DBT5)^2+(E145-y_DBT5)^2</f>
        <v>715118402.268238</v>
      </c>
      <c r="G145" s="10">
        <f>(D145-x_CLP)^2+(E145-y_CLP)^2</f>
        <v>15793905.9317949</v>
      </c>
      <c r="H145" s="11">
        <f>(P_DBT5/F145+P_CLP/G145)/(1/F145+1/G145)</f>
        <v>78.64994460264782</v>
      </c>
      <c r="I145" s="11">
        <v>85</v>
      </c>
      <c r="J145" s="11">
        <f>4.2*I145/(10-0.058*I145)</f>
        <v>70.41420118343196</v>
      </c>
      <c r="K145" s="11">
        <f>25.4*(1000/J145-10)</f>
        <v>106.72268907563023</v>
      </c>
      <c r="L145" t="inlineStr">
        <is>
          <t>Área Urbana</t>
        </is>
      </c>
      <c r="M145" s="11">
        <f>IFERROR(VLOOKUP(L145,Classes_K,2,FALSE),"")</f>
        <v>0.0</v>
      </c>
      <c r="N145" t="inlineStr">
        <is>
          <t>Área Urbanizada</t>
        </is>
      </c>
      <c r="O145" s="11">
        <f>IFERROR(VLOOKUP(N145,Classes_C,2,FALSE),"")</f>
        <v>0.0</v>
      </c>
      <c r="P145" s="12">
        <v>0.4940277338027954</v>
      </c>
      <c r="Q145">
        <f>IF(COUNT(M145,O145,P145)=3,1,0)</f>
        <v>1</v>
      </c>
      <c r="R145" s="12">
        <f>IF(H145&lt;=p_lambda*K145,0,(H145-p_lambda*K145)^2/(H145+(1-p_lambda)*K145))</f>
        <v>29.854583829925296</v>
      </c>
      <c r="S145" s="13">
        <f>R145/1000*A_pixel*RI_mmh/R_evento_mm/3600</f>
        <v>0.001186194294587165</v>
      </c>
      <c r="T145" s="13">
        <f>IF(Q145=1,coef_W*MAX(R145*S145*A_pixel,0)^exp_M*M145*O145*fator_P*P145,"")</f>
        <v>0.0</v>
      </c>
      <c r="U145" s="13">
        <f>IF(Q145=1,c_pura*T145,"")</f>
        <v>0.0</v>
      </c>
      <c r="V145" s="12">
        <f>IF(Q145=1,MIN(fator_f*R145,H145),"")</f>
        <v>36.56955381302655</v>
      </c>
      <c r="W145" s="13">
        <f>IF(Q145=1,V145/1000*A_pixel*RI_mmh/R_evento_mm/3600,"")</f>
        <v>0.001452996174246752</v>
      </c>
      <c r="X145" s="13">
        <f>IF(Q145=1,coef_W*MAX(V145*W145*A_pixel,0)^exp_M*M145*O145*fator_P*P145,"")</f>
        <v>0.0</v>
      </c>
      <c r="Y145" s="13">
        <f>IF(Q145=1,c_restr*X145,"")</f>
        <v>0.0</v>
      </c>
    </row>
    <row r="146">
      <c r="A146">
        <v>145</v>
      </c>
      <c r="B146">
        <v>14</v>
      </c>
      <c r="C146">
        <v>148</v>
      </c>
      <c r="D146" s="9">
        <f>X0_canto+(C146+0.5)*dx_pix</f>
        <v>323100.09455469454</v>
      </c>
      <c r="E146" s="9">
        <f>Y0_canto-(B146+0.5)*dy_pix</f>
        <v>7434623.678805068</v>
      </c>
      <c r="F146" s="10">
        <f>(D146-x_DBT5)^2+(E146-y_DBT5)^2</f>
        <v>713592685.8256142</v>
      </c>
      <c r="G146" s="10">
        <f>(D146-x_CLP)^2+(E146-y_CLP)^2</f>
        <v>15987215.358798616</v>
      </c>
      <c r="H146" s="11">
        <f>(P_DBT5/F146+P_CLP/G146)/(1/F146+1/G146)</f>
        <v>78.64501295437954</v>
      </c>
      <c r="I146" s="11">
        <v>85</v>
      </c>
      <c r="J146" s="11">
        <f>4.2*I146/(10-0.058*I146)</f>
        <v>70.41420118343196</v>
      </c>
      <c r="K146" s="11">
        <f>25.4*(1000/J146-10)</f>
        <v>106.72268907563023</v>
      </c>
      <c r="L146" t="inlineStr">
        <is>
          <t>Área Urbana</t>
        </is>
      </c>
      <c r="M146" s="11">
        <f>IFERROR(VLOOKUP(L146,Classes_K,2,FALSE),"")</f>
        <v>0.0</v>
      </c>
      <c r="N146" t="inlineStr">
        <is>
          <t>Área Urbanizada</t>
        </is>
      </c>
      <c r="O146" s="11">
        <f>IFERROR(VLOOKUP(N146,Classes_C,2,FALSE),"")</f>
        <v>0.0</v>
      </c>
      <c r="P146" s="12">
        <v>0.3989866375923157</v>
      </c>
      <c r="Q146">
        <f>IF(COUNT(M146,O146,P146)=3,1,0)</f>
        <v>1</v>
      </c>
      <c r="R146" s="12">
        <f>IF(H146&lt;=p_lambda*K146,0,(H146-p_lambda*K146)^2/(H146+(1-p_lambda)*K146))</f>
        <v>29.85138517299153</v>
      </c>
      <c r="S146" s="13">
        <f>R146/1000*A_pixel*RI_mmh/R_evento_mm/3600</f>
        <v>0.0011860672042674075</v>
      </c>
      <c r="T146" s="13">
        <f>IF(Q146=1,coef_W*MAX(R146*S146*A_pixel,0)^exp_M*M146*O146*fator_P*P146,"")</f>
        <v>0.0</v>
      </c>
      <c r="U146" s="13">
        <f>IF(Q146=1,c_pura*T146,"")</f>
        <v>0.0</v>
      </c>
      <c r="V146" s="12">
        <f>IF(Q146=1,MIN(fator_f*R146,H146),"")</f>
        <v>36.565635705926645</v>
      </c>
      <c r="W146" s="13">
        <f>IF(Q146=1,V146/1000*A_pixel*RI_mmh/R_evento_mm/3600,"")</f>
        <v>0.001452840498444538</v>
      </c>
      <c r="X146" s="13">
        <f>IF(Q146=1,coef_W*MAX(V146*W146*A_pixel,0)^exp_M*M146*O146*fator_P*P146,"")</f>
        <v>0.0</v>
      </c>
      <c r="Y146" s="13">
        <f>IF(Q146=1,c_restr*X146,"")</f>
        <v>0.0</v>
      </c>
    </row>
    <row r="147">
      <c r="A147">
        <v>146</v>
      </c>
      <c r="B147">
        <v>14</v>
      </c>
      <c r="C147">
        <v>153</v>
      </c>
      <c r="D147" s="9">
        <f>X0_canto+(C147+0.5)*dx_pix</f>
        <v>323250.05243195704</v>
      </c>
      <c r="E147" s="9">
        <f>Y0_canto-(B147+0.5)*dy_pix</f>
        <v>7434623.678805068</v>
      </c>
      <c r="F147" s="10">
        <f>(D147-x_DBT5)^2+(E147-y_DBT5)^2</f>
        <v>705991088.4504249</v>
      </c>
      <c r="G147" s="10">
        <f>(D147-x_CLP)^2+(E147-y_CLP)^2</f>
        <v>16980747.33176273</v>
      </c>
      <c r="H147" s="11">
        <f>(P_DBT5/F147+P_CLP/G147)/(1/F147+1/G147)</f>
        <v>78.61950572590077</v>
      </c>
      <c r="I147" s="11">
        <v>77</v>
      </c>
      <c r="J147" s="11">
        <f>4.2*I147/(10-0.058*I147)</f>
        <v>58.438742320202394</v>
      </c>
      <c r="K147" s="11">
        <f>25.4*(1000/J147-10)</f>
        <v>180.64316635745197</v>
      </c>
      <c r="L147" t="inlineStr">
        <is>
          <t>Cambissolos Háplicos</t>
        </is>
      </c>
      <c r="M147" s="11">
        <f>IFERROR(VLOOKUP(L147,Classes_K,2,FALSE),"")</f>
        <v>0.04749999940395355</v>
      </c>
      <c r="N147" t="inlineStr">
        <is>
          <t>Campo</t>
        </is>
      </c>
      <c r="O147" s="11">
        <f>IFERROR(VLOOKUP(N147,Classes_C,2,FALSE),"")</f>
        <v>0.05000000074505806</v>
      </c>
      <c r="P147" s="12">
        <v>0.5118746161460876</v>
      </c>
      <c r="Q147">
        <f>IF(COUNT(M147,O147,P147)=3,1,0)</f>
        <v>1</v>
      </c>
      <c r="R147" s="12">
        <f>IF(H147&lt;=p_lambda*K147,0,(H147-p_lambda*K147)^2/(H147+(1-p_lambda)*K147))</f>
        <v>19.351752295980877</v>
      </c>
      <c r="S147" s="13">
        <f>R147/1000*A_pixel*RI_mmh/R_evento_mm/3600</f>
        <v>0.0007688915810893762</v>
      </c>
      <c r="T147" s="13">
        <f>IF(Q147=1,coef_W*MAX(R147*S147*A_pixel,0)^exp_M*M147*O147*fator_P*P147,"")</f>
        <v>0.06124259405536591</v>
      </c>
      <c r="U147" s="13">
        <f>IF(Q147=1,c_pura*T147,"")</f>
        <v>0.006534937300058505</v>
      </c>
      <c r="V147" s="12">
        <f>IF(Q147=1,MIN(fator_f*R147,H147),"")</f>
        <v>23.704398326091273</v>
      </c>
      <c r="W147" s="13">
        <f>IF(Q147=1,V147/1000*A_pixel*RI_mmh/R_evento_mm/3600,"")</f>
        <v>0.000941832658301751</v>
      </c>
      <c r="X147" s="13">
        <f>IF(Q147=1,coef_W*MAX(V147*W147*A_pixel,0)^exp_M*M147*O147*fator_P*P147,"")</f>
        <v>0.07686617222184293</v>
      </c>
      <c r="Y147" s="13">
        <f>IF(Q147=1,c_restr*X147,"")</f>
        <v>0.01063533585224181</v>
      </c>
    </row>
    <row r="148">
      <c r="A148">
        <v>147</v>
      </c>
      <c r="B148">
        <v>14</v>
      </c>
      <c r="C148">
        <v>154</v>
      </c>
      <c r="D148" s="9">
        <f>X0_canto+(C148+0.5)*dx_pix</f>
        <v>323280.0440074095</v>
      </c>
      <c r="E148" s="9">
        <f>Y0_canto-(B148+0.5)*dy_pix</f>
        <v>7434623.678805068</v>
      </c>
      <c r="F148" s="10">
        <f>(D148-x_DBT5)^2+(E148-y_DBT5)^2</f>
        <v>704476165.9429786</v>
      </c>
      <c r="G148" s="10">
        <f>(D148-x_CLP)^2+(E148-y_CLP)^2</f>
        <v>17184850.693943895</v>
      </c>
      <c r="H148" s="11">
        <f>(P_DBT5/F148+P_CLP/G148)/(1/F148+1/G148)</f>
        <v>78.61423284018808</v>
      </c>
      <c r="I148" s="11">
        <v>65</v>
      </c>
      <c r="J148" s="11">
        <f>4.2*I148/(10-0.058*I148)</f>
        <v>43.82022471910112</v>
      </c>
      <c r="K148" s="11">
        <f>25.4*(1000/J148-10)</f>
        <v>325.64102564102564</v>
      </c>
      <c r="L148" t="inlineStr">
        <is>
          <t>Cambissolos Háplicos</t>
        </is>
      </c>
      <c r="M148" s="11">
        <f>IFERROR(VLOOKUP(L148,Classes_K,2,FALSE),"")</f>
        <v>0.04749999940395355</v>
      </c>
      <c r="N148" t="inlineStr">
        <is>
          <t>Mata Nativa</t>
        </is>
      </c>
      <c r="O148" s="11">
        <f>IFERROR(VLOOKUP(N148,Classes_C,2,FALSE),"")</f>
        <v>0.014999999664723873</v>
      </c>
      <c r="P148" s="12">
        <v>0.586269199848175</v>
      </c>
      <c r="Q148">
        <f>IF(COUNT(M148,O148,P148)=3,1,0)</f>
        <v>1</v>
      </c>
      <c r="R148" s="12">
        <f>IF(H148&lt;=p_lambda*K148,0,(H148-p_lambda*K148)^2/(H148+(1-p_lambda)*K148))</f>
        <v>10.01435353189749</v>
      </c>
      <c r="S148" s="13">
        <f>R148/1000*A_pixel*RI_mmh/R_evento_mm/3600</f>
        <v>0.0003978943096707489</v>
      </c>
      <c r="T148" s="13">
        <f>IF(Q148=1,coef_W*MAX(R148*S148*A_pixel,0)^exp_M*M148*O148*fator_P*P148,"")</f>
        <v>0.010061882444972482</v>
      </c>
      <c r="U148" s="13">
        <f>IF(Q148=1,c_pura*T148,"")</f>
        <v>0.001073660773399153</v>
      </c>
      <c r="V148" s="12">
        <f>IF(Q148=1,MIN(fator_f*R148,H148),"")</f>
        <v>12.266807752996037</v>
      </c>
      <c r="W148" s="13">
        <f>IF(Q148=1,V148/1000*A_pixel*RI_mmh/R_evento_mm/3600,"")</f>
        <v>0.00048738972387939357</v>
      </c>
      <c r="X148" s="13">
        <f>IF(Q148=1,coef_W*MAX(V148*W148*A_pixel,0)^exp_M*M148*O148*fator_P*P148,"")</f>
        <v>0.012628765989108656</v>
      </c>
      <c r="Y148" s="13">
        <f>IF(Q148=1,c_restr*X148,"")</f>
        <v>0.0017473377925715456</v>
      </c>
    </row>
    <row r="149">
      <c r="A149">
        <v>148</v>
      </c>
      <c r="B149">
        <v>14</v>
      </c>
      <c r="C149">
        <v>155</v>
      </c>
      <c r="D149" s="9">
        <f>X0_canto+(C149+0.5)*dx_pix</f>
        <v>323310.035582862</v>
      </c>
      <c r="E149" s="9">
        <f>Y0_canto-(B149+0.5)*dy_pix</f>
        <v>7434623.678805068</v>
      </c>
      <c r="F149" s="10">
        <f>(D149-x_DBT5)^2+(E149-y_DBT5)^2</f>
        <v>702963042.4247258</v>
      </c>
      <c r="G149" s="10">
        <f>(D149-x_CLP)^2+(E149-y_CLP)^2</f>
        <v>17390753.0453217</v>
      </c>
      <c r="H149" s="11">
        <f>(P_DBT5/F149+P_CLP/G149)/(1/F149+1/G149)</f>
        <v>78.60890226024</v>
      </c>
      <c r="I149" s="11">
        <v>65</v>
      </c>
      <c r="J149" s="11">
        <f>4.2*I149/(10-0.058*I149)</f>
        <v>43.82022471910112</v>
      </c>
      <c r="K149" s="11">
        <f>25.4*(1000/J149-10)</f>
        <v>325.64102564102564</v>
      </c>
      <c r="L149" t="inlineStr">
        <is>
          <t>Cambissolos Háplicos</t>
        </is>
      </c>
      <c r="M149" s="11">
        <f>IFERROR(VLOOKUP(L149,Classes_K,2,FALSE),"")</f>
        <v>0.04749999940395355</v>
      </c>
      <c r="N149" t="inlineStr">
        <is>
          <t>Mata Nativa</t>
        </is>
      </c>
      <c r="O149" s="11">
        <f>IFERROR(VLOOKUP(N149,Classes_C,2,FALSE),"")</f>
        <v>0.014999999664723873</v>
      </c>
      <c r="P149" s="12">
        <v>0.6456997990608215</v>
      </c>
      <c r="Q149">
        <f>IF(COUNT(M149,O149,P149)=3,1,0)</f>
        <v>1</v>
      </c>
      <c r="R149" s="12">
        <f>IF(H149&lt;=p_lambda*K149,0,(H149-p_lambda*K149)^2/(H149+(1-p_lambda)*K149))</f>
        <v>10.012778343166968</v>
      </c>
      <c r="S149" s="13">
        <f>R149/1000*A_pixel*RI_mmh/R_evento_mm/3600</f>
        <v>0.00039783172364055364</v>
      </c>
      <c r="T149" s="13">
        <f>IF(Q149=1,coef_W*MAX(R149*S149*A_pixel,0)^exp_M*M149*O149*fator_P*P149,"")</f>
        <v>0.011079911630943913</v>
      </c>
      <c r="U149" s="13">
        <f>IF(Q149=1,c_pura*T149,"")</f>
        <v>0.0011822903473512056</v>
      </c>
      <c r="V149" s="12">
        <f>IF(Q149=1,MIN(fator_f*R149,H149),"")</f>
        <v>12.264878268754199</v>
      </c>
      <c r="W149" s="13">
        <f>IF(Q149=1,V149/1000*A_pixel*RI_mmh/R_evento_mm/3600,"")</f>
        <v>0.0004873130608378921</v>
      </c>
      <c r="X149" s="13">
        <f>IF(Q149=1,coef_W*MAX(V149*W149*A_pixel,0)^exp_M*M149*O149*fator_P*P149,"")</f>
        <v>0.013906504268205706</v>
      </c>
      <c r="Y149" s="13">
        <f>IF(Q149=1,c_restr*X149,"")</f>
        <v>0.0019241278594717547</v>
      </c>
    </row>
    <row r="150">
      <c r="A150">
        <v>149</v>
      </c>
      <c r="B150">
        <v>14</v>
      </c>
      <c r="C150">
        <v>156</v>
      </c>
      <c r="D150" s="9">
        <f>X0_canto+(C150+0.5)*dx_pix</f>
        <v>323340.0271583145</v>
      </c>
      <c r="E150" s="9">
        <f>Y0_canto-(B150+0.5)*dy_pix</f>
        <v>7434623.678805068</v>
      </c>
      <c r="F150" s="10">
        <f>(D150-x_DBT5)^2+(E150-y_DBT5)^2</f>
        <v>701451717.8956691</v>
      </c>
      <c r="G150" s="10">
        <f>(D150-x_CLP)^2+(E150-y_CLP)^2</f>
        <v>17598454.385895748</v>
      </c>
      <c r="H150" s="11">
        <f>(P_DBT5/F150+P_CLP/G150)/(1/F150+1/G150)</f>
        <v>78.60351375141444</v>
      </c>
      <c r="I150" s="11">
        <v>65</v>
      </c>
      <c r="J150" s="11">
        <f>4.2*I150/(10-0.058*I150)</f>
        <v>43.82022471910112</v>
      </c>
      <c r="K150" s="11">
        <f>25.4*(1000/J150-10)</f>
        <v>325.64102564102564</v>
      </c>
      <c r="L150" t="inlineStr">
        <is>
          <t>Cambissolos Háplicos</t>
        </is>
      </c>
      <c r="M150" s="11">
        <f>IFERROR(VLOOKUP(L150,Classes_K,2,FALSE),"")</f>
        <v>0.04749999940395355</v>
      </c>
      <c r="N150" t="inlineStr">
        <is>
          <t>Mata Nativa</t>
        </is>
      </c>
      <c r="O150" s="11">
        <f>IFERROR(VLOOKUP(N150,Classes_C,2,FALSE),"")</f>
        <v>0.014999999664723873</v>
      </c>
      <c r="P150" s="12">
        <v>0.8077936172485352</v>
      </c>
      <c r="Q150">
        <f>IF(COUNT(M150,O150,P150)=3,1,0)</f>
        <v>1</v>
      </c>
      <c r="R150" s="12">
        <f>IF(H150&lt;=p_lambda*K150,0,(H150-p_lambda*K150)^2/(H150+(1-p_lambda)*K150))</f>
        <v>10.011186141313532</v>
      </c>
      <c r="S150" s="13">
        <f>R150/1000*A_pixel*RI_mmh/R_evento_mm/3600</f>
        <v>0.0003977684616381377</v>
      </c>
      <c r="T150" s="13">
        <f>IF(Q150=1,coef_W*MAX(R150*S150*A_pixel,0)^exp_M*M150*O150*fator_P*P150,"")</f>
        <v>0.013858898340818696</v>
      </c>
      <c r="U150" s="13">
        <f>IF(Q150=1,c_pura*T150,"")</f>
        <v>0.0014788242252321737</v>
      </c>
      <c r="V150" s="12">
        <f>IF(Q150=1,MIN(fator_f*R150,H150),"")</f>
        <v>12.262927944753967</v>
      </c>
      <c r="W150" s="13">
        <f>IF(Q150=1,V150/1000*A_pixel*RI_mmh/R_evento_mm/3600,"")</f>
        <v>0.0004872355697827547</v>
      </c>
      <c r="X150" s="13">
        <f>IF(Q150=1,coef_W*MAX(V150*W150*A_pixel,0)^exp_M*M150*O150*fator_P*P150,"")</f>
        <v>0.017394437369967125</v>
      </c>
      <c r="Y150" s="13">
        <f>IF(Q150=1,c_restr*X150,"")</f>
        <v>0.0024067242851181832</v>
      </c>
    </row>
    <row r="151">
      <c r="A151">
        <v>150</v>
      </c>
      <c r="B151">
        <v>14</v>
      </c>
      <c r="C151">
        <v>157</v>
      </c>
      <c r="D151" s="9">
        <f>X0_canto+(C151+0.5)*dx_pix</f>
        <v>323370.018733767</v>
      </c>
      <c r="E151" s="9">
        <f>Y0_canto-(B151+0.5)*dy_pix</f>
        <v>7434623.678805068</v>
      </c>
      <c r="F151" s="10">
        <f>(D151-x_DBT5)^2+(E151-y_DBT5)^2</f>
        <v>699942192.3558087</v>
      </c>
      <c r="G151" s="10">
        <f>(D151-x_CLP)^2+(E151-y_CLP)^2</f>
        <v>17807954.71566604</v>
      </c>
      <c r="H151" s="11">
        <f>(P_DBT5/F151+P_CLP/G151)/(1/F151+1/G151)</f>
        <v>78.5980670791046</v>
      </c>
      <c r="I151" s="11">
        <v>65</v>
      </c>
      <c r="J151" s="11">
        <f>4.2*I151/(10-0.058*I151)</f>
        <v>43.82022471910112</v>
      </c>
      <c r="K151" s="11">
        <f>25.4*(1000/J151-10)</f>
        <v>325.64102564102564</v>
      </c>
      <c r="L151" t="inlineStr">
        <is>
          <t>Cambissolos Háplicos</t>
        </is>
      </c>
      <c r="M151" s="11">
        <f>IFERROR(VLOOKUP(L151,Classes_K,2,FALSE),"")</f>
        <v>0.04749999940395355</v>
      </c>
      <c r="N151" t="inlineStr">
        <is>
          <t>Mata Nativa</t>
        </is>
      </c>
      <c r="O151" s="11">
        <f>IFERROR(VLOOKUP(N151,Classes_C,2,FALSE),"")</f>
        <v>0.014999999664723873</v>
      </c>
      <c r="P151" s="12">
        <v>0.8625762462615967</v>
      </c>
      <c r="Q151">
        <f>IF(COUNT(M151,O151,P151)=3,1,0)</f>
        <v>1</v>
      </c>
      <c r="R151" s="12">
        <f>IF(H151&lt;=p_lambda*K151,0,(H151-p_lambda*K151)^2/(H151+(1-p_lambda)*K151))</f>
        <v>10.009576860427732</v>
      </c>
      <c r="S151" s="13">
        <f>R151/1000*A_pixel*RI_mmh/R_evento_mm/3600</f>
        <v>0.00039770452104476026</v>
      </c>
      <c r="T151" s="13">
        <f>IF(Q151=1,coef_W*MAX(R151*S151*A_pixel,0)^exp_M*M151*O151*fator_P*P151,"")</f>
        <v>0.014796111326538497</v>
      </c>
      <c r="U151" s="13">
        <f>IF(Q151=1,c_pura*T151,"")</f>
        <v>0.0015788302454367163</v>
      </c>
      <c r="V151" s="12">
        <f>IF(Q151=1,MIN(fator_f*R151,H151),"")</f>
        <v>12.260956700261369</v>
      </c>
      <c r="W151" s="13">
        <f>IF(Q151=1,V151/1000*A_pixel*RI_mmh/R_evento_mm/3600,"")</f>
        <v>0.0004871572475062266</v>
      </c>
      <c r="X151" s="13">
        <f>IF(Q151=1,coef_W*MAX(V151*W151*A_pixel,0)^exp_M*M151*O151*fator_P*P151,"")</f>
        <v>0.01857074245436244</v>
      </c>
      <c r="Y151" s="13">
        <f>IF(Q151=1,c_restr*X151,"")</f>
        <v>0.002569479880663356</v>
      </c>
    </row>
    <row r="152">
      <c r="A152">
        <v>151</v>
      </c>
      <c r="B152">
        <v>14</v>
      </c>
      <c r="C152">
        <v>158</v>
      </c>
      <c r="D152" s="9">
        <f>X0_canto+(C152+0.5)*dx_pix</f>
        <v>323400.0103092195</v>
      </c>
      <c r="E152" s="9">
        <f>Y0_canto-(B152+0.5)*dy_pix</f>
        <v>7434623.678805068</v>
      </c>
      <c r="F152" s="10">
        <f>(D152-x_DBT5)^2+(E152-y_DBT5)^2</f>
        <v>698434465.8051445</v>
      </c>
      <c r="G152" s="10">
        <f>(D152-x_CLP)^2+(E152-y_CLP)^2</f>
        <v>18019254.034632582</v>
      </c>
      <c r="H152" s="11">
        <f>(P_DBT5/F152+P_CLP/G152)/(1/F152+1/G152)</f>
        <v>78.59256200875105</v>
      </c>
      <c r="I152" s="11">
        <v>77</v>
      </c>
      <c r="J152" s="11">
        <f>4.2*I152/(10-0.058*I152)</f>
        <v>58.438742320202394</v>
      </c>
      <c r="K152" s="11">
        <f>25.4*(1000/J152-10)</f>
        <v>180.64316635745197</v>
      </c>
      <c r="L152" t="inlineStr">
        <is>
          <t>Área Urbana</t>
        </is>
      </c>
      <c r="M152" s="11">
        <f>IFERROR(VLOOKUP(L152,Classes_K,2,FALSE),"")</f>
        <v>0.0</v>
      </c>
      <c r="N152" t="inlineStr">
        <is>
          <t>Mata Nativa</t>
        </is>
      </c>
      <c r="O152" s="11">
        <f>IFERROR(VLOOKUP(N152,Classes_C,2,FALSE),"")</f>
        <v>0.014999999664723873</v>
      </c>
      <c r="P152" s="12">
        <v>0.2449823021888733</v>
      </c>
      <c r="Q152">
        <f>IF(COUNT(M152,O152,P152)=3,1,0)</f>
        <v>1</v>
      </c>
      <c r="R152" s="12">
        <f>IF(H152&lt;=p_lambda*K152,0,(H152-p_lambda*K152)^2/(H152+(1-p_lambda)*K152))</f>
        <v>19.33885180256749</v>
      </c>
      <c r="S152" s="13">
        <f>R152/1000*A_pixel*RI_mmh/R_evento_mm/3600</f>
        <v>0.000768379013512769</v>
      </c>
      <c r="T152" s="13">
        <f>IF(Q152=1,coef_W*MAX(R152*S152*A_pixel,0)^exp_M*M152*O152*fator_P*P152,"")</f>
        <v>0.0</v>
      </c>
      <c r="U152" s="13">
        <f>IF(Q152=1,c_pura*T152,"")</f>
        <v>0.0</v>
      </c>
      <c r="V152" s="12">
        <f>IF(Q152=1,MIN(fator_f*R152,H152),"")</f>
        <v>23.688596220431954</v>
      </c>
      <c r="W152" s="13">
        <f>IF(Q152=1,V152/1000*A_pixel*RI_mmh/R_evento_mm/3600,"")</f>
        <v>0.00094120480270402</v>
      </c>
      <c r="X152" s="13">
        <f>IF(Q152=1,coef_W*MAX(V152*W152*A_pixel,0)^exp_M*M152*O152*fator_P*P152,"")</f>
        <v>0.0</v>
      </c>
      <c r="Y152" s="13">
        <f>IF(Q152=1,c_restr*X152,"")</f>
        <v>0.0</v>
      </c>
    </row>
    <row r="153">
      <c r="A153">
        <v>152</v>
      </c>
      <c r="B153">
        <v>14</v>
      </c>
      <c r="C153">
        <v>159</v>
      </c>
      <c r="D153" s="9">
        <f>X0_canto+(C153+0.5)*dx_pix</f>
        <v>323430.001884672</v>
      </c>
      <c r="E153" s="9">
        <f>Y0_canto-(B153+0.5)*dy_pix</f>
        <v>7434623.678805068</v>
      </c>
      <c r="F153" s="10">
        <f>(D153-x_DBT5)^2+(E153-y_DBT5)^2</f>
        <v>696928538.2436767</v>
      </c>
      <c r="G153" s="10">
        <f>(D153-x_CLP)^2+(E153-y_CLP)^2</f>
        <v>18232352.342795372</v>
      </c>
      <c r="H153" s="11">
        <f>(P_DBT5/F153+P_CLP/G153)/(1/F153+1/G153)</f>
        <v>78.58699830585404</v>
      </c>
      <c r="I153" s="11">
        <v>77</v>
      </c>
      <c r="J153" s="11">
        <f>4.2*I153/(10-0.058*I153)</f>
        <v>58.438742320202394</v>
      </c>
      <c r="K153" s="11">
        <f>25.4*(1000/J153-10)</f>
        <v>180.64316635745197</v>
      </c>
      <c r="L153" t="inlineStr">
        <is>
          <t>Área Urbana</t>
        </is>
      </c>
      <c r="M153" s="11">
        <f>IFERROR(VLOOKUP(L153,Classes_K,2,FALSE),"")</f>
        <v>0.0</v>
      </c>
      <c r="N153" t="inlineStr">
        <is>
          <t>Área Urbanizada</t>
        </is>
      </c>
      <c r="O153" s="11">
        <f>IFERROR(VLOOKUP(N153,Classes_C,2,FALSE),"")</f>
        <v>0.0</v>
      </c>
      <c r="P153" s="12">
        <v>0.2413249313831329</v>
      </c>
      <c r="Q153">
        <f>IF(COUNT(M153,O153,P153)=3,1,0)</f>
        <v>1</v>
      </c>
      <c r="R153" s="12">
        <f>IF(H153&lt;=p_lambda*K153,0,(H153-p_lambda*K153)^2/(H153+(1-p_lambda)*K153))</f>
        <v>19.336188311086445</v>
      </c>
      <c r="S153" s="13">
        <f>R153/1000*A_pixel*RI_mmh/R_evento_mm/3600</f>
        <v>0.0007682731866013475</v>
      </c>
      <c r="T153" s="13">
        <f>IF(Q153=1,coef_W*MAX(R153*S153*A_pixel,0)^exp_M*M153*O153*fator_P*P153,"")</f>
        <v>0.0</v>
      </c>
      <c r="U153" s="13">
        <f>IF(Q153=1,c_pura*T153,"")</f>
        <v>0.0</v>
      </c>
      <c r="V153" s="12">
        <f>IF(Q153=1,MIN(fator_f*R153,H153),"")</f>
        <v>23.685333649578464</v>
      </c>
      <c r="W153" s="13">
        <f>IF(Q153=1,V153/1000*A_pixel*RI_mmh/R_evento_mm/3600,"")</f>
        <v>0.0009410751729307783</v>
      </c>
      <c r="X153" s="13">
        <f>IF(Q153=1,coef_W*MAX(V153*W153*A_pixel,0)^exp_M*M153*O153*fator_P*P153,"")</f>
        <v>0.0</v>
      </c>
      <c r="Y153" s="13">
        <f>IF(Q153=1,c_restr*X153,"")</f>
        <v>0.0</v>
      </c>
    </row>
    <row r="154">
      <c r="A154">
        <v>153</v>
      </c>
      <c r="B154">
        <v>14</v>
      </c>
      <c r="C154">
        <v>160</v>
      </c>
      <c r="D154" s="9">
        <f>X0_canto+(C154+0.5)*dx_pix</f>
        <v>323459.9934601244</v>
      </c>
      <c r="E154" s="9">
        <f>Y0_canto-(B154+0.5)*dy_pix</f>
        <v>7434623.678805068</v>
      </c>
      <c r="F154" s="10">
        <f>(D154-x_DBT5)^2+(E154-y_DBT5)^2</f>
        <v>695424409.6714079</v>
      </c>
      <c r="G154" s="10">
        <f>(D154-x_CLP)^2+(E154-y_CLP)^2</f>
        <v>18447249.640153985</v>
      </c>
      <c r="H154" s="11">
        <f>(P_DBT5/F154+P_CLP/G154)/(1/F154+1/G154)</f>
        <v>78.58137573598576</v>
      </c>
      <c r="I154" s="11">
        <v>77</v>
      </c>
      <c r="J154" s="11">
        <f>4.2*I154/(10-0.058*I154)</f>
        <v>58.438742320202394</v>
      </c>
      <c r="K154" s="11">
        <f>25.4*(1000/J154-10)</f>
        <v>180.64316635745197</v>
      </c>
      <c r="L154" t="inlineStr">
        <is>
          <t/>
        </is>
      </c>
      <c r="M154" s="11">
        <f>IFERROR(VLOOKUP(L154,Classes_K,2,FALSE),"")</f>
        <v/>
      </c>
      <c r="N154" t="inlineStr">
        <is>
          <t/>
        </is>
      </c>
      <c r="O154" s="11">
        <f>IFERROR(VLOOKUP(N154,Classes_C,2,FALSE),"")</f>
        <v/>
      </c>
      <c r="P154" s="12">
        <v>0.2481264472007751</v>
      </c>
      <c r="Q154">
        <f>IF(COUNT(M154,O154,P154)=3,1,0)</f>
        <v>0</v>
      </c>
      <c r="R154" s="12">
        <f>IF(H154&lt;=p_lambda*K154,0,(H154-p_lambda*K154)^2/(H154+(1-p_lambda)*K154))</f>
        <v>19.33349676947435</v>
      </c>
      <c r="S154" s="13">
        <f>R154/1000*A_pixel*RI_mmh/R_evento_mm/3600</f>
        <v>0.0007681662451908728</v>
      </c>
      <c r="T154" s="13">
        <f>IF(Q154=1,coef_W*MAX(R154*S154*A_pixel,0)^exp_M*M154*O154*fator_P*P154,"")</f>
        <v/>
      </c>
      <c r="U154" s="13">
        <f>IF(Q154=1,c_pura*T154,"")</f>
        <v/>
      </c>
      <c r="V154" s="12">
        <f>IF(Q154=1,MIN(fator_f*R154,H154),"")</f>
        <v/>
      </c>
      <c r="W154" s="13">
        <f>IF(Q154=1,V154/1000*A_pixel*RI_mmh/R_evento_mm/3600,"")</f>
        <v/>
      </c>
      <c r="X154" s="13">
        <f>IF(Q154=1,coef_W*MAX(V154*W154*A_pixel,0)^exp_M*M154*O154*fator_P*P154,"")</f>
        <v/>
      </c>
      <c r="Y154" s="13">
        <f>IF(Q154=1,c_restr*X154,"")</f>
        <v/>
      </c>
    </row>
    <row r="155">
      <c r="A155">
        <v>154</v>
      </c>
      <c r="B155">
        <v>14</v>
      </c>
      <c r="C155">
        <v>343</v>
      </c>
      <c r="D155" s="9">
        <f>X0_canto+(C155+0.5)*dx_pix</f>
        <v>328948.4517679299</v>
      </c>
      <c r="E155" s="9">
        <f>Y0_canto-(B155+0.5)*dy_pix</f>
        <v>7434623.678805068</v>
      </c>
      <c r="F155" s="10">
        <f>(D155-x_DBT5)^2+(E155-y_DBT5)^2</f>
        <v>450456663.05376065</v>
      </c>
      <c r="G155" s="10">
        <f>(D155-x_CLP)^2+(E155-y_CLP)^2</f>
        <v>88061237.16481838</v>
      </c>
      <c r="H155" s="11">
        <f>(P_DBT5/F155+P_CLP/G155)/(1/F155+1/G155)</f>
        <v>76.35089422952517</v>
      </c>
      <c r="I155" s="11">
        <v>77</v>
      </c>
      <c r="J155" s="11">
        <f>4.2*I155/(10-0.058*I155)</f>
        <v>58.438742320202394</v>
      </c>
      <c r="K155" s="11">
        <f>25.4*(1000/J155-10)</f>
        <v>180.64316635745197</v>
      </c>
      <c r="L155" t="inlineStr">
        <is>
          <t/>
        </is>
      </c>
      <c r="M155" s="11">
        <f>IFERROR(VLOOKUP(L155,Classes_K,2,FALSE),"")</f>
        <v/>
      </c>
      <c r="N155" t="inlineStr">
        <is>
          <t/>
        </is>
      </c>
      <c r="O155" s="11">
        <f>IFERROR(VLOOKUP(N155,Classes_C,2,FALSE),"")</f>
        <v/>
      </c>
      <c r="Q155">
        <f>IF(COUNT(M155,O155,P155)=3,1,0)</f>
        <v>0</v>
      </c>
      <c r="R155" s="12">
        <f>IF(H155&lt;=p_lambda*K155,0,(H155-p_lambda*K155)^2/(H155+(1-p_lambda)*K155))</f>
        <v>18.276243903890528</v>
      </c>
      <c r="S155" s="13">
        <f>R155/1000*A_pixel*RI_mmh/R_evento_mm/3600</f>
        <v>0.0007261590504419584</v>
      </c>
      <c r="T155" s="13">
        <f>IF(Q155=1,coef_W*MAX(R155*S155*A_pixel,0)^exp_M*M155*O155*fator_P*P155,"")</f>
        <v/>
      </c>
      <c r="U155" s="13">
        <f>IF(Q155=1,c_pura*T155,"")</f>
        <v/>
      </c>
      <c r="V155" s="12">
        <f>IF(Q155=1,MIN(fator_f*R155,H155),"")</f>
        <v/>
      </c>
      <c r="W155" s="13">
        <f>IF(Q155=1,V155/1000*A_pixel*RI_mmh/R_evento_mm/3600,"")</f>
        <v/>
      </c>
      <c r="X155" s="13">
        <f>IF(Q155=1,coef_W*MAX(V155*W155*A_pixel,0)^exp_M*M155*O155*fator_P*P155,"")</f>
        <v/>
      </c>
      <c r="Y155" s="13">
        <f>IF(Q155=1,c_restr*X155,"")</f>
        <v/>
      </c>
    </row>
    <row r="156">
      <c r="A156">
        <v>155</v>
      </c>
      <c r="B156">
        <v>14</v>
      </c>
      <c r="C156">
        <v>344</v>
      </c>
      <c r="D156" s="9">
        <f>X0_canto+(C156+0.5)*dx_pix</f>
        <v>328978.4433433823</v>
      </c>
      <c r="E156" s="9">
        <f>Y0_canto-(B156+0.5)*dy_pix</f>
        <v>7434623.678805068</v>
      </c>
      <c r="F156" s="10">
        <f>(D156-x_DBT5)^2+(E156-y_DBT5)^2</f>
        <v>449283548.49360037</v>
      </c>
      <c r="G156" s="10">
        <f>(D156-x_CLP)^2+(E156-y_CLP)^2</f>
        <v>88607148.47428547</v>
      </c>
      <c r="H156" s="11">
        <f>(P_DBT5/F156+P_CLP/G156)/(1/F156+1/G156)</f>
        <v>76.33136369714796</v>
      </c>
      <c r="I156" s="11">
        <v>81</v>
      </c>
      <c r="J156" s="11">
        <f>4.2*I156/(10-0.058*I156)</f>
        <v>64.16446623915503</v>
      </c>
      <c r="K156" s="11">
        <f>25.4*(1000/J156-10)</f>
        <v>141.85773074661967</v>
      </c>
      <c r="L156" t="inlineStr">
        <is>
          <t>Cambissolos Háplicos</t>
        </is>
      </c>
      <c r="M156" s="11">
        <f>IFERROR(VLOOKUP(L156,Classes_K,2,FALSE),"")</f>
        <v>0.04749999940395355</v>
      </c>
      <c r="N156" t="inlineStr">
        <is>
          <t>Mata Nativa</t>
        </is>
      </c>
      <c r="O156" s="11">
        <f>IFERROR(VLOOKUP(N156,Classes_C,2,FALSE),"")</f>
        <v>0.014999999664723873</v>
      </c>
      <c r="P156" s="12">
        <v>0.2369138896465302</v>
      </c>
      <c r="Q156">
        <f>IF(COUNT(M156,O156,P156)=3,1,0)</f>
        <v>1</v>
      </c>
      <c r="R156" s="12">
        <f>IF(H156&lt;=p_lambda*K156,0,(H156-p_lambda*K156)^2/(H156+(1-p_lambda)*K156))</f>
        <v>22.709866590949417</v>
      </c>
      <c r="S156" s="13">
        <f>R156/1000*A_pixel*RI_mmh/R_evento_mm/3600</f>
        <v>0.0009023175246548823</v>
      </c>
      <c r="T156" s="13">
        <f>IF(Q156=1,coef_W*MAX(R156*S156*A_pixel,0)^exp_M*M156*O156*fator_P*P156,"")</f>
        <v>0.010172679151187627</v>
      </c>
      <c r="U156" s="13">
        <f>IF(Q156=1,c_pura*T156,"")</f>
        <v>0.0010854834197017314</v>
      </c>
      <c r="V156" s="12">
        <f>IF(Q156=1,MIN(fator_f*R156,H156),"")</f>
        <v>27.817828348085087</v>
      </c>
      <c r="W156" s="13">
        <f>IF(Q156=1,V156/1000*A_pixel*RI_mmh/R_evento_mm/3600,"")</f>
        <v>0.0011052691091686941</v>
      </c>
      <c r="X156" s="13">
        <f>IF(Q156=1,coef_W*MAX(V156*W156*A_pixel,0)^exp_M*M156*O156*fator_P*P156,"")</f>
        <v>0.01276782800685805</v>
      </c>
      <c r="Y156" s="13">
        <f>IF(Q156=1,c_restr*X156,"")</f>
        <v>0.001766578652631375</v>
      </c>
    </row>
    <row r="157">
      <c r="A157">
        <v>156</v>
      </c>
      <c r="B157">
        <v>14</v>
      </c>
      <c r="C157">
        <v>345</v>
      </c>
      <c r="D157" s="9">
        <f>X0_canto+(C157+0.5)*dx_pix</f>
        <v>329008.4349188348</v>
      </c>
      <c r="E157" s="9">
        <f>Y0_canto-(B157+0.5)*dy_pix</f>
        <v>7434623.678805068</v>
      </c>
      <c r="F157" s="10">
        <f>(D157-x_DBT5)^2+(E157-y_DBT5)^2</f>
        <v>448112232.92263407</v>
      </c>
      <c r="G157" s="10">
        <f>(D157-x_CLP)^2+(E157-y_CLP)^2</f>
        <v>89154858.77294987</v>
      </c>
      <c r="H157" s="11">
        <f>(P_DBT5/F157+P_CLP/G157)/(1/F157+1/G157)</f>
        <v>76.31175132302519</v>
      </c>
      <c r="I157" s="11">
        <v>77</v>
      </c>
      <c r="J157" s="11">
        <f>4.2*I157/(10-0.058*I157)</f>
        <v>58.438742320202394</v>
      </c>
      <c r="K157" s="11">
        <f>25.4*(1000/J157-10)</f>
        <v>180.64316635745197</v>
      </c>
      <c r="L157" t="inlineStr">
        <is>
          <t>Cambissolos Háplicos</t>
        </is>
      </c>
      <c r="M157" s="11">
        <f>IFERROR(VLOOKUP(L157,Classes_K,2,FALSE),"")</f>
        <v>0.04749999940395355</v>
      </c>
      <c r="N157" t="inlineStr">
        <is>
          <t>Mata Nativa</t>
        </is>
      </c>
      <c r="O157" s="11">
        <f>IFERROR(VLOOKUP(N157,Classes_C,2,FALSE),"")</f>
        <v>0.014999999664723873</v>
      </c>
      <c r="P157" s="12">
        <v>0.2571808695793152</v>
      </c>
      <c r="Q157">
        <f>IF(COUNT(M157,O157,P157)=3,1,0)</f>
        <v>1</v>
      </c>
      <c r="R157" s="12">
        <f>IF(H157&lt;=p_lambda*K157,0,(H157-p_lambda*K157)^2/(H157+(1-p_lambda)*K157))</f>
        <v>18.257878569020715</v>
      </c>
      <c r="S157" s="13">
        <f>R157/1000*A_pixel*RI_mmh/R_evento_mm/3600</f>
        <v>0.0007254293515935386</v>
      </c>
      <c r="T157" s="13">
        <f>IF(Q157=1,coef_W*MAX(R157*S157*A_pixel,0)^exp_M*M157*O157*fator_P*P157,"")</f>
        <v>0.008648633697170671</v>
      </c>
      <c r="U157" s="13">
        <f>IF(Q157=1,c_pura*T157,"")</f>
        <v>0.0009228589973032263</v>
      </c>
      <c r="V157" s="12">
        <f>IF(Q157=1,MIN(fator_f*R157,H157),"")</f>
        <v>22.364487699615605</v>
      </c>
      <c r="W157" s="13">
        <f>IF(Q157=1,V157/1000*A_pixel*RI_mmh/R_evento_mm/3600,"")</f>
        <v>0.0008885947920686605</v>
      </c>
      <c r="X157" s="13">
        <f>IF(Q157=1,coef_W*MAX(V157*W157*A_pixel,0)^exp_M*M157*O157*fator_P*P157,"")</f>
        <v>0.010854983814848845</v>
      </c>
      <c r="Y157" s="13">
        <f>IF(Q157=1,c_restr*X157,"")</f>
        <v>0.0015019142387938536</v>
      </c>
    </row>
    <row r="158">
      <c r="A158">
        <v>157</v>
      </c>
      <c r="B158">
        <v>14</v>
      </c>
      <c r="C158">
        <v>346</v>
      </c>
      <c r="D158" s="9">
        <f>X0_canto+(C158+0.5)*dx_pix</f>
        <v>329038.4264942873</v>
      </c>
      <c r="E158" s="9">
        <f>Y0_canto-(B158+0.5)*dy_pix</f>
        <v>7434623.678805068</v>
      </c>
      <c r="F158" s="10">
        <f>(D158-x_DBT5)^2+(E158-y_DBT5)^2</f>
        <v>446942716.34086406</v>
      </c>
      <c r="G158" s="10">
        <f>(D158-x_CLP)^2+(E158-y_CLP)^2</f>
        <v>89704368.06081052</v>
      </c>
      <c r="H158" s="11">
        <f>(P_DBT5/F158+P_CLP/G158)/(1/F158+1/G158)</f>
        <v>76.29205721632341</v>
      </c>
      <c r="I158" s="11">
        <v>77</v>
      </c>
      <c r="J158" s="11">
        <f>4.2*I158/(10-0.058*I158)</f>
        <v>58.438742320202394</v>
      </c>
      <c r="K158" s="11">
        <f>25.4*(1000/J158-10)</f>
        <v>180.64316635745197</v>
      </c>
      <c r="L158" t="inlineStr">
        <is>
          <t>Cambissolos Háplicos</t>
        </is>
      </c>
      <c r="M158" s="11">
        <f>IFERROR(VLOOKUP(L158,Classes_K,2,FALSE),"")</f>
        <v>0.04749999940395355</v>
      </c>
      <c r="N158" t="inlineStr">
        <is>
          <t>Mata Nativa</t>
        </is>
      </c>
      <c r="O158" s="11">
        <f>IFERROR(VLOOKUP(N158,Classes_C,2,FALSE),"")</f>
        <v>0.014999999664723873</v>
      </c>
      <c r="P158" s="12">
        <v>0.2378773838281631</v>
      </c>
      <c r="Q158">
        <f>IF(COUNT(M158,O158,P158)=3,1,0)</f>
        <v>1</v>
      </c>
      <c r="R158" s="12">
        <f>IF(H158&lt;=p_lambda*K158,0,(H158-p_lambda*K158)^2/(H158+(1-p_lambda)*K158))</f>
        <v>18.248640835319833</v>
      </c>
      <c r="S158" s="13">
        <f>R158/1000*A_pixel*RI_mmh/R_evento_mm/3600</f>
        <v>0.0007250623142543704</v>
      </c>
      <c r="T158" s="13">
        <f>IF(Q158=1,coef_W*MAX(R158*S158*A_pixel,0)^exp_M*M158*O158*fator_P*P158,"")</f>
        <v>0.007994951452457622</v>
      </c>
      <c r="U158" s="13">
        <f>IF(Q158=1,c_pura*T158,"")</f>
        <v>0.000853107339176214</v>
      </c>
      <c r="V158" s="12">
        <f>IF(Q158=1,MIN(fator_f*R158,H158),"")</f>
        <v>22.35317219102874</v>
      </c>
      <c r="W158" s="13">
        <f>IF(Q158=1,V158/1000*A_pixel*RI_mmh/R_evento_mm/3600,"")</f>
        <v>0.0008881451997446623</v>
      </c>
      <c r="X158" s="13">
        <f>IF(Q158=1,coef_W*MAX(V158*W158*A_pixel,0)^exp_M*M158*O158*fator_P*P158,"")</f>
        <v>0.010034540906192012</v>
      </c>
      <c r="Y158" s="13">
        <f>IF(Q158=1,c_restr*X158,"")</f>
        <v>0.001388396346215927</v>
      </c>
    </row>
    <row r="159">
      <c r="A159">
        <v>158</v>
      </c>
      <c r="B159">
        <v>14</v>
      </c>
      <c r="C159">
        <v>347</v>
      </c>
      <c r="D159" s="9">
        <f>X0_canto+(C159+0.5)*dx_pix</f>
        <v>329068.4180697398</v>
      </c>
      <c r="E159" s="9">
        <f>Y0_canto-(B159+0.5)*dy_pix</f>
        <v>7434623.678805068</v>
      </c>
      <c r="F159" s="10">
        <f>(D159-x_DBT5)^2+(E159-y_DBT5)^2</f>
        <v>445774998.74829024</v>
      </c>
      <c r="G159" s="10">
        <f>(D159-x_CLP)^2+(E159-y_CLP)^2</f>
        <v>90255676.33786742</v>
      </c>
      <c r="H159" s="11">
        <f>(P_DBT5/F159+P_CLP/G159)/(1/F159+1/G159)</f>
        <v>76.27228149000723</v>
      </c>
      <c r="I159" s="11">
        <v>81</v>
      </c>
      <c r="J159" s="11">
        <f>4.2*I159/(10-0.058*I159)</f>
        <v>64.16446623915503</v>
      </c>
      <c r="K159" s="11">
        <f>25.4*(1000/J159-10)</f>
        <v>141.85773074661967</v>
      </c>
      <c r="L159" t="inlineStr">
        <is>
          <t>Cambissolos Háplicos</t>
        </is>
      </c>
      <c r="M159" s="11">
        <f>IFERROR(VLOOKUP(L159,Classes_K,2,FALSE),"")</f>
        <v>0.04749999940395355</v>
      </c>
      <c r="N159" t="inlineStr">
        <is>
          <t>Mata Nativa</t>
        </is>
      </c>
      <c r="O159" s="11">
        <f>IFERROR(VLOOKUP(N159,Classes_C,2,FALSE),"")</f>
        <v>0.014999999664723873</v>
      </c>
      <c r="P159" s="12">
        <v>0.2409739047288895</v>
      </c>
      <c r="Q159">
        <f>IF(COUNT(M159,O159,P159)=3,1,0)</f>
        <v>1</v>
      </c>
      <c r="R159" s="12">
        <f>IF(H159&lt;=p_lambda*K159,0,(H159-p_lambda*K159)^2/(H159+(1-p_lambda)*K159))</f>
        <v>22.677472838772346</v>
      </c>
      <c r="S159" s="13">
        <f>R159/1000*A_pixel*RI_mmh/R_evento_mm/3600</f>
        <v>0.0009010304431054756</v>
      </c>
      <c r="T159" s="13">
        <f>IF(Q159=1,coef_W*MAX(R159*S159*A_pixel,0)^exp_M*M159*O159*fator_P*P159,"")</f>
        <v>0.010330480449009288</v>
      </c>
      <c r="U159" s="13">
        <f>IF(Q159=1,c_pura*T159,"")</f>
        <v>0.0011023217264886735</v>
      </c>
      <c r="V159" s="12">
        <f>IF(Q159=1,MIN(fator_f*R159,H159),"")</f>
        <v>27.778148509632345</v>
      </c>
      <c r="W159" s="13">
        <f>IF(Q159=1,V159/1000*A_pixel*RI_mmh/R_evento_mm/3600,"")</f>
        <v>0.0011036925339181088</v>
      </c>
      <c r="X159" s="13">
        <f>IF(Q159=1,coef_W*MAX(V159*W159*A_pixel,0)^exp_M*M159*O159*fator_P*P159,"")</f>
        <v>0.01296588594222611</v>
      </c>
      <c r="Y159" s="13">
        <f>IF(Q159=1,c_restr*X159,"")</f>
        <v>0.001793982289367202</v>
      </c>
    </row>
    <row r="160">
      <c r="A160">
        <v>159</v>
      </c>
      <c r="B160">
        <v>15</v>
      </c>
      <c r="C160">
        <v>41</v>
      </c>
      <c r="D160" s="9">
        <f>X0_canto+(C160+0.5)*dx_pix</f>
        <v>319890.9959812783</v>
      </c>
      <c r="E160" s="9">
        <f>Y0_canto-(B160+0.5)*dy_pix</f>
        <v>7434593.7540743835</v>
      </c>
      <c r="F160" s="10">
        <f>(D160-x_DBT5)^2+(E160-y_DBT5)^2</f>
        <v>886556039.7233691</v>
      </c>
      <c r="G160" s="10">
        <f>(D160-x_CLP)^2+(E160-y_CLP)^2</f>
        <v>5365654.904382676</v>
      </c>
      <c r="H160" s="11">
        <f>(P_DBT5/F160+P_CLP/G160)/(1/F160+1/G160)</f>
        <v>78.9025454580088</v>
      </c>
      <c r="I160" s="11">
        <v>85</v>
      </c>
      <c r="J160" s="11">
        <f>4.2*I160/(10-0.058*I160)</f>
        <v>70.41420118343196</v>
      </c>
      <c r="K160" s="11">
        <f>25.4*(1000/J160-10)</f>
        <v>106.72268907563023</v>
      </c>
      <c r="L160" t="inlineStr">
        <is>
          <t>Cambissolos Háplicos</t>
        </is>
      </c>
      <c r="M160" s="11">
        <f>IFERROR(VLOOKUP(L160,Classes_K,2,FALSE),"")</f>
        <v>0.04749999940395355</v>
      </c>
      <c r="N160" t="inlineStr">
        <is>
          <t>Área Urbanizada</t>
        </is>
      </c>
      <c r="O160" s="11">
        <f>IFERROR(VLOOKUP(N160,Classes_C,2,FALSE),"")</f>
        <v>0.0</v>
      </c>
      <c r="P160" s="12">
        <v>0.2991885244846344</v>
      </c>
      <c r="Q160">
        <f>IF(COUNT(M160,O160,P160)=3,1,0)</f>
        <v>1</v>
      </c>
      <c r="R160" s="12">
        <f>IF(H160&lt;=p_lambda*K160,0,(H160-p_lambda*K160)^2/(H160+(1-p_lambda)*K160))</f>
        <v>30.0185470205669</v>
      </c>
      <c r="S160" s="13">
        <f>R160/1000*A_pixel*RI_mmh/R_evento_mm/3600</f>
        <v>0.0011927089458169176</v>
      </c>
      <c r="T160" s="13">
        <f>IF(Q160=1,coef_W*MAX(R160*S160*A_pixel,0)^exp_M*M160*O160*fator_P*P160,"")</f>
        <v>0.0</v>
      </c>
      <c r="U160" s="13">
        <f>IF(Q160=1,c_pura*T160,"")</f>
        <v>0.0</v>
      </c>
      <c r="V160" s="12">
        <f>IF(Q160=1,MIN(fator_f*R160,H160),"")</f>
        <v>36.77039602733045</v>
      </c>
      <c r="W160" s="13">
        <f>IF(Q160=1,V160/1000*A_pixel*RI_mmh/R_evento_mm/3600,"")</f>
        <v>0.0014609761176308808</v>
      </c>
      <c r="X160" s="13">
        <f>IF(Q160=1,coef_W*MAX(V160*W160*A_pixel,0)^exp_M*M160*O160*fator_P*P160,"")</f>
        <v>0.0</v>
      </c>
      <c r="Y160" s="13">
        <f>IF(Q160=1,c_restr*X160,"")</f>
        <v>0.0</v>
      </c>
    </row>
    <row r="161">
      <c r="A161">
        <v>160</v>
      </c>
      <c r="B161">
        <v>15</v>
      </c>
      <c r="C161">
        <v>42</v>
      </c>
      <c r="D161" s="9">
        <f>X0_canto+(C161+0.5)*dx_pix</f>
        <v>319920.98755673075</v>
      </c>
      <c r="E161" s="9">
        <f>Y0_canto-(B161+0.5)*dy_pix</f>
        <v>7434593.7540743835</v>
      </c>
      <c r="F161" s="10">
        <f>(D161-x_DBT5)^2+(E161-y_DBT5)^2</f>
        <v>884839630.4259439</v>
      </c>
      <c r="G161" s="10">
        <f>(D161-x_CLP)^2+(E161-y_CLP)^2</f>
        <v>5368271.47658476</v>
      </c>
      <c r="H161" s="11">
        <f>(P_DBT5/F161+P_CLP/G161)/(1/F161+1/G161)</f>
        <v>78.90231022219557</v>
      </c>
      <c r="I161" s="11">
        <v>77</v>
      </c>
      <c r="J161" s="11">
        <f>4.2*I161/(10-0.058*I161)</f>
        <v>58.438742320202394</v>
      </c>
      <c r="K161" s="11">
        <f>25.4*(1000/J161-10)</f>
        <v>180.64316635745197</v>
      </c>
      <c r="L161" t="inlineStr">
        <is>
          <t>Cambissolos Háplicos</t>
        </is>
      </c>
      <c r="M161" s="11">
        <f>IFERROR(VLOOKUP(L161,Classes_K,2,FALSE),"")</f>
        <v>0.04749999940395355</v>
      </c>
      <c r="N161" t="inlineStr">
        <is>
          <t>Campo</t>
        </is>
      </c>
      <c r="O161" s="11">
        <f>IFERROR(VLOOKUP(N161,Classes_C,2,FALSE),"")</f>
        <v>0.05000000074505806</v>
      </c>
      <c r="P161" s="12">
        <v>0.4791094362735748</v>
      </c>
      <c r="Q161">
        <f>IF(COUNT(M161,O161,P161)=3,1,0)</f>
        <v>1</v>
      </c>
      <c r="R161" s="12">
        <f>IF(H161&lt;=p_lambda*K161,0,(H161-p_lambda*K161)^2/(H161+(1-p_lambda)*K161))</f>
        <v>19.487339679209665</v>
      </c>
      <c r="S161" s="13">
        <f>R161/1000*A_pixel*RI_mmh/R_evento_mm/3600</f>
        <v>0.0007742787933620449</v>
      </c>
      <c r="T161" s="13">
        <f>IF(Q161=1,coef_W*MAX(R161*S161*A_pixel,0)^exp_M*M161*O161*fator_P*P161,"")</f>
        <v>0.05777245712882701</v>
      </c>
      <c r="U161" s="13">
        <f>IF(Q161=1,c_pura*T161,"")</f>
        <v>0.0061646537157764875</v>
      </c>
      <c r="V161" s="12">
        <f>IF(Q161=1,MIN(fator_f*R161,H161),"")</f>
        <v>23.870482373204418</v>
      </c>
      <c r="W161" s="13">
        <f>IF(Q161=1,V161/1000*A_pixel*RI_mmh/R_evento_mm/3600,"")</f>
        <v>0.0009484315762511643</v>
      </c>
      <c r="X161" s="13">
        <f>IF(Q161=1,coef_W*MAX(V161*W161*A_pixel,0)^exp_M*M161*O161*fator_P*P161,"")</f>
        <v>0.07251076979738694</v>
      </c>
      <c r="Y161" s="13">
        <f>IF(Q161=1,c_restr*X161,"")</f>
        <v>0.010032714878452838</v>
      </c>
    </row>
    <row r="162">
      <c r="A162">
        <v>161</v>
      </c>
      <c r="B162">
        <v>15</v>
      </c>
      <c r="C162">
        <v>43</v>
      </c>
      <c r="D162" s="9">
        <f>X0_canto+(C162+0.5)*dx_pix</f>
        <v>319950.97913218325</v>
      </c>
      <c r="E162" s="9">
        <f>Y0_canto-(B162+0.5)*dy_pix</f>
        <v>7434593.7540743835</v>
      </c>
      <c r="F162" s="10">
        <f>(D162-x_DBT5)^2+(E162-y_DBT5)^2</f>
        <v>883125020.1177115</v>
      </c>
      <c r="G162" s="10">
        <f>(D162-x_CLP)^2+(E162-y_CLP)^2</f>
        <v>5372687.037983093</v>
      </c>
      <c r="H162" s="11">
        <f>(P_DBT5/F162+P_CLP/G162)/(1/F162+1/G162)</f>
        <v>78.90204167445087</v>
      </c>
      <c r="I162" s="11">
        <v>65</v>
      </c>
      <c r="J162" s="11">
        <f>4.2*I162/(10-0.058*I162)</f>
        <v>43.82022471910112</v>
      </c>
      <c r="K162" s="11">
        <f>25.4*(1000/J162-10)</f>
        <v>325.64102564102564</v>
      </c>
      <c r="L162" t="inlineStr">
        <is>
          <t>Cambissolos Háplicos</t>
        </is>
      </c>
      <c r="M162" s="11">
        <f>IFERROR(VLOOKUP(L162,Classes_K,2,FALSE),"")</f>
        <v>0.04749999940395355</v>
      </c>
      <c r="N162" t="inlineStr">
        <is>
          <t>Mata Nativa</t>
        </is>
      </c>
      <c r="O162" s="11">
        <f>IFERROR(VLOOKUP(N162,Classes_C,2,FALSE),"")</f>
        <v>0.014999999664723873</v>
      </c>
      <c r="P162" s="12">
        <v>0.6268600225448608</v>
      </c>
      <c r="Q162">
        <f>IF(COUNT(M162,O162,P162)=3,1,0)</f>
        <v>1</v>
      </c>
      <c r="R162" s="12">
        <f>IF(H162&lt;=p_lambda*K162,0,(H162-p_lambda*K162)^2/(H162+(1-p_lambda)*K162))</f>
        <v>10.099554255549151</v>
      </c>
      <c r="S162" s="13">
        <f>R162/1000*A_pixel*RI_mmh/R_evento_mm/3600</f>
        <v>0.00040127953898313985</v>
      </c>
      <c r="T162" s="13">
        <f>IF(Q162=1,coef_W*MAX(R162*S162*A_pixel,0)^exp_M*M162*O162*fator_P*P162,"")</f>
        <v>0.010861093098195464</v>
      </c>
      <c r="U162" s="13">
        <f>IF(Q162=1,c_pura*T162,"")</f>
        <v>0.0011589411503803986</v>
      </c>
      <c r="V162" s="12">
        <f>IF(Q162=1,MIN(fator_f*R162,H162),"")</f>
        <v>12.371172043124412</v>
      </c>
      <c r="W162" s="13">
        <f>IF(Q162=1,V162/1000*A_pixel*RI_mmh/R_evento_mm/3600,"")</f>
        <v>0.000491536367698452</v>
      </c>
      <c r="X162" s="13">
        <f>IF(Q162=1,coef_W*MAX(V162*W162*A_pixel,0)^exp_M*M162*O162*fator_P*P162,"")</f>
        <v>0.013631863011038064</v>
      </c>
      <c r="Y162" s="13">
        <f>IF(Q162=1,c_restr*X162,"")</f>
        <v>0.0018861280225548104</v>
      </c>
    </row>
    <row r="163">
      <c r="A163">
        <v>162</v>
      </c>
      <c r="B163">
        <v>15</v>
      </c>
      <c r="C163">
        <v>44</v>
      </c>
      <c r="D163" s="9">
        <f>X0_canto+(C163+0.5)*dx_pix</f>
        <v>319980.97070763574</v>
      </c>
      <c r="E163" s="9">
        <f>Y0_canto-(B163+0.5)*dy_pix</f>
        <v>7434593.7540743835</v>
      </c>
      <c r="F163" s="10">
        <f>(D163-x_DBT5)^2+(E163-y_DBT5)^2</f>
        <v>881412208.7986754</v>
      </c>
      <c r="G163" s="10">
        <f>(D163-x_CLP)^2+(E163-y_CLP)^2</f>
        <v>5378901.588577673</v>
      </c>
      <c r="H163" s="11">
        <f>(P_DBT5/F163+P_CLP/G163)/(1/F163+1/G163)</f>
        <v>78.90173962531516</v>
      </c>
      <c r="I163" s="11">
        <v>65</v>
      </c>
      <c r="J163" s="11">
        <f>4.2*I163/(10-0.058*I163)</f>
        <v>43.82022471910112</v>
      </c>
      <c r="K163" s="11">
        <f>25.4*(1000/J163-10)</f>
        <v>325.64102564102564</v>
      </c>
      <c r="L163" t="inlineStr">
        <is>
          <t>Cambissolos Háplicos</t>
        </is>
      </c>
      <c r="M163" s="11">
        <f>IFERROR(VLOOKUP(L163,Classes_K,2,FALSE),"")</f>
        <v>0.04749999940395355</v>
      </c>
      <c r="N163" t="inlineStr">
        <is>
          <t>Mata Nativa</t>
        </is>
      </c>
      <c r="O163" s="11">
        <f>IFERROR(VLOOKUP(N163,Classes_C,2,FALSE),"")</f>
        <v>0.014999999664723873</v>
      </c>
      <c r="P163" s="12">
        <v>0.6144790053367615</v>
      </c>
      <c r="Q163">
        <f>IF(COUNT(M163,O163,P163)=3,1,0)</f>
        <v>1</v>
      </c>
      <c r="R163" s="12">
        <f>IF(H163&lt;=p_lambda*K163,0,(H163-p_lambda*K163)^2/(H163+(1-p_lambda)*K163))</f>
        <v>10.099464681781235</v>
      </c>
      <c r="S163" s="13">
        <f>R163/1000*A_pixel*RI_mmh/R_evento_mm/3600</f>
        <v>0.00040127598000227945</v>
      </c>
      <c r="T163" s="13">
        <f>IF(Q163=1,coef_W*MAX(R163*S163*A_pixel,0)^exp_M*M163*O163*fator_P*P163,"")</f>
        <v>0.010646471539737837</v>
      </c>
      <c r="U163" s="13">
        <f>IF(Q163=1,c_pura*T163,"")</f>
        <v>0.001136039794724342</v>
      </c>
      <c r="V163" s="12">
        <f>IF(Q163=1,MIN(fator_f*R163,H163),"")</f>
        <v>12.371062322193627</v>
      </c>
      <c r="W163" s="13">
        <f>IF(Q163=1,V163/1000*A_pixel*RI_mmh/R_evento_mm/3600,"")</f>
        <v>0.0004915320082224386</v>
      </c>
      <c r="X163" s="13">
        <f>IF(Q163=1,coef_W*MAX(V163*W163*A_pixel,0)^exp_M*M163*O163*fator_P*P163,"")</f>
        <v>0.013362489416901763</v>
      </c>
      <c r="Y163" s="13">
        <f>IF(Q163=1,c_restr*X163,"")</f>
        <v>0.0018488570285589505</v>
      </c>
    </row>
    <row r="164">
      <c r="A164">
        <v>163</v>
      </c>
      <c r="B164">
        <v>15</v>
      </c>
      <c r="C164">
        <v>45</v>
      </c>
      <c r="D164" s="9">
        <f>X0_canto+(C164+0.5)*dx_pix</f>
        <v>320010.96228308824</v>
      </c>
      <c r="E164" s="9">
        <f>Y0_canto-(B164+0.5)*dy_pix</f>
        <v>7434593.7540743835</v>
      </c>
      <c r="F164" s="10">
        <f>(D164-x_DBT5)^2+(E164-y_DBT5)^2</f>
        <v>879701196.4688355</v>
      </c>
      <c r="G164" s="10">
        <f>(D164-x_CLP)^2+(E164-y_CLP)^2</f>
        <v>5386915.128368498</v>
      </c>
      <c r="H164" s="11">
        <f>(P_DBT5/F164+P_CLP/G164)/(1/F164+1/G164)</f>
        <v>78.90140388468336</v>
      </c>
      <c r="I164" s="11">
        <v>65</v>
      </c>
      <c r="J164" s="11">
        <f>4.2*I164/(10-0.058*I164)</f>
        <v>43.82022471910112</v>
      </c>
      <c r="K164" s="11">
        <f>25.4*(1000/J164-10)</f>
        <v>325.64102564102564</v>
      </c>
      <c r="L164" t="inlineStr">
        <is>
          <t>Cambissolos Háplicos</t>
        </is>
      </c>
      <c r="M164" s="11">
        <f>IFERROR(VLOOKUP(L164,Classes_K,2,FALSE),"")</f>
        <v>0.04749999940395355</v>
      </c>
      <c r="N164" t="inlineStr">
        <is>
          <t>Mata Nativa</t>
        </is>
      </c>
      <c r="O164" s="11">
        <f>IFERROR(VLOOKUP(N164,Classes_C,2,FALSE),"")</f>
        <v>0.014999999664723873</v>
      </c>
      <c r="P164" s="12">
        <v>0.5043064951896667</v>
      </c>
      <c r="Q164">
        <f>IF(COUNT(M164,O164,P164)=3,1,0)</f>
        <v>1</v>
      </c>
      <c r="R164" s="12">
        <f>IF(H164&lt;=p_lambda*K164,0,(H164-p_lambda*K164)^2/(H164+(1-p_lambda)*K164))</f>
        <v>10.099365117065785</v>
      </c>
      <c r="S164" s="13">
        <f>R164/1000*A_pixel*RI_mmh/R_evento_mm/3600</f>
        <v>0.0004012720240570859</v>
      </c>
      <c r="T164" s="13">
        <f>IF(Q164=1,coef_W*MAX(R164*S164*A_pixel,0)^exp_M*M164*O164*fator_P*P164,"")</f>
        <v>0.008737524666262658</v>
      </c>
      <c r="U164" s="13">
        <f>IF(Q164=1,c_pura*T164,"")</f>
        <v>0.0009323441753646326</v>
      </c>
      <c r="V164" s="12">
        <f>IF(Q164=1,MIN(fator_f*R164,H164),"")</f>
        <v>12.370940363125625</v>
      </c>
      <c r="W164" s="13">
        <f>IF(Q164=1,V164/1000*A_pixel*RI_mmh/R_evento_mm/3600,"")</f>
        <v>0.0004915271624958507</v>
      </c>
      <c r="X164" s="13">
        <f>IF(Q164=1,coef_W*MAX(V164*W164*A_pixel,0)^exp_M*M164*O164*fator_P*P164,"")</f>
        <v>0.010966551730032423</v>
      </c>
      <c r="Y164" s="13">
        <f>IF(Q164=1,c_restr*X164,"")</f>
        <v>0.0015173509675135727</v>
      </c>
    </row>
    <row r="165">
      <c r="A165">
        <v>164</v>
      </c>
      <c r="B165">
        <v>15</v>
      </c>
      <c r="C165">
        <v>46</v>
      </c>
      <c r="D165" s="9">
        <f>X0_canto+(C165+0.5)*dx_pix</f>
        <v>320040.95385854074</v>
      </c>
      <c r="E165" s="9">
        <f>Y0_canto-(B165+0.5)*dy_pix</f>
        <v>7434593.7540743835</v>
      </c>
      <c r="F165" s="10">
        <f>(D165-x_DBT5)^2+(E165-y_DBT5)^2</f>
        <v>877991983.1281918</v>
      </c>
      <c r="G165" s="10">
        <f>(D165-x_CLP)^2+(E165-y_CLP)^2</f>
        <v>5396727.657355568</v>
      </c>
      <c r="H165" s="11">
        <f>(P_DBT5/F165+P_CLP/G165)/(1/F165+1/G165)</f>
        <v>78.90103426180615</v>
      </c>
      <c r="I165" s="11">
        <v>77</v>
      </c>
      <c r="J165" s="11">
        <f>4.2*I165/(10-0.058*I165)</f>
        <v>58.438742320202394</v>
      </c>
      <c r="K165" s="11">
        <f>25.4*(1000/J165-10)</f>
        <v>180.64316635745197</v>
      </c>
      <c r="L165" t="inlineStr">
        <is>
          <t>Área Urbana</t>
        </is>
      </c>
      <c r="M165" s="11">
        <f>IFERROR(VLOOKUP(L165,Classes_K,2,FALSE),"")</f>
        <v>0.0</v>
      </c>
      <c r="N165" t="inlineStr">
        <is>
          <t>Mata Nativa</t>
        </is>
      </c>
      <c r="O165" s="11">
        <f>IFERROR(VLOOKUP(N165,Classes_C,2,FALSE),"")</f>
        <v>0.014999999664723873</v>
      </c>
      <c r="P165" s="12">
        <v>0.3926568329334259</v>
      </c>
      <c r="Q165">
        <f>IF(COUNT(M165,O165,P165)=3,1,0)</f>
        <v>1</v>
      </c>
      <c r="R165" s="12">
        <f>IF(H165&lt;=p_lambda*K165,0,(H165-p_lambda*K165)^2/(H165+(1-p_lambda)*K165))</f>
        <v>19.48672718813157</v>
      </c>
      <c r="S165" s="13">
        <f>R165/1000*A_pixel*RI_mmh/R_evento_mm/3600</f>
        <v>0.000774254457620959</v>
      </c>
      <c r="T165" s="13">
        <f>IF(Q165=1,coef_W*MAX(R165*S165*A_pixel,0)^exp_M*M165*O165*fator_P*P165,"")</f>
        <v>0.0</v>
      </c>
      <c r="U165" s="13">
        <f>IF(Q165=1,c_pura*T165,"")</f>
        <v>0.0</v>
      </c>
      <c r="V165" s="12">
        <f>IF(Q165=1,MIN(fator_f*R165,H165),"")</f>
        <v>23.869732119053566</v>
      </c>
      <c r="W165" s="13">
        <f>IF(Q165=1,V165/1000*A_pixel*RI_mmh/R_evento_mm/3600,"")</f>
        <v>0.0009484017668524368</v>
      </c>
      <c r="X165" s="13">
        <f>IF(Q165=1,coef_W*MAX(V165*W165*A_pixel,0)^exp_M*M165*O165*fator_P*P165,"")</f>
        <v>0.0</v>
      </c>
      <c r="Y165" s="13">
        <f>IF(Q165=1,c_restr*X165,"")</f>
        <v>0.0</v>
      </c>
    </row>
    <row r="166">
      <c r="A166">
        <v>165</v>
      </c>
      <c r="B166">
        <v>15</v>
      </c>
      <c r="C166">
        <v>47</v>
      </c>
      <c r="D166" s="9">
        <f>X0_canto+(C166+0.5)*dx_pix</f>
        <v>320070.94543399324</v>
      </c>
      <c r="E166" s="9">
        <f>Y0_canto-(B166+0.5)*dy_pix</f>
        <v>7434593.7540743835</v>
      </c>
      <c r="F166" s="10">
        <f>(D166-x_DBT5)^2+(E166-y_DBT5)^2</f>
        <v>876284568.7767445</v>
      </c>
      <c r="G166" s="10">
        <f>(D166-x_CLP)^2+(E166-y_CLP)^2</f>
        <v>5408339.175538885</v>
      </c>
      <c r="H166" s="11">
        <f>(P_DBT5/F166+P_CLP/G166)/(1/F166+1/G166)</f>
        <v>78.90063056529165</v>
      </c>
      <c r="I166" s="11">
        <v>77</v>
      </c>
      <c r="J166" s="11">
        <f>4.2*I166/(10-0.058*I166)</f>
        <v>58.438742320202394</v>
      </c>
      <c r="K166" s="11">
        <f>25.4*(1000/J166-10)</f>
        <v>180.64316635745197</v>
      </c>
      <c r="L166" t="inlineStr">
        <is>
          <t>Área Urbana</t>
        </is>
      </c>
      <c r="M166" s="11">
        <f>IFERROR(VLOOKUP(L166,Classes_K,2,FALSE),"")</f>
        <v>0.0</v>
      </c>
      <c r="N166" t="inlineStr">
        <is>
          <t>Área Urbanizada</t>
        </is>
      </c>
      <c r="O166" s="11">
        <f>IFERROR(VLOOKUP(N166,Classes_C,2,FALSE),"")</f>
        <v>0.0</v>
      </c>
      <c r="P166" s="12">
        <v>0.3497371077537537</v>
      </c>
      <c r="Q166">
        <f>IF(COUNT(M166,O166,P166)=3,1,0)</f>
        <v>1</v>
      </c>
      <c r="R166" s="12">
        <f>IF(H166&lt;=p_lambda*K166,0,(H166-p_lambda*K166)^2/(H166+(1-p_lambda)*K166))</f>
        <v>19.48653340569162</v>
      </c>
      <c r="S166" s="13">
        <f>R166/1000*A_pixel*RI_mmh/R_evento_mm/3600</f>
        <v>0.0007742467581793598</v>
      </c>
      <c r="T166" s="13">
        <f>IF(Q166=1,coef_W*MAX(R166*S166*A_pixel,0)^exp_M*M166*O166*fator_P*P166,"")</f>
        <v>0.0</v>
      </c>
      <c r="U166" s="13">
        <f>IF(Q166=1,c_pura*T166,"")</f>
        <v>0.0</v>
      </c>
      <c r="V166" s="12">
        <f>IF(Q166=1,MIN(fator_f*R166,H166),"")</f>
        <v>23.8694947505675</v>
      </c>
      <c r="W166" s="13">
        <f>IF(Q166=1,V166/1000*A_pixel*RI_mmh/R_evento_mm/3600,"")</f>
        <v>0.0009483923356325783</v>
      </c>
      <c r="X166" s="13">
        <f>IF(Q166=1,coef_W*MAX(V166*W166*A_pixel,0)^exp_M*M166*O166*fator_P*P166,"")</f>
        <v>0.0</v>
      </c>
      <c r="Y166" s="13">
        <f>IF(Q166=1,c_restr*X166,"")</f>
        <v>0.0</v>
      </c>
    </row>
    <row r="167">
      <c r="A167">
        <v>166</v>
      </c>
      <c r="B167">
        <v>15</v>
      </c>
      <c r="C167">
        <v>48</v>
      </c>
      <c r="D167" s="9">
        <f>X0_canto+(C167+0.5)*dx_pix</f>
        <v>320100.9370094457</v>
      </c>
      <c r="E167" s="9">
        <f>Y0_canto-(B167+0.5)*dy_pix</f>
        <v>7434593.7540743835</v>
      </c>
      <c r="F167" s="10">
        <f>(D167-x_DBT5)^2+(E167-y_DBT5)^2</f>
        <v>874578953.4144967</v>
      </c>
      <c r="G167" s="10">
        <f>(D167-x_CLP)^2+(E167-y_CLP)^2</f>
        <v>5421749.682918421</v>
      </c>
      <c r="H167" s="11">
        <f>(P_DBT5/F167+P_CLP/G167)/(1/F167+1/G167)</f>
        <v>78.90019260310704</v>
      </c>
      <c r="I167" s="11">
        <v>77</v>
      </c>
      <c r="J167" s="11">
        <f>4.2*I167/(10-0.058*I167)</f>
        <v>58.438742320202394</v>
      </c>
      <c r="K167" s="11">
        <f>25.4*(1000/J167-10)</f>
        <v>180.64316635745197</v>
      </c>
      <c r="L167" t="inlineStr">
        <is>
          <t>Área Urbana</t>
        </is>
      </c>
      <c r="M167" s="11">
        <f>IFERROR(VLOOKUP(L167,Classes_K,2,FALSE),"")</f>
        <v>0.0</v>
      </c>
      <c r="N167" t="inlineStr">
        <is>
          <t>Área Urbanizada</t>
        </is>
      </c>
      <c r="O167" s="11">
        <f>IFERROR(VLOOKUP(N167,Classes_C,2,FALSE),"")</f>
        <v>0.0</v>
      </c>
      <c r="P167" s="12">
        <v>0.2986285984516144</v>
      </c>
      <c r="Q167">
        <f>IF(COUNT(M167,O167,P167)=3,1,0)</f>
        <v>1</v>
      </c>
      <c r="R167" s="12">
        <f>IF(H167&lt;=p_lambda*K167,0,(H167-p_lambda*K167)^2/(H167+(1-p_lambda)*K167))</f>
        <v>19.486323175806515</v>
      </c>
      <c r="S167" s="13">
        <f>R167/1000*A_pixel*RI_mmh/R_evento_mm/3600</f>
        <v>0.0007742384052412756</v>
      </c>
      <c r="T167" s="13">
        <f>IF(Q167=1,coef_W*MAX(R167*S167*A_pixel,0)^exp_M*M167*O167*fator_P*P167,"")</f>
        <v>0.0</v>
      </c>
      <c r="U167" s="13">
        <f>IF(Q167=1,c_pura*T167,"")</f>
        <v>0.0</v>
      </c>
      <c r="V167" s="12">
        <f>IF(Q167=1,MIN(fator_f*R167,H167),"")</f>
        <v>23.869237235234504</v>
      </c>
      <c r="W167" s="13">
        <f>IF(Q167=1,V167/1000*A_pixel*RI_mmh/R_evento_mm/3600,"")</f>
        <v>0.0009483821039301198</v>
      </c>
      <c r="X167" s="13">
        <f>IF(Q167=1,coef_W*MAX(V167*W167*A_pixel,0)^exp_M*M167*O167*fator_P*P167,"")</f>
        <v>0.0</v>
      </c>
      <c r="Y167" s="13">
        <f>IF(Q167=1,c_restr*X167,"")</f>
        <v>0.0</v>
      </c>
    </row>
    <row r="168">
      <c r="A168">
        <v>167</v>
      </c>
      <c r="B168">
        <v>15</v>
      </c>
      <c r="C168">
        <v>107</v>
      </c>
      <c r="D168" s="9">
        <f>X0_canto+(C168+0.5)*dx_pix</f>
        <v>321870.43996114255</v>
      </c>
      <c r="E168" s="9">
        <f>Y0_canto-(B168+0.5)*dy_pix</f>
        <v>7434593.7540743835</v>
      </c>
      <c r="F168" s="10">
        <f>(D168-x_DBT5)^2+(E168-y_DBT5)^2</f>
        <v>777131857.9190655</v>
      </c>
      <c r="G168" s="10">
        <f>(D168-x_CLP)^2+(E168-y_CLP)^2</f>
        <v>9397180.495665314</v>
      </c>
      <c r="H168" s="11">
        <f>(P_DBT5/F168+P_CLP/G168)/(1/F168+1/G168)</f>
        <v>78.80644994127444</v>
      </c>
      <c r="I168" s="11">
        <v>85</v>
      </c>
      <c r="J168" s="11">
        <f>4.2*I168/(10-0.058*I168)</f>
        <v>70.41420118343196</v>
      </c>
      <c r="K168" s="11">
        <f>25.4*(1000/J168-10)</f>
        <v>106.72268907563023</v>
      </c>
      <c r="L168" t="inlineStr">
        <is>
          <t/>
        </is>
      </c>
      <c r="M168" s="11">
        <f>IFERROR(VLOOKUP(L168,Classes_K,2,FALSE),"")</f>
        <v/>
      </c>
      <c r="N168" t="inlineStr">
        <is>
          <t/>
        </is>
      </c>
      <c r="O168" s="11">
        <f>IFERROR(VLOOKUP(N168,Classes_C,2,FALSE),"")</f>
        <v/>
      </c>
      <c r="Q168">
        <f>IF(COUNT(M168,O168,P168)=3,1,0)</f>
        <v>0</v>
      </c>
      <c r="R168" s="12">
        <f>IF(H168&lt;=p_lambda*K168,0,(H168-p_lambda*K168)^2/(H168+(1-p_lambda)*K168))</f>
        <v>29.956142142803422</v>
      </c>
      <c r="S168" s="13">
        <f>R168/1000*A_pixel*RI_mmh/R_evento_mm/3600</f>
        <v>0.0011902294501930917</v>
      </c>
      <c r="T168" s="13">
        <f>IF(Q168=1,coef_W*MAX(R168*S168*A_pixel,0)^exp_M*M168*O168*fator_P*P168,"")</f>
        <v/>
      </c>
      <c r="U168" s="13">
        <f>IF(Q168=1,c_pura*T168,"")</f>
        <v/>
      </c>
      <c r="V168" s="12">
        <f>IF(Q168=1,MIN(fator_f*R168,H168),"")</f>
        <v/>
      </c>
      <c r="W168" s="13">
        <f>IF(Q168=1,V168/1000*A_pixel*RI_mmh/R_evento_mm/3600,"")</f>
        <v/>
      </c>
      <c r="X168" s="13">
        <f>IF(Q168=1,coef_W*MAX(V168*W168*A_pixel,0)^exp_M*M168*O168*fator_P*P168,"")</f>
        <v/>
      </c>
      <c r="Y168" s="13">
        <f>IF(Q168=1,c_restr*X168,"")</f>
        <v/>
      </c>
    </row>
    <row r="169">
      <c r="A169">
        <v>168</v>
      </c>
      <c r="B169">
        <v>15</v>
      </c>
      <c r="C169">
        <v>108</v>
      </c>
      <c r="D169" s="9">
        <f>X0_canto+(C169+0.5)*dx_pix</f>
        <v>321900.43153659505</v>
      </c>
      <c r="E169" s="9">
        <f>Y0_canto-(B169+0.5)*dy_pix</f>
        <v>7434593.7540743835</v>
      </c>
      <c r="F169" s="10">
        <f>(D169-x_DBT5)^2+(E169-y_DBT5)^2</f>
        <v>775534181.9085891</v>
      </c>
      <c r="G169" s="10">
        <f>(D169-x_CLP)^2+(E169-y_CLP)^2</f>
        <v>9518530.354819592</v>
      </c>
      <c r="H169" s="11">
        <f>(P_DBT5/F169+P_CLP/G169)/(1/F169+1/G169)</f>
        <v>78.80358183633358</v>
      </c>
      <c r="I169" s="11">
        <v>85</v>
      </c>
      <c r="J169" s="11">
        <f>4.2*I169/(10-0.058*I169)</f>
        <v>70.41420118343196</v>
      </c>
      <c r="K169" s="11">
        <f>25.4*(1000/J169-10)</f>
        <v>106.72268907563023</v>
      </c>
      <c r="L169" t="inlineStr">
        <is>
          <t/>
        </is>
      </c>
      <c r="M169" s="11">
        <f>IFERROR(VLOOKUP(L169,Classes_K,2,FALSE),"")</f>
        <v/>
      </c>
      <c r="N169" t="inlineStr">
        <is>
          <t/>
        </is>
      </c>
      <c r="O169" s="11">
        <f>IFERROR(VLOOKUP(N169,Classes_C,2,FALSE),"")</f>
        <v/>
      </c>
      <c r="P169" s="12">
        <v>0.3128582835197449</v>
      </c>
      <c r="Q169">
        <f>IF(COUNT(M169,O169,P169)=3,1,0)</f>
        <v>0</v>
      </c>
      <c r="R169" s="12">
        <f>IF(H169&lt;=p_lambda*K169,0,(H169-p_lambda*K169)^2/(H169+(1-p_lambda)*K169))</f>
        <v>29.95428013431066</v>
      </c>
      <c r="S169" s="13">
        <f>R169/1000*A_pixel*RI_mmh/R_evento_mm/3600</f>
        <v>0.001190155468125106</v>
      </c>
      <c r="T169" s="13">
        <f>IF(Q169=1,coef_W*MAX(R169*S169*A_pixel,0)^exp_M*M169*O169*fator_P*P169,"")</f>
        <v/>
      </c>
      <c r="U169" s="13">
        <f>IF(Q169=1,c_pura*T169,"")</f>
        <v/>
      </c>
      <c r="V169" s="12">
        <f>IF(Q169=1,MIN(fator_f*R169,H169),"")</f>
        <v/>
      </c>
      <c r="W169" s="13">
        <f>IF(Q169=1,V169/1000*A_pixel*RI_mmh/R_evento_mm/3600,"")</f>
        <v/>
      </c>
      <c r="X169" s="13">
        <f>IF(Q169=1,coef_W*MAX(V169*W169*A_pixel,0)^exp_M*M169*O169*fator_P*P169,"")</f>
        <v/>
      </c>
      <c r="Y169" s="13">
        <f>IF(Q169=1,c_restr*X169,"")</f>
        <v/>
      </c>
    </row>
    <row r="170">
      <c r="A170">
        <v>169</v>
      </c>
      <c r="B170">
        <v>15</v>
      </c>
      <c r="C170">
        <v>109</v>
      </c>
      <c r="D170" s="9">
        <f>X0_canto+(C170+0.5)*dx_pix</f>
        <v>321930.4231120475</v>
      </c>
      <c r="E170" s="9">
        <f>Y0_canto-(B170+0.5)*dy_pix</f>
        <v>7434593.7540743835</v>
      </c>
      <c r="F170" s="10">
        <f>(D170-x_DBT5)^2+(E170-y_DBT5)^2</f>
        <v>773938304.887312</v>
      </c>
      <c r="G170" s="10">
        <f>(D170-x_CLP)^2+(E170-y_CLP)^2</f>
        <v>9641679.203169875</v>
      </c>
      <c r="H170" s="11">
        <f>(P_DBT5/F170+P_CLP/G170)/(1/F170+1/G170)</f>
        <v>78.80066664608461</v>
      </c>
      <c r="I170" s="11">
        <v>85</v>
      </c>
      <c r="J170" s="11">
        <f>4.2*I170/(10-0.058*I170)</f>
        <v>70.41420118343196</v>
      </c>
      <c r="K170" s="11">
        <f>25.4*(1000/J170-10)</f>
        <v>106.72268907563023</v>
      </c>
      <c r="L170" t="inlineStr">
        <is>
          <t>Área Urbana</t>
        </is>
      </c>
      <c r="M170" s="11">
        <f>IFERROR(VLOOKUP(L170,Classes_K,2,FALSE),"")</f>
        <v>0.0</v>
      </c>
      <c r="N170" t="inlineStr">
        <is>
          <t>Área Urbanizada</t>
        </is>
      </c>
      <c r="O170" s="11">
        <f>IFERROR(VLOOKUP(N170,Classes_C,2,FALSE),"")</f>
        <v>0.0</v>
      </c>
      <c r="P170" s="12">
        <v>0.366360992193222</v>
      </c>
      <c r="Q170">
        <f>IF(COUNT(M170,O170,P170)=3,1,0)</f>
        <v>1</v>
      </c>
      <c r="R170" s="12">
        <f>IF(H170&lt;=p_lambda*K170,0,(H170-p_lambda*K170)^2/(H170+(1-p_lambda)*K170))</f>
        <v>29.952387590286968</v>
      </c>
      <c r="S170" s="13">
        <f>R170/1000*A_pixel*RI_mmh/R_evento_mm/3600</f>
        <v>0.0011900802728071628</v>
      </c>
      <c r="T170" s="13">
        <f>IF(Q170=1,coef_W*MAX(R170*S170*A_pixel,0)^exp_M*M170*O170*fator_P*P170,"")</f>
        <v>0.0</v>
      </c>
      <c r="U170" s="13">
        <f>IF(Q170=1,c_pura*T170,"")</f>
        <v>0.0</v>
      </c>
      <c r="V170" s="12">
        <f>IF(Q170=1,MIN(fator_f*R170,H170),"")</f>
        <v>36.689355847382075</v>
      </c>
      <c r="W170" s="13">
        <f>IF(Q170=1,V170/1000*A_pixel*RI_mmh/R_evento_mm/3600,"")</f>
        <v>0.0014577561967090318</v>
      </c>
      <c r="X170" s="13">
        <f>IF(Q170=1,coef_W*MAX(V170*W170*A_pixel,0)^exp_M*M170*O170*fator_P*P170,"")</f>
        <v>0.0</v>
      </c>
      <c r="Y170" s="13">
        <f>IF(Q170=1,c_restr*X170,"")</f>
        <v>0.0</v>
      </c>
    </row>
    <row r="171">
      <c r="A171">
        <v>170</v>
      </c>
      <c r="B171">
        <v>15</v>
      </c>
      <c r="C171">
        <v>110</v>
      </c>
      <c r="D171" s="9">
        <f>X0_canto+(C171+0.5)*dx_pix</f>
        <v>321960.4146875</v>
      </c>
      <c r="E171" s="9">
        <f>Y0_canto-(B171+0.5)*dy_pix</f>
        <v>7434593.7540743835</v>
      </c>
      <c r="F171" s="10">
        <f>(D171-x_DBT5)^2+(E171-y_DBT5)^2</f>
        <v>772344226.8552281</v>
      </c>
      <c r="G171" s="10">
        <f>(D171-x_CLP)^2+(E171-y_CLP)^2</f>
        <v>9766627.04071664</v>
      </c>
      <c r="H171" s="11">
        <f>(P_DBT5/F171+P_CLP/G171)/(1/F171+1/G171)</f>
        <v>78.7977041447729</v>
      </c>
      <c r="I171" s="11">
        <v>85</v>
      </c>
      <c r="J171" s="11">
        <f>4.2*I171/(10-0.058*I171)</f>
        <v>70.41420118343196</v>
      </c>
      <c r="K171" s="11">
        <f>25.4*(1000/J171-10)</f>
        <v>106.72268907563023</v>
      </c>
      <c r="L171" t="inlineStr">
        <is>
          <t>Cambissolos Háplicos</t>
        </is>
      </c>
      <c r="M171" s="11">
        <f>IFERROR(VLOOKUP(L171,Classes_K,2,FALSE),"")</f>
        <v>0.04749999940395355</v>
      </c>
      <c r="N171" t="inlineStr">
        <is>
          <t>Área Urbanizada</t>
        </is>
      </c>
      <c r="O171" s="11">
        <f>IFERROR(VLOOKUP(N171,Classes_C,2,FALSE),"")</f>
        <v>0.0</v>
      </c>
      <c r="P171" s="12">
        <v>0.3374606668949127</v>
      </c>
      <c r="Q171">
        <f>IF(COUNT(M171,O171,P171)=3,1,0)</f>
        <v>1</v>
      </c>
      <c r="R171" s="12">
        <f>IF(H171&lt;=p_lambda*K171,0,(H171-p_lambda*K171)^2/(H171+(1-p_lambda)*K171))</f>
        <v>29.950464365781112</v>
      </c>
      <c r="S171" s="13">
        <f>R171/1000*A_pixel*RI_mmh/R_evento_mm/3600</f>
        <v>0.001190003858480001</v>
      </c>
      <c r="T171" s="13">
        <f>IF(Q171=1,coef_W*MAX(R171*S171*A_pixel,0)^exp_M*M171*O171*fator_P*P171,"")</f>
        <v>0.0</v>
      </c>
      <c r="U171" s="13">
        <f>IF(Q171=1,c_pura*T171,"")</f>
        <v>0.0</v>
      </c>
      <c r="V171" s="12">
        <f>IF(Q171=1,MIN(fator_f*R171,H171),"")</f>
        <v>36.687000046260806</v>
      </c>
      <c r="W171" s="13">
        <f>IF(Q171=1,V171/1000*A_pixel*RI_mmh/R_evento_mm/3600,"")</f>
        <v>0.0014576625950743496</v>
      </c>
      <c r="X171" s="13">
        <f>IF(Q171=1,coef_W*MAX(V171*W171*A_pixel,0)^exp_M*M171*O171*fator_P*P171,"")</f>
        <v>0.0</v>
      </c>
      <c r="Y171" s="13">
        <f>IF(Q171=1,c_restr*X171,"")</f>
        <v>0.0</v>
      </c>
    </row>
    <row r="172">
      <c r="A172">
        <v>171</v>
      </c>
      <c r="B172">
        <v>15</v>
      </c>
      <c r="C172">
        <v>111</v>
      </c>
      <c r="D172" s="9">
        <f>X0_canto+(C172+0.5)*dx_pix</f>
        <v>321990.4062629525</v>
      </c>
      <c r="E172" s="9">
        <f>Y0_canto-(B172+0.5)*dy_pix</f>
        <v>7434593.7540743835</v>
      </c>
      <c r="F172" s="10">
        <f>(D172-x_DBT5)^2+(E172-y_DBT5)^2</f>
        <v>770751947.8123404</v>
      </c>
      <c r="G172" s="10">
        <f>(D172-x_CLP)^2+(E172-y_CLP)^2</f>
        <v>9893373.867459655</v>
      </c>
      <c r="H172" s="11">
        <f>(P_DBT5/F172+P_CLP/G172)/(1/F172+1/G172)</f>
        <v>78.7946941062505</v>
      </c>
      <c r="I172" s="11">
        <v>85</v>
      </c>
      <c r="J172" s="11">
        <f>4.2*I172/(10-0.058*I172)</f>
        <v>70.41420118343196</v>
      </c>
      <c r="K172" s="11">
        <f>25.4*(1000/J172-10)</f>
        <v>106.72268907563023</v>
      </c>
      <c r="L172" t="inlineStr">
        <is>
          <t>Cambissolos Háplicos</t>
        </is>
      </c>
      <c r="M172" s="11">
        <f>IFERROR(VLOOKUP(L172,Classes_K,2,FALSE),"")</f>
        <v>0.04749999940395355</v>
      </c>
      <c r="N172" t="inlineStr">
        <is>
          <t>Área Urbanizada</t>
        </is>
      </c>
      <c r="O172" s="11">
        <f>IFERROR(VLOOKUP(N172,Classes_C,2,FALSE),"")</f>
        <v>0.0</v>
      </c>
      <c r="P172" s="12">
        <v>0.3195765316486359</v>
      </c>
      <c r="Q172">
        <f>IF(COUNT(M172,O172,P172)=3,1,0)</f>
        <v>1</v>
      </c>
      <c r="R172" s="12">
        <f>IF(H172&lt;=p_lambda*K172,0,(H172-p_lambda*K172)^2/(H172+(1-p_lambda)*K172))</f>
        <v>29.94851031562318</v>
      </c>
      <c r="S172" s="13">
        <f>R172/1000*A_pixel*RI_mmh/R_evento_mm/3600</f>
        <v>0.001189926219375672</v>
      </c>
      <c r="T172" s="13">
        <f>IF(Q172=1,coef_W*MAX(R172*S172*A_pixel,0)^exp_M*M172*O172*fator_P*P172,"")</f>
        <v>0.0</v>
      </c>
      <c r="U172" s="13">
        <f>IF(Q172=1,c_pura*T172,"")</f>
        <v>0.0</v>
      </c>
      <c r="V172" s="12">
        <f>IF(Q172=1,MIN(fator_f*R172,H172),"")</f>
        <v>36.68460648610231</v>
      </c>
      <c r="W172" s="13">
        <f>IF(Q172=1,V172/1000*A_pixel*RI_mmh/R_evento_mm/3600,"")</f>
        <v>0.0014575674931824616</v>
      </c>
      <c r="X172" s="13">
        <f>IF(Q172=1,coef_W*MAX(V172*W172*A_pixel,0)^exp_M*M172*O172*fator_P*P172,"")</f>
        <v>0.0</v>
      </c>
      <c r="Y172" s="13">
        <f>IF(Q172=1,c_restr*X172,"")</f>
        <v>0.0</v>
      </c>
    </row>
    <row r="173">
      <c r="A173">
        <v>172</v>
      </c>
      <c r="B173">
        <v>15</v>
      </c>
      <c r="C173">
        <v>112</v>
      </c>
      <c r="D173" s="9">
        <f>X0_canto+(C173+0.5)*dx_pix</f>
        <v>322020.397838405</v>
      </c>
      <c r="E173" s="9">
        <f>Y0_canto-(B173+0.5)*dy_pix</f>
        <v>7434593.7540743835</v>
      </c>
      <c r="F173" s="10">
        <f>(D173-x_DBT5)^2+(E173-y_DBT5)^2</f>
        <v>769161467.758649</v>
      </c>
      <c r="G173" s="10">
        <f>(D173-x_CLP)^2+(E173-y_CLP)^2</f>
        <v>10021919.683398912</v>
      </c>
      <c r="H173" s="11">
        <f>(P_DBT5/F173+P_CLP/G173)/(1/F173+1/G173)</f>
        <v>78.79163630398313</v>
      </c>
      <c r="I173" s="11">
        <v>85</v>
      </c>
      <c r="J173" s="11">
        <f>4.2*I173/(10-0.058*I173)</f>
        <v>70.41420118343196</v>
      </c>
      <c r="K173" s="11">
        <f>25.4*(1000/J173-10)</f>
        <v>106.72268907563023</v>
      </c>
      <c r="L173" t="inlineStr">
        <is>
          <t>Cambissolos Háplicos</t>
        </is>
      </c>
      <c r="M173" s="11">
        <f>IFERROR(VLOOKUP(L173,Classes_K,2,FALSE),"")</f>
        <v>0.04749999940395355</v>
      </c>
      <c r="N173" t="inlineStr">
        <is>
          <t>Área Urbanizada</t>
        </is>
      </c>
      <c r="O173" s="11">
        <f>IFERROR(VLOOKUP(N173,Classes_C,2,FALSE),"")</f>
        <v>0.0</v>
      </c>
      <c r="P173" s="12">
        <v>0.2712837755680084</v>
      </c>
      <c r="Q173">
        <f>IF(COUNT(M173,O173,P173)=3,1,0)</f>
        <v>1</v>
      </c>
      <c r="R173" s="12">
        <f>IF(H173&lt;=p_lambda*K173,0,(H173-p_lambda*K173)^2/(H173+(1-p_lambda)*K173))</f>
        <v>29.946525294429506</v>
      </c>
      <c r="S173" s="13">
        <f>R173/1000*A_pixel*RI_mmh/R_evento_mm/3600</f>
        <v>0.001189847349717733</v>
      </c>
      <c r="T173" s="13">
        <f>IF(Q173=1,coef_W*MAX(R173*S173*A_pixel,0)^exp_M*M173*O173*fator_P*P173,"")</f>
        <v>0.0</v>
      </c>
      <c r="U173" s="13">
        <f>IF(Q173=1,c_pura*T173,"")</f>
        <v>0.0</v>
      </c>
      <c r="V173" s="12">
        <f>IF(Q173=1,MIN(fator_f*R173,H173),"")</f>
        <v>36.682174988822844</v>
      </c>
      <c r="W173" s="13">
        <f>IF(Q173=1,V173/1000*A_pixel*RI_mmh/R_evento_mm/3600,"")</f>
        <v>0.0014574708839576725</v>
      </c>
      <c r="X173" s="13">
        <f>IF(Q173=1,coef_W*MAX(V173*W173*A_pixel,0)^exp_M*M173*O173*fator_P*P173,"")</f>
        <v>0.0</v>
      </c>
      <c r="Y173" s="13">
        <f>IF(Q173=1,c_restr*X173,"")</f>
        <v>0.0</v>
      </c>
    </row>
    <row r="174">
      <c r="A174">
        <v>173</v>
      </c>
      <c r="B174">
        <v>15</v>
      </c>
      <c r="C174">
        <v>113</v>
      </c>
      <c r="D174" s="9">
        <f>X0_canto+(C174+0.5)*dx_pix</f>
        <v>322050.3894138575</v>
      </c>
      <c r="E174" s="9">
        <f>Y0_canto-(B174+0.5)*dy_pix</f>
        <v>7434593.7540743835</v>
      </c>
      <c r="F174" s="10">
        <f>(D174-x_DBT5)^2+(E174-y_DBT5)^2</f>
        <v>767572786.6941538</v>
      </c>
      <c r="G174" s="10">
        <f>(D174-x_CLP)^2+(E174-y_CLP)^2</f>
        <v>10152264.488534417</v>
      </c>
      <c r="H174" s="11">
        <f>(P_DBT5/F174+P_CLP/G174)/(1/F174+1/G174)</f>
        <v>78.78853051105683</v>
      </c>
      <c r="I174" s="11">
        <v>85</v>
      </c>
      <c r="J174" s="11">
        <f>4.2*I174/(10-0.058*I174)</f>
        <v>70.41420118343196</v>
      </c>
      <c r="K174" s="11">
        <f>25.4*(1000/J174-10)</f>
        <v>106.72268907563023</v>
      </c>
      <c r="L174" t="inlineStr">
        <is>
          <t>Área Urbana</t>
        </is>
      </c>
      <c r="M174" s="11">
        <f>IFERROR(VLOOKUP(L174,Classes_K,2,FALSE),"")</f>
        <v>0.0</v>
      </c>
      <c r="N174" t="inlineStr">
        <is>
          <t>Área Urbanizada</t>
        </is>
      </c>
      <c r="O174" s="11">
        <f>IFERROR(VLOOKUP(N174,Classes_C,2,FALSE),"")</f>
        <v>0.0</v>
      </c>
      <c r="Q174">
        <f>IF(COUNT(M174,O174,P174)=3,1,0)</f>
        <v>0</v>
      </c>
      <c r="R174" s="12">
        <f>IF(H174&lt;=p_lambda*K174,0,(H174-p_lambda*K174)^2/(H174+(1-p_lambda)*K174))</f>
        <v>29.94450915660755</v>
      </c>
      <c r="S174" s="13">
        <f>R174/1000*A_pixel*RI_mmh/R_evento_mm/3600</f>
        <v>0.0011897672437214434</v>
      </c>
      <c r="T174" s="13">
        <f>IF(Q174=1,coef_W*MAX(R174*S174*A_pixel,0)^exp_M*M174*O174*fator_P*P174,"")</f>
        <v/>
      </c>
      <c r="U174" s="13">
        <f>IF(Q174=1,c_pura*T174,"")</f>
        <v/>
      </c>
      <c r="V174" s="12">
        <f>IF(Q174=1,MIN(fator_f*R174,H174),"")</f>
        <v/>
      </c>
      <c r="W174" s="13">
        <f>IF(Q174=1,V174/1000*A_pixel*RI_mmh/R_evento_mm/3600,"")</f>
        <v/>
      </c>
      <c r="X174" s="13">
        <f>IF(Q174=1,coef_W*MAX(V174*W174*A_pixel,0)^exp_M*M174*O174*fator_P*P174,"")</f>
        <v/>
      </c>
      <c r="Y174" s="13">
        <f>IF(Q174=1,c_restr*X174,"")</f>
        <v/>
      </c>
    </row>
    <row r="175">
      <c r="A175">
        <v>174</v>
      </c>
      <c r="B175">
        <v>15</v>
      </c>
      <c r="C175">
        <v>122</v>
      </c>
      <c r="D175" s="9">
        <f>X0_canto+(C175+0.5)*dx_pix</f>
        <v>322320.31359292986</v>
      </c>
      <c r="E175" s="9">
        <f>Y0_canto-(B175+0.5)*dy_pix</f>
        <v>7434593.7540743835</v>
      </c>
      <c r="F175" s="10">
        <f>(D175-x_DBT5)^2+(E175-y_DBT5)^2</f>
        <v>753355611.6275342</v>
      </c>
      <c r="G175" s="10">
        <f>(D175-x_CLP)^2+(E175-y_CLP)^2</f>
        <v>11406322.248584444</v>
      </c>
      <c r="H175" s="11">
        <f>(P_DBT5/F175+P_CLP/G175)/(1/F175+1/G175)</f>
        <v>78.75838117548511</v>
      </c>
      <c r="I175" s="11">
        <v>85</v>
      </c>
      <c r="J175" s="11">
        <f>4.2*I175/(10-0.058*I175)</f>
        <v>70.41420118343196</v>
      </c>
      <c r="K175" s="11">
        <f>25.4*(1000/J175-10)</f>
        <v>106.72268907563023</v>
      </c>
      <c r="L175" t="inlineStr">
        <is>
          <t>Cambissolos Háplicos</t>
        </is>
      </c>
      <c r="M175" s="11">
        <f>IFERROR(VLOOKUP(L175,Classes_K,2,FALSE),"")</f>
        <v>0.04749999940395355</v>
      </c>
      <c r="N175" t="inlineStr">
        <is>
          <t>Área Urbanizada</t>
        </is>
      </c>
      <c r="O175" s="11">
        <f>IFERROR(VLOOKUP(N175,Classes_C,2,FALSE),"")</f>
        <v>0.0</v>
      </c>
      <c r="Q175">
        <f>IF(COUNT(M175,O175,P175)=3,1,0)</f>
        <v>0</v>
      </c>
      <c r="R175" s="12">
        <f>IF(H175&lt;=p_lambda*K175,0,(H175-p_lambda*K175)^2/(H175+(1-p_lambda)*K175))</f>
        <v>29.92493954827289</v>
      </c>
      <c r="S175" s="13">
        <f>R175/1000*A_pixel*RI_mmh/R_evento_mm/3600</f>
        <v>0.0011889896961968785</v>
      </c>
      <c r="T175" s="13">
        <f>IF(Q175=1,coef_W*MAX(R175*S175*A_pixel,0)^exp_M*M175*O175*fator_P*P175,"")</f>
        <v/>
      </c>
      <c r="U175" s="13">
        <f>IF(Q175=1,c_pura*T175,"")</f>
        <v/>
      </c>
      <c r="V175" s="12">
        <f>IF(Q175=1,MIN(fator_f*R175,H175),"")</f>
        <v/>
      </c>
      <c r="W175" s="13">
        <f>IF(Q175=1,V175/1000*A_pixel*RI_mmh/R_evento_mm/3600,"")</f>
        <v/>
      </c>
      <c r="X175" s="13">
        <f>IF(Q175=1,coef_W*MAX(V175*W175*A_pixel,0)^exp_M*M175*O175*fator_P*P175,"")</f>
        <v/>
      </c>
      <c r="Y175" s="13">
        <f>IF(Q175=1,c_restr*X175,"")</f>
        <v/>
      </c>
    </row>
    <row r="176">
      <c r="A176">
        <v>175</v>
      </c>
      <c r="B176">
        <v>15</v>
      </c>
      <c r="C176">
        <v>123</v>
      </c>
      <c r="D176" s="9">
        <f>X0_canto+(C176+0.5)*dx_pix</f>
        <v>322350.30516838236</v>
      </c>
      <c r="E176" s="9">
        <f>Y0_canto-(B176+0.5)*dy_pix</f>
        <v>7434593.7540743835</v>
      </c>
      <c r="F176" s="10">
        <f>(D176-x_DBT5)^2+(E176-y_DBT5)^2</f>
        <v>751784920.4550014</v>
      </c>
      <c r="G176" s="10">
        <f>(D176-x_CLP)^2+(E176-y_CLP)^2</f>
        <v>11554656.945682399</v>
      </c>
      <c r="H176" s="11">
        <f>(P_DBT5/F176+P_CLP/G176)/(1/F176+1/G176)</f>
        <v>78.75478291729134</v>
      </c>
      <c r="I176" s="11">
        <v>85</v>
      </c>
      <c r="J176" s="11">
        <f>4.2*I176/(10-0.058*I176)</f>
        <v>70.41420118343196</v>
      </c>
      <c r="K176" s="11">
        <f>25.4*(1000/J176-10)</f>
        <v>106.72268907563023</v>
      </c>
      <c r="L176" t="inlineStr">
        <is>
          <t>Cambissolos Háplicos</t>
        </is>
      </c>
      <c r="M176" s="11">
        <f>IFERROR(VLOOKUP(L176,Classes_K,2,FALSE),"")</f>
        <v>0.04749999940395355</v>
      </c>
      <c r="N176" t="inlineStr">
        <is>
          <t>Área Urbanizada</t>
        </is>
      </c>
      <c r="O176" s="11">
        <f>IFERROR(VLOOKUP(N176,Classes_C,2,FALSE),"")</f>
        <v>0.0</v>
      </c>
      <c r="P176" s="12">
        <v>0.2764151096343994</v>
      </c>
      <c r="Q176">
        <f>IF(COUNT(M176,O176,P176)=3,1,0)</f>
        <v>1</v>
      </c>
      <c r="R176" s="12">
        <f>IF(H176&lt;=p_lambda*K176,0,(H176-p_lambda*K176)^2/(H176+(1-p_lambda)*K176))</f>
        <v>29.92260419426086</v>
      </c>
      <c r="S176" s="13">
        <f>R176/1000*A_pixel*RI_mmh/R_evento_mm/3600</f>
        <v>0.0011888969069749386</v>
      </c>
      <c r="T176" s="13">
        <f>IF(Q176=1,coef_W*MAX(R176*S176*A_pixel,0)^exp_M*M176*O176*fator_P*P176,"")</f>
        <v>0.0</v>
      </c>
      <c r="U176" s="13">
        <f>IF(Q176=1,c_pura*T176,"")</f>
        <v>0.0</v>
      </c>
      <c r="V176" s="12">
        <f>IF(Q176=1,MIN(fator_f*R176,H176),"")</f>
        <v>36.652873493117276</v>
      </c>
      <c r="W176" s="13">
        <f>IF(Q176=1,V176/1000*A_pixel*RI_mmh/R_evento_mm/3600,"")</f>
        <v>0.0014563066651821967</v>
      </c>
      <c r="X176" s="13">
        <f>IF(Q176=1,coef_W*MAX(V176*W176*A_pixel,0)^exp_M*M176*O176*fator_P*P176,"")</f>
        <v>0.0</v>
      </c>
      <c r="Y176" s="13">
        <f>IF(Q176=1,c_restr*X176,"")</f>
        <v>0.0</v>
      </c>
    </row>
    <row r="177">
      <c r="A177">
        <v>176</v>
      </c>
      <c r="B177">
        <v>15</v>
      </c>
      <c r="C177">
        <v>124</v>
      </c>
      <c r="D177" s="9">
        <f>X0_canto+(C177+0.5)*dx_pix</f>
        <v>322380.29674383486</v>
      </c>
      <c r="E177" s="9">
        <f>Y0_canto-(B177+0.5)*dy_pix</f>
        <v>7434593.7540743835</v>
      </c>
      <c r="F177" s="10">
        <f>(D177-x_DBT5)^2+(E177-y_DBT5)^2</f>
        <v>750216028.2716649</v>
      </c>
      <c r="G177" s="10">
        <f>(D177-x_CLP)^2+(E177-y_CLP)^2</f>
        <v>11704790.6319766</v>
      </c>
      <c r="H177" s="11">
        <f>(P_DBT5/F177+P_CLP/G177)/(1/F177+1/G177)</f>
        <v>78.75113414939305</v>
      </c>
      <c r="I177" s="11">
        <v>77</v>
      </c>
      <c r="J177" s="11">
        <f>4.2*I177/(10-0.058*I177)</f>
        <v>58.438742320202394</v>
      </c>
      <c r="K177" s="11">
        <f>25.4*(1000/J177-10)</f>
        <v>180.64316635745197</v>
      </c>
      <c r="L177" t="inlineStr">
        <is>
          <t>Cambissolos Háplicos</t>
        </is>
      </c>
      <c r="M177" s="11">
        <f>IFERROR(VLOOKUP(L177,Classes_K,2,FALSE),"")</f>
        <v>0.04749999940395355</v>
      </c>
      <c r="N177" t="inlineStr">
        <is>
          <t>Campo</t>
        </is>
      </c>
      <c r="O177" s="11">
        <f>IFERROR(VLOOKUP(N177,Classes_C,2,FALSE),"")</f>
        <v>0.05000000074505806</v>
      </c>
      <c r="P177" s="12">
        <v>0.3753745257854462</v>
      </c>
      <c r="Q177">
        <f>IF(COUNT(M177,O177,P177)=3,1,0)</f>
        <v>1</v>
      </c>
      <c r="R177" s="12">
        <f>IF(H177&lt;=p_lambda*K177,0,(H177-p_lambda*K177)^2/(H177+(1-p_lambda)*K177))</f>
        <v>19.414818664266214</v>
      </c>
      <c r="S177" s="13">
        <f>R177/1000*A_pixel*RI_mmh/R_evento_mm/3600</f>
        <v>0.0007713973593198339</v>
      </c>
      <c r="T177" s="13">
        <f>IF(Q177=1,coef_W*MAX(R177*S177*A_pixel,0)^exp_M*M177*O177*fator_P*P177,"")</f>
        <v>0.045075171545011054</v>
      </c>
      <c r="U177" s="13">
        <f>IF(Q177=1,c_pura*T177,"")</f>
        <v>0.004809780257997083</v>
      </c>
      <c r="V177" s="12">
        <f>IF(Q177=1,MIN(fator_f*R177,H177),"")</f>
        <v>23.78164974456494</v>
      </c>
      <c r="W177" s="13">
        <f>IF(Q177=1,V177/1000*A_pixel*RI_mmh/R_evento_mm/3600,"")</f>
        <v>0.0009449020426336263</v>
      </c>
      <c r="X177" s="13">
        <f>IF(Q177=1,coef_W*MAX(V177*W177*A_pixel,0)^exp_M*M177*O177*fator_P*P177,"")</f>
        <v>0.056574283835456866</v>
      </c>
      <c r="Y177" s="13">
        <f>IF(Q177=1,c_restr*X177,"")</f>
        <v>0.007827715258847746</v>
      </c>
    </row>
    <row r="178">
      <c r="A178">
        <v>177</v>
      </c>
      <c r="B178">
        <v>15</v>
      </c>
      <c r="C178">
        <v>125</v>
      </c>
      <c r="D178" s="9">
        <f>X0_canto+(C178+0.5)*dx_pix</f>
        <v>322410.28831928736</v>
      </c>
      <c r="E178" s="9">
        <f>Y0_canto-(B178+0.5)*dy_pix</f>
        <v>7434593.7540743835</v>
      </c>
      <c r="F178" s="10">
        <f>(D178-x_DBT5)^2+(E178-y_DBT5)^2</f>
        <v>748648935.0775247</v>
      </c>
      <c r="G178" s="10">
        <f>(D178-x_CLP)^2+(E178-y_CLP)^2</f>
        <v>11856723.307467049</v>
      </c>
      <c r="H178" s="11">
        <f>(P_DBT5/F178+P_CLP/G178)/(1/F178+1/G178)</f>
        <v>78.74743464089298</v>
      </c>
      <c r="I178" s="11">
        <v>65</v>
      </c>
      <c r="J178" s="11">
        <f>4.2*I178/(10-0.058*I178)</f>
        <v>43.82022471910112</v>
      </c>
      <c r="K178" s="11">
        <f>25.4*(1000/J178-10)</f>
        <v>325.64102564102564</v>
      </c>
      <c r="L178" t="inlineStr">
        <is>
          <t>Cambissolos Háplicos</t>
        </is>
      </c>
      <c r="M178" s="11">
        <f>IFERROR(VLOOKUP(L178,Classes_K,2,FALSE),"")</f>
        <v>0.04749999940395355</v>
      </c>
      <c r="N178" t="inlineStr">
        <is>
          <t>Campo</t>
        </is>
      </c>
      <c r="O178" s="11">
        <f>IFERROR(VLOOKUP(N178,Classes_C,2,FALSE),"")</f>
        <v>0.05000000074505806</v>
      </c>
      <c r="P178" s="12">
        <v>0.5488765835762024</v>
      </c>
      <c r="Q178">
        <f>IF(COUNT(M178,O178,P178)=3,1,0)</f>
        <v>1</v>
      </c>
      <c r="R178" s="12">
        <f>IF(H178&lt;=p_lambda*K178,0,(H178-p_lambda*K178)^2/(H178+(1-p_lambda)*K178))</f>
        <v>10.053748218747891</v>
      </c>
      <c r="S178" s="13">
        <f>R178/1000*A_pixel*RI_mmh/R_evento_mm/3600</f>
        <v>0.0003994595551635416</v>
      </c>
      <c r="T178" s="13">
        <f>IF(Q178=1,coef_W*MAX(R178*S178*A_pixel,0)^exp_M*M178*O178*fator_P*P178,"")</f>
        <v>0.03153881131459653</v>
      </c>
      <c r="U178" s="13">
        <f>IF(Q178=1,c_pura*T178,"")</f>
        <v>0.0033653727056848237</v>
      </c>
      <c r="V178" s="12">
        <f>IF(Q178=1,MIN(fator_f*R178,H178),"")</f>
        <v>12.315063194402628</v>
      </c>
      <c r="W178" s="13">
        <f>IF(Q178=1,V178/1000*A_pixel*RI_mmh/R_evento_mm/3600,"")</f>
        <v>0.0004893070284248318</v>
      </c>
      <c r="X178" s="13">
        <f>IF(Q178=1,coef_W*MAX(V178*W178*A_pixel,0)^exp_M*M178*O178*fator_P*P178,"")</f>
        <v>0.039584667167892086</v>
      </c>
      <c r="Y178" s="13">
        <f>IF(Q178=1,c_restr*X178,"")</f>
        <v>0.005477002662688961</v>
      </c>
    </row>
    <row r="179">
      <c r="A179">
        <v>178</v>
      </c>
      <c r="B179">
        <v>15</v>
      </c>
      <c r="C179">
        <v>126</v>
      </c>
      <c r="D179" s="9">
        <f>X0_canto+(C179+0.5)*dx_pix</f>
        <v>322440.2798947398</v>
      </c>
      <c r="E179" s="9">
        <f>Y0_canto-(B179+0.5)*dy_pix</f>
        <v>7434593.7540743835</v>
      </c>
      <c r="F179" s="10">
        <f>(D179-x_DBT5)^2+(E179-y_DBT5)^2</f>
        <v>747083640.8725836</v>
      </c>
      <c r="G179" s="10">
        <f>(D179-x_CLP)^2+(E179-y_CLP)^2</f>
        <v>12010454.972153444</v>
      </c>
      <c r="H179" s="11">
        <f>(P_DBT5/F179+P_CLP/G179)/(1/F179+1/G179)</f>
        <v>78.74368416061289</v>
      </c>
      <c r="I179" s="11">
        <v>65</v>
      </c>
      <c r="J179" s="11">
        <f>4.2*I179/(10-0.058*I179)</f>
        <v>43.82022471910112</v>
      </c>
      <c r="K179" s="11">
        <f>25.4*(1000/J179-10)</f>
        <v>325.64102564102564</v>
      </c>
      <c r="L179" t="inlineStr">
        <is>
          <t>Cambissolos Háplicos</t>
        </is>
      </c>
      <c r="M179" s="11">
        <f>IFERROR(VLOOKUP(L179,Classes_K,2,FALSE),"")</f>
        <v>0.04749999940395355</v>
      </c>
      <c r="N179" t="inlineStr">
        <is>
          <t>Campo</t>
        </is>
      </c>
      <c r="O179" s="11">
        <f>IFERROR(VLOOKUP(N179,Classes_C,2,FALSE),"")</f>
        <v>0.05000000074505806</v>
      </c>
      <c r="P179" s="12">
        <v>0.8098444938659668</v>
      </c>
      <c r="Q179">
        <f>IF(COUNT(M179,O179,P179)=3,1,0)</f>
        <v>1</v>
      </c>
      <c r="R179" s="12">
        <f>IF(H179&lt;=p_lambda*K179,0,(H179-p_lambda*K179)^2/(H179+(1-p_lambda)*K179))</f>
        <v>10.052638126052168</v>
      </c>
      <c r="S179" s="13">
        <f>R179/1000*A_pixel*RI_mmh/R_evento_mm/3600</f>
        <v>0.00039941544851547603</v>
      </c>
      <c r="T179" s="13">
        <f>IF(Q179=1,coef_W*MAX(R179*S179*A_pixel,0)^exp_M*M179*O179*fator_P*P179,"")</f>
        <v>0.04652844530039068</v>
      </c>
      <c r="U179" s="13">
        <f>IF(Q179=1,c_pura*T179,"")</f>
        <v>0.0049648529327868006</v>
      </c>
      <c r="V179" s="12">
        <f>IF(Q179=1,MIN(fator_f*R179,H179),"")</f>
        <v>12.313703416795109</v>
      </c>
      <c r="W179" s="13">
        <f>IF(Q179=1,V179/1000*A_pixel*RI_mmh/R_evento_mm/3600,"")</f>
        <v>0.0004892530011957425</v>
      </c>
      <c r="X179" s="13">
        <f>IF(Q179=1,coef_W*MAX(V179*W179*A_pixel,0)^exp_M*M179*O179*fator_P*P179,"")</f>
        <v>0.05839830178390471</v>
      </c>
      <c r="Y179" s="13">
        <f>IF(Q179=1,c_restr*X179,"")</f>
        <v>0.008080089520782794</v>
      </c>
    </row>
    <row r="180">
      <c r="A180">
        <v>179</v>
      </c>
      <c r="B180">
        <v>15</v>
      </c>
      <c r="C180">
        <v>127</v>
      </c>
      <c r="D180" s="9">
        <f>X0_canto+(C180+0.5)*dx_pix</f>
        <v>322470.2714701923</v>
      </c>
      <c r="E180" s="9">
        <f>Y0_canto-(B180+0.5)*dy_pix</f>
        <v>7434593.7540743835</v>
      </c>
      <c r="F180" s="10">
        <f>(D180-x_DBT5)^2+(E180-y_DBT5)^2</f>
        <v>745520145.6568359</v>
      </c>
      <c r="G180" s="10">
        <f>(D180-x_CLP)^2+(E180-y_CLP)^2</f>
        <v>12165985.62603638</v>
      </c>
      <c r="H180" s="11">
        <f>(P_DBT5/F180+P_CLP/G180)/(1/F180+1/G180)</f>
        <v>78.7398824771019</v>
      </c>
      <c r="I180" s="11">
        <v>65</v>
      </c>
      <c r="J180" s="11">
        <f>4.2*I180/(10-0.058*I180)</f>
        <v>43.82022471910112</v>
      </c>
      <c r="K180" s="11">
        <f>25.4*(1000/J180-10)</f>
        <v>325.64102564102564</v>
      </c>
      <c r="L180" t="inlineStr">
        <is>
          <t>Cambissolos Háplicos</t>
        </is>
      </c>
      <c r="M180" s="11">
        <f>IFERROR(VLOOKUP(L180,Classes_K,2,FALSE),"")</f>
        <v>0.04749999940395355</v>
      </c>
      <c r="N180" t="inlineStr">
        <is>
          <t>Campo</t>
        </is>
      </c>
      <c r="O180" s="11">
        <f>IFERROR(VLOOKUP(N180,Classes_C,2,FALSE),"")</f>
        <v>0.05000000074505806</v>
      </c>
      <c r="P180" s="12">
        <v>0.8207675218582153</v>
      </c>
      <c r="Q180">
        <f>IF(COUNT(M180,O180,P180)=3,1,0)</f>
        <v>1</v>
      </c>
      <c r="R180" s="12">
        <f>IF(H180&lt;=p_lambda*K180,0,(H180-p_lambda*K180)^2/(H180+(1-p_lambda)*K180))</f>
        <v>10.051512929957223</v>
      </c>
      <c r="S180" s="13">
        <f>R180/1000*A_pixel*RI_mmh/R_evento_mm/3600</f>
        <v>0.00039937074177309707</v>
      </c>
      <c r="T180" s="13">
        <f>IF(Q180=1,coef_W*MAX(R180*S180*A_pixel,0)^exp_M*M180*O180*fator_P*P180,"")</f>
        <v>0.04715010055560725</v>
      </c>
      <c r="U180" s="13">
        <f>IF(Q180=1,c_pura*T180,"")</f>
        <v>0.005031187126786151</v>
      </c>
      <c r="V180" s="12">
        <f>IF(Q180=1,MIN(fator_f*R180,H180),"")</f>
        <v>12.312325138692868</v>
      </c>
      <c r="W180" s="13">
        <f>IF(Q180=1,V180/1000*A_pixel*RI_mmh/R_evento_mm/3600,"")</f>
        <v>0.0004891982388975795</v>
      </c>
      <c r="X180" s="13">
        <f>IF(Q180=1,coef_W*MAX(V180*W180*A_pixel,0)^exp_M*M180*O180*fator_P*P180,"")</f>
        <v>0.05917854730823528</v>
      </c>
      <c r="Y180" s="13">
        <f>IF(Q180=1,c_restr*X180,"")</f>
        <v>0.008188045634097698</v>
      </c>
    </row>
    <row r="181">
      <c r="A181">
        <v>180</v>
      </c>
      <c r="B181">
        <v>15</v>
      </c>
      <c r="C181">
        <v>128</v>
      </c>
      <c r="D181" s="9">
        <f>X0_canto+(C181+0.5)*dx_pix</f>
        <v>322500.2630456448</v>
      </c>
      <c r="E181" s="9">
        <f>Y0_canto-(B181+0.5)*dy_pix</f>
        <v>7434593.7540743835</v>
      </c>
      <c r="F181" s="10">
        <f>(D181-x_DBT5)^2+(E181-y_DBT5)^2</f>
        <v>743958449.4302844</v>
      </c>
      <c r="G181" s="10">
        <f>(D181-x_CLP)^2+(E181-y_CLP)^2</f>
        <v>12323315.26911556</v>
      </c>
      <c r="H181" s="11">
        <f>(P_DBT5/F181+P_CLP/G181)/(1/F181+1/G181)</f>
        <v>78.73602935864496</v>
      </c>
      <c r="I181" s="11">
        <v>77</v>
      </c>
      <c r="J181" s="11">
        <f>4.2*I181/(10-0.058*I181)</f>
        <v>58.438742320202394</v>
      </c>
      <c r="K181" s="11">
        <f>25.4*(1000/J181-10)</f>
        <v>180.64316635745197</v>
      </c>
      <c r="L181" t="inlineStr">
        <is>
          <t>Cambissolos Háplicos</t>
        </is>
      </c>
      <c r="M181" s="11">
        <f>IFERROR(VLOOKUP(L181,Classes_K,2,FALSE),"")</f>
        <v>0.04749999940395355</v>
      </c>
      <c r="N181" t="inlineStr">
        <is>
          <t>Campo</t>
        </is>
      </c>
      <c r="O181" s="11">
        <f>IFERROR(VLOOKUP(N181,Classes_C,2,FALSE),"")</f>
        <v>0.05000000074505806</v>
      </c>
      <c r="P181" s="12">
        <v>0.651813268661499</v>
      </c>
      <c r="Q181">
        <f>IF(COUNT(M181,O181,P181)=3,1,0)</f>
        <v>1</v>
      </c>
      <c r="R181" s="12">
        <f>IF(H181&lt;=p_lambda*K181,0,(H181-p_lambda*K181)^2/(H181+(1-p_lambda)*K181))</f>
        <v>19.40757793087063</v>
      </c>
      <c r="S181" s="13">
        <f>R181/1000*A_pixel*RI_mmh/R_evento_mm/3600</f>
        <v>0.0007711096675974708</v>
      </c>
      <c r="T181" s="13">
        <f>IF(Q181=1,coef_W*MAX(R181*S181*A_pixel,0)^exp_M*M181*O181*fator_P*P181,"")</f>
        <v>0.0782373890736996</v>
      </c>
      <c r="U181" s="13">
        <f>IF(Q181=1,c_pura*T181,"")</f>
        <v>0.008348379751104168</v>
      </c>
      <c r="V181" s="12">
        <f>IF(Q181=1,MIN(fator_f*R181,H181),"")</f>
        <v>23.772780406741845</v>
      </c>
      <c r="W181" s="13">
        <f>IF(Q181=1,V181/1000*A_pixel*RI_mmh/R_evento_mm/3600,"")</f>
        <v>0.0009445496425471786</v>
      </c>
      <c r="X181" s="13">
        <f>IF(Q181=1,coef_W*MAX(V181*W181*A_pixel,0)^exp_M*M181*O181*fator_P*P181,"")</f>
        <v>0.09819650384648283</v>
      </c>
      <c r="Y181" s="13">
        <f>IF(Q181=1,c_restr*X181,"")</f>
        <v>0.013586637238930022</v>
      </c>
    </row>
    <row r="182">
      <c r="A182">
        <v>181</v>
      </c>
      <c r="B182">
        <v>15</v>
      </c>
      <c r="C182">
        <v>129</v>
      </c>
      <c r="D182" s="9">
        <f>X0_canto+(C182+0.5)*dx_pix</f>
        <v>322530.2546210973</v>
      </c>
      <c r="E182" s="9">
        <f>Y0_canto-(B182+0.5)*dy_pix</f>
        <v>7434593.7540743835</v>
      </c>
      <c r="F182" s="10">
        <f>(D182-x_DBT5)^2+(E182-y_DBT5)^2</f>
        <v>742398552.1929291</v>
      </c>
      <c r="G182" s="10">
        <f>(D182-x_CLP)^2+(E182-y_CLP)^2</f>
        <v>12482443.901390988</v>
      </c>
      <c r="H182" s="11">
        <f>(P_DBT5/F182+P_CLP/G182)/(1/F182+1/G182)</f>
        <v>78.73212457327136</v>
      </c>
      <c r="I182" s="11">
        <v>77</v>
      </c>
      <c r="J182" s="11">
        <f>4.2*I182/(10-0.058*I182)</f>
        <v>58.438742320202394</v>
      </c>
      <c r="K182" s="11">
        <f>25.4*(1000/J182-10)</f>
        <v>180.64316635745197</v>
      </c>
      <c r="L182" t="inlineStr">
        <is>
          <t>Cambissolos Háplicos</t>
        </is>
      </c>
      <c r="M182" s="11">
        <f>IFERROR(VLOOKUP(L182,Classes_K,2,FALSE),"")</f>
        <v>0.04749999940395355</v>
      </c>
      <c r="N182" t="inlineStr">
        <is>
          <t>Área Urbanizada</t>
        </is>
      </c>
      <c r="O182" s="11">
        <f>IFERROR(VLOOKUP(N182,Classes_C,2,FALSE),"")</f>
        <v>0.0</v>
      </c>
      <c r="P182" s="12">
        <v>0.5438005924224854</v>
      </c>
      <c r="Q182">
        <f>IF(COUNT(M182,O182,P182)=3,1,0)</f>
        <v>1</v>
      </c>
      <c r="R182" s="12">
        <f>IF(H182&lt;=p_lambda*K182,0,(H182-p_lambda*K182)^2/(H182+(1-p_lambda)*K182))</f>
        <v>19.405706261240372</v>
      </c>
      <c r="S182" s="13">
        <f>R182/1000*A_pixel*RI_mmh/R_evento_mm/3600</f>
        <v>0.0007710353016692965</v>
      </c>
      <c r="T182" s="13">
        <f>IF(Q182=1,coef_W*MAX(R182*S182*A_pixel,0)^exp_M*M182*O182*fator_P*P182,"")</f>
        <v>0.0</v>
      </c>
      <c r="U182" s="13">
        <f>IF(Q182=1,c_pura*T182,"")</f>
        <v>0.0</v>
      </c>
      <c r="V182" s="12">
        <f>IF(Q182=1,MIN(fator_f*R182,H182),"")</f>
        <v>23.770487756351745</v>
      </c>
      <c r="W182" s="13">
        <f>IF(Q182=1,V182/1000*A_pixel*RI_mmh/R_evento_mm/3600,"")</f>
        <v>0.0009444585500426671</v>
      </c>
      <c r="X182" s="13">
        <f>IF(Q182=1,coef_W*MAX(V182*W182*A_pixel,0)^exp_M*M182*O182*fator_P*P182,"")</f>
        <v>0.0</v>
      </c>
      <c r="Y182" s="13">
        <f>IF(Q182=1,c_restr*X182,"")</f>
        <v>0.0</v>
      </c>
    </row>
    <row r="183">
      <c r="A183">
        <v>182</v>
      </c>
      <c r="B183">
        <v>15</v>
      </c>
      <c r="C183">
        <v>130</v>
      </c>
      <c r="D183" s="9">
        <f>X0_canto+(C183+0.5)*dx_pix</f>
        <v>322560.2461965498</v>
      </c>
      <c r="E183" s="9">
        <f>Y0_canto-(B183+0.5)*dy_pix</f>
        <v>7434593.7540743835</v>
      </c>
      <c r="F183" s="10">
        <f>(D183-x_DBT5)^2+(E183-y_DBT5)^2</f>
        <v>740840453.9447701</v>
      </c>
      <c r="G183" s="10">
        <f>(D183-x_CLP)^2+(E183-y_CLP)^2</f>
        <v>12643371.522862662</v>
      </c>
      <c r="H183" s="11">
        <f>(P_DBT5/F183+P_CLP/G183)/(1/F183+1/G183)</f>
        <v>78.7281678887636</v>
      </c>
      <c r="I183" s="11">
        <v>77</v>
      </c>
      <c r="J183" s="11">
        <f>4.2*I183/(10-0.058*I183)</f>
        <v>58.438742320202394</v>
      </c>
      <c r="K183" s="11">
        <f>25.4*(1000/J183-10)</f>
        <v>180.64316635745197</v>
      </c>
      <c r="L183" t="inlineStr">
        <is>
          <t>Cambissolos Háplicos</t>
        </is>
      </c>
      <c r="M183" s="11">
        <f>IFERROR(VLOOKUP(L183,Classes_K,2,FALSE),"")</f>
        <v>0.04749999940395355</v>
      </c>
      <c r="N183" t="inlineStr">
        <is>
          <t>Área Urbanizada</t>
        </is>
      </c>
      <c r="O183" s="11">
        <f>IFERROR(VLOOKUP(N183,Classes_C,2,FALSE),"")</f>
        <v>0.0</v>
      </c>
      <c r="P183" s="12">
        <v>0.4398105442523956</v>
      </c>
      <c r="Q183">
        <f>IF(COUNT(M183,O183,P183)=3,1,0)</f>
        <v>1</v>
      </c>
      <c r="R183" s="12">
        <f>IF(H183&lt;=p_lambda*K183,0,(H183-p_lambda*K183)^2/(H183+(1-p_lambda)*K183))</f>
        <v>19.403809779641318</v>
      </c>
      <c r="S183" s="13">
        <f>R183/1000*A_pixel*RI_mmh/R_evento_mm/3600</f>
        <v>0.0007709599499020302</v>
      </c>
      <c r="T183" s="13">
        <f>IF(Q183=1,coef_W*MAX(R183*S183*A_pixel,0)^exp_M*M183*O183*fator_P*P183,"")</f>
        <v>0.0</v>
      </c>
      <c r="U183" s="13">
        <f>IF(Q183=1,c_pura*T183,"")</f>
        <v>0.0</v>
      </c>
      <c r="V183" s="12">
        <f>IF(Q183=1,MIN(fator_f*R183,H183),"")</f>
        <v>23.768164713220845</v>
      </c>
      <c r="W183" s="13">
        <f>IF(Q183=1,V183/1000*A_pixel*RI_mmh/R_evento_mm/3600,"")</f>
        <v>0.0009443662499615923</v>
      </c>
      <c r="X183" s="13">
        <f>IF(Q183=1,coef_W*MAX(V183*W183*A_pixel,0)^exp_M*M183*O183*fator_P*P183,"")</f>
        <v>0.0</v>
      </c>
      <c r="Y183" s="13">
        <f>IF(Q183=1,c_restr*X183,"")</f>
        <v>0.0</v>
      </c>
    </row>
    <row r="184">
      <c r="A184">
        <v>183</v>
      </c>
      <c r="B184">
        <v>15</v>
      </c>
      <c r="C184">
        <v>131</v>
      </c>
      <c r="D184" s="9">
        <f>X0_canto+(C184+0.5)*dx_pix</f>
        <v>322590.23777200223</v>
      </c>
      <c r="E184" s="9">
        <f>Y0_canto-(B184+0.5)*dy_pix</f>
        <v>7434593.7540743835</v>
      </c>
      <c r="F184" s="10">
        <f>(D184-x_DBT5)^2+(E184-y_DBT5)^2</f>
        <v>739284154.6858103</v>
      </c>
      <c r="G184" s="10">
        <f>(D184-x_CLP)^2+(E184-y_CLP)^2</f>
        <v>12806098.133530263</v>
      </c>
      <c r="H184" s="11">
        <f>(P_DBT5/F184+P_CLP/G184)/(1/F184+1/G184)</f>
        <v>78.72415907266594</v>
      </c>
      <c r="I184" s="11">
        <v>85</v>
      </c>
      <c r="J184" s="11">
        <f>4.2*I184/(10-0.058*I184)</f>
        <v>70.41420118343196</v>
      </c>
      <c r="K184" s="11">
        <f>25.4*(1000/J184-10)</f>
        <v>106.72268907563023</v>
      </c>
      <c r="L184" t="inlineStr">
        <is>
          <t>Área Urbana</t>
        </is>
      </c>
      <c r="M184" s="11">
        <f>IFERROR(VLOOKUP(L184,Classes_K,2,FALSE),"")</f>
        <v>0.0</v>
      </c>
      <c r="N184" t="inlineStr">
        <is>
          <t>Área Urbanizada</t>
        </is>
      </c>
      <c r="O184" s="11">
        <f>IFERROR(VLOOKUP(N184,Classes_C,2,FALSE),"")</f>
        <v>0.0</v>
      </c>
      <c r="P184" s="12">
        <v>0.3397855162620544</v>
      </c>
      <c r="Q184">
        <f>IF(COUNT(M184,O184,P184)=3,1,0)</f>
        <v>1</v>
      </c>
      <c r="R184" s="12">
        <f>IF(H184&lt;=p_lambda*K184,0,(H184-p_lambda*K184)^2/(H184+(1-p_lambda)*K184))</f>
        <v>29.902730642647015</v>
      </c>
      <c r="S184" s="13">
        <f>R184/1000*A_pixel*RI_mmh/R_evento_mm/3600</f>
        <v>0.0011881072830541425</v>
      </c>
      <c r="T184" s="13">
        <f>IF(Q184=1,coef_W*MAX(R184*S184*A_pixel,0)^exp_M*M184*O184*fator_P*P184,"")</f>
        <v>0.0</v>
      </c>
      <c r="U184" s="13">
        <f>IF(Q184=1,c_pura*T184,"")</f>
        <v>0.0</v>
      </c>
      <c r="V184" s="12">
        <f>IF(Q184=1,MIN(fator_f*R184,H184),"")</f>
        <v>36.62852993102514</v>
      </c>
      <c r="W184" s="13">
        <f>IF(Q184=1,V184/1000*A_pixel*RI_mmh/R_evento_mm/3600,"")</f>
        <v>0.001455339437012877</v>
      </c>
      <c r="X184" s="13">
        <f>IF(Q184=1,coef_W*MAX(V184*W184*A_pixel,0)^exp_M*M184*O184*fator_P*P184,"")</f>
        <v>0.0</v>
      </c>
      <c r="Y184" s="13">
        <f>IF(Q184=1,c_restr*X184,"")</f>
        <v>0.0</v>
      </c>
    </row>
    <row r="185">
      <c r="A185">
        <v>184</v>
      </c>
      <c r="B185">
        <v>15</v>
      </c>
      <c r="C185">
        <v>132</v>
      </c>
      <c r="D185" s="9">
        <f>X0_canto+(C185+0.5)*dx_pix</f>
        <v>322620.22934745473</v>
      </c>
      <c r="E185" s="9">
        <f>Y0_canto-(B185+0.5)*dy_pix</f>
        <v>7434593.7540743835</v>
      </c>
      <c r="F185" s="10">
        <f>(D185-x_DBT5)^2+(E185-y_DBT5)^2</f>
        <v>737729654.4160438</v>
      </c>
      <c r="G185" s="10">
        <f>(D185-x_CLP)^2+(E185-y_CLP)^2</f>
        <v>12970623.733394425</v>
      </c>
      <c r="H185" s="11">
        <f>(P_DBT5/F185+P_CLP/G185)/(1/F185+1/G185)</f>
        <v>78.7200978922936</v>
      </c>
      <c r="I185" s="11">
        <v>85</v>
      </c>
      <c r="J185" s="11">
        <f>4.2*I185/(10-0.058*I185)</f>
        <v>70.41420118343196</v>
      </c>
      <c r="K185" s="11">
        <f>25.4*(1000/J185-10)</f>
        <v>106.72268907563023</v>
      </c>
      <c r="L185" t="inlineStr">
        <is>
          <t>Área Urbana</t>
        </is>
      </c>
      <c r="M185" s="11">
        <f>IFERROR(VLOOKUP(L185,Classes_K,2,FALSE),"")</f>
        <v>0.0</v>
      </c>
      <c r="N185" t="inlineStr">
        <is>
          <t>Área Urbanizada</t>
        </is>
      </c>
      <c r="O185" s="11">
        <f>IFERROR(VLOOKUP(N185,Classes_C,2,FALSE),"")</f>
        <v>0.0</v>
      </c>
      <c r="P185" s="12">
        <v>0.2846293151378632</v>
      </c>
      <c r="Q185">
        <f>IF(COUNT(M185,O185,P185)=3,1,0)</f>
        <v>1</v>
      </c>
      <c r="R185" s="12">
        <f>IF(H185&lt;=p_lambda*K185,0,(H185-p_lambda*K185)^2/(H185+(1-p_lambda)*K185))</f>
        <v>29.900095386659977</v>
      </c>
      <c r="S185" s="13">
        <f>R185/1000*A_pixel*RI_mmh/R_evento_mm/3600</f>
        <v>0.0011880025780066895</v>
      </c>
      <c r="T185" s="13">
        <f>IF(Q185=1,coef_W*MAX(R185*S185*A_pixel,0)^exp_M*M185*O185*fator_P*P185,"")</f>
        <v>0.0</v>
      </c>
      <c r="U185" s="13">
        <f>IF(Q185=1,c_pura*T185,"")</f>
        <v>0.0</v>
      </c>
      <c r="V185" s="12">
        <f>IF(Q185=1,MIN(fator_f*R185,H185),"")</f>
        <v>36.62530194646579</v>
      </c>
      <c r="W185" s="13">
        <f>IF(Q185=1,V185/1000*A_pixel*RI_mmh/R_evento_mm/3600,"")</f>
        <v>0.0014552111814361412</v>
      </c>
      <c r="X185" s="13">
        <f>IF(Q185=1,coef_W*MAX(V185*W185*A_pixel,0)^exp_M*M185*O185*fator_P*P185,"")</f>
        <v>0.0</v>
      </c>
      <c r="Y185" s="13">
        <f>IF(Q185=1,c_restr*X185,"")</f>
        <v>0.0</v>
      </c>
    </row>
    <row r="186">
      <c r="A186">
        <v>185</v>
      </c>
      <c r="B186">
        <v>15</v>
      </c>
      <c r="C186">
        <v>133</v>
      </c>
      <c r="D186" s="9">
        <f>X0_canto+(C186+0.5)*dx_pix</f>
        <v>322650.22092290723</v>
      </c>
      <c r="E186" s="9">
        <f>Y0_canto-(B186+0.5)*dy_pix</f>
        <v>7434593.7540743835</v>
      </c>
      <c r="F186" s="10">
        <f>(D186-x_DBT5)^2+(E186-y_DBT5)^2</f>
        <v>736176953.1354735</v>
      </c>
      <c r="G186" s="10">
        <f>(D186-x_CLP)^2+(E186-y_CLP)^2</f>
        <v>13136948.322454832</v>
      </c>
      <c r="H186" s="11">
        <f>(P_DBT5/F186+P_CLP/G186)/(1/F186+1/G186)</f>
        <v>78.71598411474156</v>
      </c>
      <c r="I186" s="11">
        <v>85</v>
      </c>
      <c r="J186" s="11">
        <f>4.2*I186/(10-0.058*I186)</f>
        <v>70.41420118343196</v>
      </c>
      <c r="K186" s="11">
        <f>25.4*(1000/J186-10)</f>
        <v>106.72268907563023</v>
      </c>
      <c r="L186" t="inlineStr">
        <is>
          <t>Área Urbana</t>
        </is>
      </c>
      <c r="M186" s="11">
        <f>IFERROR(VLOOKUP(L186,Classes_K,2,FALSE),"")</f>
        <v>0.0</v>
      </c>
      <c r="N186" t="inlineStr">
        <is>
          <t>Área Urbanizada</t>
        </is>
      </c>
      <c r="O186" s="11">
        <f>IFERROR(VLOOKUP(N186,Classes_C,2,FALSE),"")</f>
        <v>0.0</v>
      </c>
      <c r="P186" s="12">
        <v>0.2979820370674133</v>
      </c>
      <c r="Q186">
        <f>IF(COUNT(M186,O186,P186)=3,1,0)</f>
        <v>1</v>
      </c>
      <c r="R186" s="12">
        <f>IF(H186&lt;=p_lambda*K186,0,(H186-p_lambda*K186)^2/(H186+(1-p_lambda)*K186))</f>
        <v>29.897426066494106</v>
      </c>
      <c r="S186" s="13">
        <f>R186/1000*A_pixel*RI_mmh/R_evento_mm/3600</f>
        <v>0.0011878965195076254</v>
      </c>
      <c r="T186" s="13">
        <f>IF(Q186=1,coef_W*MAX(R186*S186*A_pixel,0)^exp_M*M186*O186*fator_P*P186,"")</f>
        <v>0.0</v>
      </c>
      <c r="U186" s="13">
        <f>IF(Q186=1,c_pura*T186,"")</f>
        <v>0.0</v>
      </c>
      <c r="V186" s="12">
        <f>IF(Q186=1,MIN(fator_f*R186,H186),"")</f>
        <v>36.62203223592465</v>
      </c>
      <c r="W186" s="13">
        <f>IF(Q186=1,V186/1000*A_pixel*RI_mmh/R_evento_mm/3600,"")</f>
        <v>0.0014550812679859672</v>
      </c>
      <c r="X186" s="13">
        <f>IF(Q186=1,coef_W*MAX(V186*W186*A_pixel,0)^exp_M*M186*O186*fator_P*P186,"")</f>
        <v>0.0</v>
      </c>
      <c r="Y186" s="13">
        <f>IF(Q186=1,c_restr*X186,"")</f>
        <v>0.0</v>
      </c>
    </row>
    <row r="187">
      <c r="A187">
        <v>186</v>
      </c>
      <c r="B187">
        <v>15</v>
      </c>
      <c r="C187">
        <v>134</v>
      </c>
      <c r="D187" s="9">
        <f>X0_canto+(C187+0.5)*dx_pix</f>
        <v>322680.21249835973</v>
      </c>
      <c r="E187" s="9">
        <f>Y0_canto-(B187+0.5)*dy_pix</f>
        <v>7434593.7540743835</v>
      </c>
      <c r="F187" s="10">
        <f>(D187-x_DBT5)^2+(E187-y_DBT5)^2</f>
        <v>734626050.8440994</v>
      </c>
      <c r="G187" s="10">
        <f>(D187-x_CLP)^2+(E187-y_CLP)^2</f>
        <v>13305071.900711488</v>
      </c>
      <c r="H187" s="11">
        <f>(P_DBT5/F187+P_CLP/G187)/(1/F187+1/G187)</f>
        <v>78.71181750689394</v>
      </c>
      <c r="I187" s="11">
        <v>85</v>
      </c>
      <c r="J187" s="11">
        <f>4.2*I187/(10-0.058*I187)</f>
        <v>70.41420118343196</v>
      </c>
      <c r="K187" s="11">
        <f>25.4*(1000/J187-10)</f>
        <v>106.72268907563023</v>
      </c>
      <c r="L187" t="inlineStr">
        <is>
          <t>Área Urbana</t>
        </is>
      </c>
      <c r="M187" s="11">
        <f>IFERROR(VLOOKUP(L187,Classes_K,2,FALSE),"")</f>
        <v>0.0</v>
      </c>
      <c r="N187" t="inlineStr">
        <is>
          <t>Área Urbanizada</t>
        </is>
      </c>
      <c r="O187" s="11">
        <f>IFERROR(VLOOKUP(N187,Classes_C,2,FALSE),"")</f>
        <v>0.0</v>
      </c>
      <c r="P187" s="12">
        <v>0.2321635484695435</v>
      </c>
      <c r="Q187">
        <f>IF(COUNT(M187,O187,P187)=3,1,0)</f>
        <v>1</v>
      </c>
      <c r="R187" s="12">
        <f>IF(H187&lt;=p_lambda*K187,0,(H187-p_lambda*K187)^2/(H187+(1-p_lambda)*K187))</f>
        <v>29.894722533427917</v>
      </c>
      <c r="S187" s="13">
        <f>R187/1000*A_pixel*RI_mmh/R_evento_mm/3600</f>
        <v>0.0011877891016478887</v>
      </c>
      <c r="T187" s="13">
        <f>IF(Q187=1,coef_W*MAX(R187*S187*A_pixel,0)^exp_M*M187*O187*fator_P*P187,"")</f>
        <v>0.0</v>
      </c>
      <c r="U187" s="13">
        <f>IF(Q187=1,c_pura*T187,"")</f>
        <v>0.0</v>
      </c>
      <c r="V187" s="12">
        <f>IF(Q187=1,MIN(fator_f*R187,H187),"")</f>
        <v>36.61872061722942</v>
      </c>
      <c r="W187" s="13">
        <f>IF(Q187=1,V187/1000*A_pixel*RI_mmh/R_evento_mm/3600,"")</f>
        <v>0.0014549496894242125</v>
      </c>
      <c r="X187" s="13">
        <f>IF(Q187=1,coef_W*MAX(V187*W187*A_pixel,0)^exp_M*M187*O187*fator_P*P187,"")</f>
        <v>0.0</v>
      </c>
      <c r="Y187" s="13">
        <f>IF(Q187=1,c_restr*X187,"")</f>
        <v>0.0</v>
      </c>
    </row>
    <row r="188">
      <c r="A188">
        <v>187</v>
      </c>
      <c r="B188">
        <v>15</v>
      </c>
      <c r="C188">
        <v>135</v>
      </c>
      <c r="D188" s="9">
        <f>X0_canto+(C188+0.5)*dx_pix</f>
        <v>322710.20407381223</v>
      </c>
      <c r="E188" s="9">
        <f>Y0_canto-(B188+0.5)*dy_pix</f>
        <v>7434593.7540743835</v>
      </c>
      <c r="F188" s="10">
        <f>(D188-x_DBT5)^2+(E188-y_DBT5)^2</f>
        <v>733076947.5419216</v>
      </c>
      <c r="G188" s="10">
        <f>(D188-x_CLP)^2+(E188-y_CLP)^2</f>
        <v>13474994.468164388</v>
      </c>
      <c r="H188" s="11">
        <f>(P_DBT5/F188+P_CLP/G188)/(1/F188+1/G188)</f>
        <v>78.70759783543308</v>
      </c>
      <c r="I188" s="11">
        <v>85</v>
      </c>
      <c r="J188" s="11">
        <f>4.2*I188/(10-0.058*I188)</f>
        <v>70.41420118343196</v>
      </c>
      <c r="K188" s="11">
        <f>25.4*(1000/J188-10)</f>
        <v>106.72268907563023</v>
      </c>
      <c r="L188" t="inlineStr">
        <is>
          <t>Área Urbana</t>
        </is>
      </c>
      <c r="M188" s="11">
        <f>IFERROR(VLOOKUP(L188,Classes_K,2,FALSE),"")</f>
        <v>0.0</v>
      </c>
      <c r="N188" t="inlineStr">
        <is>
          <t>Área Urbanizada</t>
        </is>
      </c>
      <c r="O188" s="11">
        <f>IFERROR(VLOOKUP(N188,Classes_C,2,FALSE),"")</f>
        <v>0.0</v>
      </c>
      <c r="P188" s="12">
        <v>0.2544576525688171</v>
      </c>
      <c r="Q188">
        <f>IF(COUNT(M188,O188,P188)=3,1,0)</f>
        <v>1</v>
      </c>
      <c r="R188" s="12">
        <f>IF(H188&lt;=p_lambda*K188,0,(H188-p_lambda*K188)^2/(H188+(1-p_lambda)*K188))</f>
        <v>29.8919846386571</v>
      </c>
      <c r="S188" s="13">
        <f>R188/1000*A_pixel*RI_mmh/R_evento_mm/3600</f>
        <v>0.0011876803185151268</v>
      </c>
      <c r="T188" s="13">
        <f>IF(Q188=1,coef_W*MAX(R188*S188*A_pixel,0)^exp_M*M188*O188*fator_P*P188,"")</f>
        <v>0.0</v>
      </c>
      <c r="U188" s="13">
        <f>IF(Q188=1,c_pura*T188,"")</f>
        <v>0.0</v>
      </c>
      <c r="V188" s="12">
        <f>IF(Q188=1,MIN(fator_f*R188,H188),"")</f>
        <v>36.61536690810636</v>
      </c>
      <c r="W188" s="13">
        <f>IF(Q188=1,V188/1000*A_pixel*RI_mmh/R_evento_mm/3600,"")</f>
        <v>0.0014548164385087034</v>
      </c>
      <c r="X188" s="13">
        <f>IF(Q188=1,coef_W*MAX(V188*W188*A_pixel,0)^exp_M*M188*O188*fator_P*P188,"")</f>
        <v>0.0</v>
      </c>
      <c r="Y188" s="13">
        <f>IF(Q188=1,c_restr*X188,"")</f>
        <v>0.0</v>
      </c>
    </row>
    <row r="189">
      <c r="A189">
        <v>188</v>
      </c>
      <c r="B189">
        <v>15</v>
      </c>
      <c r="C189">
        <v>136</v>
      </c>
      <c r="D189" s="9">
        <f>X0_canto+(C189+0.5)*dx_pix</f>
        <v>322740.19564926473</v>
      </c>
      <c r="E189" s="9">
        <f>Y0_canto-(B189+0.5)*dy_pix</f>
        <v>7434593.7540743835</v>
      </c>
      <c r="F189" s="10">
        <f>(D189-x_DBT5)^2+(E189-y_DBT5)^2</f>
        <v>731529643.2289401</v>
      </c>
      <c r="G189" s="10">
        <f>(D189-x_CLP)^2+(E189-y_CLP)^2</f>
        <v>13646716.024813533</v>
      </c>
      <c r="H189" s="11">
        <f>(P_DBT5/F189+P_CLP/G189)/(1/F189+1/G189)</f>
        <v>78.70332486684907</v>
      </c>
      <c r="I189" s="11">
        <v>85</v>
      </c>
      <c r="J189" s="11">
        <f>4.2*I189/(10-0.058*I189)</f>
        <v>70.41420118343196</v>
      </c>
      <c r="K189" s="11">
        <f>25.4*(1000/J189-10)</f>
        <v>106.72268907563023</v>
      </c>
      <c r="L189" t="inlineStr">
        <is>
          <t>Área Urbana</t>
        </is>
      </c>
      <c r="M189" s="11">
        <f>IFERROR(VLOOKUP(L189,Classes_K,2,FALSE),"")</f>
        <v>0.0</v>
      </c>
      <c r="N189" t="inlineStr">
        <is>
          <t>Área Urbanizada</t>
        </is>
      </c>
      <c r="O189" s="11">
        <f>IFERROR(VLOOKUP(N189,Classes_C,2,FALSE),"")</f>
        <v>0.0</v>
      </c>
      <c r="P189" s="12">
        <v>0.3367251753807068</v>
      </c>
      <c r="Q189">
        <f>IF(COUNT(M189,O189,P189)=3,1,0)</f>
        <v>1</v>
      </c>
      <c r="R189" s="12">
        <f>IF(H189&lt;=p_lambda*K189,0,(H189-p_lambda*K189)^2/(H189+(1-p_lambda)*K189))</f>
        <v>29.889212233301134</v>
      </c>
      <c r="S189" s="13">
        <f>R189/1000*A_pixel*RI_mmh/R_evento_mm/3600</f>
        <v>0.0011875701641939592</v>
      </c>
      <c r="T189" s="13">
        <f>IF(Q189=1,coef_W*MAX(R189*S189*A_pixel,0)^exp_M*M189*O189*fator_P*P189,"")</f>
        <v>0.0</v>
      </c>
      <c r="U189" s="13">
        <f>IF(Q189=1,c_pura*T189,"")</f>
        <v>0.0</v>
      </c>
      <c r="V189" s="12">
        <f>IF(Q189=1,MIN(fator_f*R189,H189),"")</f>
        <v>36.611970926188334</v>
      </c>
      <c r="W189" s="13">
        <f>IF(Q189=1,V189/1000*A_pixel*RI_mmh/R_evento_mm/3600,"")</f>
        <v>0.001454681507993556</v>
      </c>
      <c r="X189" s="13">
        <f>IF(Q189=1,coef_W*MAX(V189*W189*A_pixel,0)^exp_M*M189*O189*fator_P*P189,"")</f>
        <v>0.0</v>
      </c>
      <c r="Y189" s="13">
        <f>IF(Q189=1,c_restr*X189,"")</f>
        <v>0.0</v>
      </c>
    </row>
    <row r="190">
      <c r="A190">
        <v>189</v>
      </c>
      <c r="B190">
        <v>15</v>
      </c>
      <c r="C190">
        <v>137</v>
      </c>
      <c r="D190" s="9">
        <f>X0_canto+(C190+0.5)*dx_pix</f>
        <v>322770.18722471717</v>
      </c>
      <c r="E190" s="9">
        <f>Y0_canto-(B190+0.5)*dy_pix</f>
        <v>7434593.7540743835</v>
      </c>
      <c r="F190" s="10">
        <f>(D190-x_DBT5)^2+(E190-y_DBT5)^2</f>
        <v>729984137.9051578</v>
      </c>
      <c r="G190" s="10">
        <f>(D190-x_CLP)^2+(E190-y_CLP)^2</f>
        <v>13820236.570658585</v>
      </c>
      <c r="H190" s="11">
        <f>(P_DBT5/F190+P_CLP/G190)/(1/F190+1/G190)</f>
        <v>78.69899836744914</v>
      </c>
      <c r="I190" s="11">
        <v>85</v>
      </c>
      <c r="J190" s="11">
        <f>4.2*I190/(10-0.058*I190)</f>
        <v>70.41420118343196</v>
      </c>
      <c r="K190" s="11">
        <f>25.4*(1000/J190-10)</f>
        <v>106.72268907563023</v>
      </c>
      <c r="L190" t="inlineStr">
        <is>
          <t>Cambissolos Háplicos</t>
        </is>
      </c>
      <c r="M190" s="11">
        <f>IFERROR(VLOOKUP(L190,Classes_K,2,FALSE),"")</f>
        <v>0.04749999940395355</v>
      </c>
      <c r="N190" t="inlineStr">
        <is>
          <t>Campo</t>
        </is>
      </c>
      <c r="O190" s="11">
        <f>IFERROR(VLOOKUP(N190,Classes_C,2,FALSE),"")</f>
        <v>0.05000000074505806</v>
      </c>
      <c r="P190" s="12">
        <v>0.4119442701339722</v>
      </c>
      <c r="Q190">
        <f>IF(COUNT(M190,O190,P190)=3,1,0)</f>
        <v>1</v>
      </c>
      <c r="R190" s="12">
        <f>IF(H190&lt;=p_lambda*K190,0,(H190-p_lambda*K190)^2/(H190+(1-p_lambda)*K190))</f>
        <v>29.88640516840995</v>
      </c>
      <c r="S190" s="13">
        <f>R190/1000*A_pixel*RI_mmh/R_evento_mm/3600</f>
        <v>0.001187458632766242</v>
      </c>
      <c r="T190" s="13">
        <f>IF(Q190=1,coef_W*MAX(R190*S190*A_pixel,0)^exp_M*M190*O190*fator_P*P190,"")</f>
        <v>0.08019222073529761</v>
      </c>
      <c r="U190" s="13">
        <f>IF(Q190=1,c_pura*T190,"")</f>
        <v>0.008556971541470906</v>
      </c>
      <c r="V190" s="12">
        <f>IF(Q190=1,MIN(fator_f*R190,H190),"")</f>
        <v>36.608532489023055</v>
      </c>
      <c r="W190" s="13">
        <f>IF(Q190=1,V190/1000*A_pixel*RI_mmh/R_evento_mm/3600,"")</f>
        <v>0.0014545448906295028</v>
      </c>
      <c r="X190" s="13">
        <f>IF(Q190=1,coef_W*MAX(V190*W190*A_pixel,0)^exp_M*M190*O190*fator_P*P190,"")</f>
        <v>0.10065003197478618</v>
      </c>
      <c r="Y190" s="13">
        <f>IF(Q190=1,c_restr*X190,"")</f>
        <v>0.013926111612548087</v>
      </c>
    </row>
    <row r="191">
      <c r="A191">
        <v>190</v>
      </c>
      <c r="B191">
        <v>15</v>
      </c>
      <c r="C191">
        <v>138</v>
      </c>
      <c r="D191" s="9">
        <f>X0_canto+(C191+0.5)*dx_pix</f>
        <v>322800.17880016967</v>
      </c>
      <c r="E191" s="9">
        <f>Y0_canto-(B191+0.5)*dy_pix</f>
        <v>7434593.7540743835</v>
      </c>
      <c r="F191" s="10">
        <f>(D191-x_DBT5)^2+(E191-y_DBT5)^2</f>
        <v>728440431.5705687</v>
      </c>
      <c r="G191" s="10">
        <f>(D191-x_CLP)^2+(E191-y_CLP)^2</f>
        <v>13995556.105700219</v>
      </c>
      <c r="H191" s="11">
        <f>(P_DBT5/F191+P_CLP/G191)/(1/F191+1/G191)</f>
        <v>78.69461810336749</v>
      </c>
      <c r="I191" s="11">
        <v>77</v>
      </c>
      <c r="J191" s="11">
        <f>4.2*I191/(10-0.058*I191)</f>
        <v>58.438742320202394</v>
      </c>
      <c r="K191" s="11">
        <f>25.4*(1000/J191-10)</f>
        <v>180.64316635745197</v>
      </c>
      <c r="L191" t="inlineStr">
        <is>
          <t>Cambissolos Háplicos</t>
        </is>
      </c>
      <c r="M191" s="11">
        <f>IFERROR(VLOOKUP(L191,Classes_K,2,FALSE),"")</f>
        <v>0.04749999940395355</v>
      </c>
      <c r="N191" t="inlineStr">
        <is>
          <t>Campo</t>
        </is>
      </c>
      <c r="O191" s="11">
        <f>IFERROR(VLOOKUP(N191,Classes_C,2,FALSE),"")</f>
        <v>0.05000000074505806</v>
      </c>
      <c r="P191" s="12">
        <v>0.4699216187000275</v>
      </c>
      <c r="Q191">
        <f>IF(COUNT(M191,O191,P191)=3,1,0)</f>
        <v>1</v>
      </c>
      <c r="R191" s="12">
        <f>IF(H191&lt;=p_lambda*K191,0,(H191-p_lambda*K191)^2/(H191+(1-p_lambda)*K191))</f>
        <v>19.387731622917165</v>
      </c>
      <c r="S191" s="13">
        <f>R191/1000*A_pixel*RI_mmh/R_evento_mm/3600</f>
        <v>0.0007703211261327116</v>
      </c>
      <c r="T191" s="13">
        <f>IF(Q191=1,coef_W*MAX(R191*S191*A_pixel,0)^exp_M*M191*O191*fator_P*P191,"")</f>
        <v>0.05634026908347658</v>
      </c>
      <c r="U191" s="13">
        <f>IF(Q191=1,c_pura*T191,"")</f>
        <v>0.0060118310076169145</v>
      </c>
      <c r="V191" s="12">
        <f>IF(Q191=1,MIN(fator_f*R191,H191),"")</f>
        <v>23.748470216024444</v>
      </c>
      <c r="W191" s="13">
        <f>IF(Q191=1,V191/1000*A_pixel*RI_mmh/R_evento_mm/3600,"")</f>
        <v>0.0009435837403026999</v>
      </c>
      <c r="X191" s="13">
        <f>IF(Q191=1,coef_W*MAX(V191*W191*A_pixel,0)^exp_M*M191*O191*fator_P*P191,"")</f>
        <v>0.0707132167275668</v>
      </c>
      <c r="Y191" s="13">
        <f>IF(Q191=1,c_restr*X191,"")</f>
        <v>0.009784002342662837</v>
      </c>
    </row>
    <row r="192">
      <c r="A192">
        <v>191</v>
      </c>
      <c r="B192">
        <v>15</v>
      </c>
      <c r="C192">
        <v>139</v>
      </c>
      <c r="D192" s="9">
        <f>X0_canto+(C192+0.5)*dx_pix</f>
        <v>322830.17037562217</v>
      </c>
      <c r="E192" s="9">
        <f>Y0_canto-(B192+0.5)*dy_pix</f>
        <v>7434593.7540743835</v>
      </c>
      <c r="F192" s="10">
        <f>(D192-x_DBT5)^2+(E192-y_DBT5)^2</f>
        <v>726898524.2251759</v>
      </c>
      <c r="G192" s="10">
        <f>(D192-x_CLP)^2+(E192-y_CLP)^2</f>
        <v>14172674.6299381</v>
      </c>
      <c r="H192" s="11">
        <f>(P_DBT5/F192+P_CLP/G192)/(1/F192+1/G192)</f>
        <v>78.69018384057478</v>
      </c>
      <c r="I192" s="11">
        <v>77</v>
      </c>
      <c r="J192" s="11">
        <f>4.2*I192/(10-0.058*I192)</f>
        <v>58.438742320202394</v>
      </c>
      <c r="K192" s="11">
        <f>25.4*(1000/J192-10)</f>
        <v>180.64316635745197</v>
      </c>
      <c r="L192" t="inlineStr">
        <is>
          <t>Cambissolos Háplicos</t>
        </is>
      </c>
      <c r="M192" s="11">
        <f>IFERROR(VLOOKUP(L192,Classes_K,2,FALSE),"")</f>
        <v>0.04749999940395355</v>
      </c>
      <c r="N192" t="inlineStr">
        <is>
          <t>Campo</t>
        </is>
      </c>
      <c r="O192" s="11">
        <f>IFERROR(VLOOKUP(N192,Classes_C,2,FALSE),"")</f>
        <v>0.05000000074505806</v>
      </c>
      <c r="P192" s="12">
        <v>0.5555462241172791</v>
      </c>
      <c r="Q192">
        <f>IF(COUNT(M192,O192,P192)=3,1,0)</f>
        <v>1</v>
      </c>
      <c r="R192" s="12">
        <f>IF(H192&lt;=p_lambda*K192,0,(H192-p_lambda*K192)^2/(H192+(1-p_lambda)*K192))</f>
        <v>19.385606929289864</v>
      </c>
      <c r="S192" s="13">
        <f>R192/1000*A_pixel*RI_mmh/R_evento_mm/3600</f>
        <v>0.0007702367069536399</v>
      </c>
      <c r="T192" s="13">
        <f>IF(Q192=1,coef_W*MAX(R192*S192*A_pixel,0)^exp_M*M192*O192*fator_P*P192,"")</f>
        <v>0.06659787676997041</v>
      </c>
      <c r="U192" s="13">
        <f>IF(Q192=1,c_pura*T192,"")</f>
        <v>0.007106376790887212</v>
      </c>
      <c r="V192" s="12">
        <f>IF(Q192=1,MIN(fator_f*R192,H192),"")</f>
        <v>23.745867630827394</v>
      </c>
      <c r="W192" s="13">
        <f>IF(Q192=1,V192/1000*A_pixel*RI_mmh/R_evento_mm/3600,"")</f>
        <v>0.0009434803333441738</v>
      </c>
      <c r="X192" s="13">
        <f>IF(Q192=1,coef_W*MAX(V192*W192*A_pixel,0)^exp_M*M192*O192*fator_P*P192,"")</f>
        <v>0.08358763936063374</v>
      </c>
      <c r="Y192" s="13">
        <f>IF(Q192=1,c_restr*X192,"")</f>
        <v>0.011565329611193855</v>
      </c>
    </row>
    <row r="193">
      <c r="A193">
        <v>192</v>
      </c>
      <c r="B193">
        <v>15</v>
      </c>
      <c r="C193">
        <v>140</v>
      </c>
      <c r="D193" s="9">
        <f>X0_canto+(C193+0.5)*dx_pix</f>
        <v>322860.16195107467</v>
      </c>
      <c r="E193" s="9">
        <f>Y0_canto-(B193+0.5)*dy_pix</f>
        <v>7434593.7540743835</v>
      </c>
      <c r="F193" s="10">
        <f>(D193-x_DBT5)^2+(E193-y_DBT5)^2</f>
        <v>725358415.8689793</v>
      </c>
      <c r="G193" s="10">
        <f>(D193-x_CLP)^2+(E193-y_CLP)^2</f>
        <v>14351592.143372225</v>
      </c>
      <c r="H193" s="11">
        <f>(P_DBT5/F193+P_CLP/G193)/(1/F193+1/G193)</f>
        <v>78.68569534488825</v>
      </c>
      <c r="I193" s="11">
        <v>77</v>
      </c>
      <c r="J193" s="11">
        <f>4.2*I193/(10-0.058*I193)</f>
        <v>58.438742320202394</v>
      </c>
      <c r="K193" s="11">
        <f>25.4*(1000/J193-10)</f>
        <v>180.64316635745197</v>
      </c>
      <c r="L193" t="inlineStr">
        <is>
          <t>Cambissolos Háplicos</t>
        </is>
      </c>
      <c r="M193" s="11">
        <f>IFERROR(VLOOKUP(L193,Classes_K,2,FALSE),"")</f>
        <v>0.04749999940395355</v>
      </c>
      <c r="N193" t="inlineStr">
        <is>
          <t>Campo</t>
        </is>
      </c>
      <c r="O193" s="11">
        <f>IFERROR(VLOOKUP(N193,Classes_C,2,FALSE),"")</f>
        <v>0.05000000074505806</v>
      </c>
      <c r="P193" s="12">
        <v>0.9087268710136414</v>
      </c>
      <c r="Q193">
        <f>IF(COUNT(M193,O193,P193)=3,1,0)</f>
        <v>1</v>
      </c>
      <c r="R193" s="12">
        <f>IF(H193&lt;=p_lambda*K193,0,(H193-p_lambda*K193)^2/(H193+(1-p_lambda)*K193))</f>
        <v>19.383456333108505</v>
      </c>
      <c r="S193" s="13">
        <f>R193/1000*A_pixel*RI_mmh/R_evento_mm/3600</f>
        <v>0.0007701512586039051</v>
      </c>
      <c r="T193" s="13">
        <f>IF(Q193=1,coef_W*MAX(R193*S193*A_pixel,0)^exp_M*M193*O193*fator_P*P193,"")</f>
        <v>0.1089229987658413</v>
      </c>
      <c r="U193" s="13">
        <f>IF(Q193=1,c_pura*T193,"")</f>
        <v>0.011622710932616943</v>
      </c>
      <c r="V193" s="12">
        <f>IF(Q193=1,MIN(fator_f*R193,H193),"")</f>
        <v>23.743233317007036</v>
      </c>
      <c r="W193" s="13">
        <f>IF(Q193=1,V193/1000*A_pixel*RI_mmh/R_evento_mm/3600,"")</f>
        <v>0.0009433756657312649</v>
      </c>
      <c r="X193" s="13">
        <f>IF(Q193=1,coef_W*MAX(V193*W193*A_pixel,0)^exp_M*M193*O193*fator_P*P193,"")</f>
        <v>0.1367103094046874</v>
      </c>
      <c r="Y193" s="13">
        <f>IF(Q193=1,c_restr*X193,"")</f>
        <v>0.018915473646670976</v>
      </c>
    </row>
    <row r="194">
      <c r="A194">
        <v>193</v>
      </c>
      <c r="B194">
        <v>15</v>
      </c>
      <c r="C194">
        <v>141</v>
      </c>
      <c r="D194" s="9">
        <f>X0_canto+(C194+0.5)*dx_pix</f>
        <v>322890.15352652717</v>
      </c>
      <c r="E194" s="9">
        <f>Y0_canto-(B194+0.5)*dy_pix</f>
        <v>7434593.7540743835</v>
      </c>
      <c r="F194" s="10">
        <f>(D194-x_DBT5)^2+(E194-y_DBT5)^2</f>
        <v>723820106.501979</v>
      </c>
      <c r="G194" s="10">
        <f>(D194-x_CLP)^2+(E194-y_CLP)^2</f>
        <v>14532308.646002596</v>
      </c>
      <c r="H194" s="11">
        <f>(P_DBT5/F194+P_CLP/G194)/(1/F194+1/G194)</f>
        <v>78.68115238198155</v>
      </c>
      <c r="I194" s="11">
        <v>65</v>
      </c>
      <c r="J194" s="11">
        <f>4.2*I194/(10-0.058*I194)</f>
        <v>43.82022471910112</v>
      </c>
      <c r="K194" s="11">
        <f>25.4*(1000/J194-10)</f>
        <v>325.64102564102564</v>
      </c>
      <c r="L194" t="inlineStr">
        <is>
          <t>Cambissolos Háplicos</t>
        </is>
      </c>
      <c r="M194" s="11">
        <f>IFERROR(VLOOKUP(L194,Classes_K,2,FALSE),"")</f>
        <v>0.04749999940395355</v>
      </c>
      <c r="N194" t="inlineStr">
        <is>
          <t>Campo</t>
        </is>
      </c>
      <c r="O194" s="11">
        <f>IFERROR(VLOOKUP(N194,Classes_C,2,FALSE),"")</f>
        <v>0.05000000074505806</v>
      </c>
      <c r="P194" s="12">
        <v>1.149118423461914</v>
      </c>
      <c r="Q194">
        <f>IF(COUNT(M194,O194,P194)=3,1,0)</f>
        <v>1</v>
      </c>
      <c r="R194" s="12">
        <f>IF(H194&lt;=p_lambda*K194,0,(H194-p_lambda*K194)^2/(H194+(1-p_lambda)*K194))</f>
        <v>10.034137064073795</v>
      </c>
      <c r="S194" s="13">
        <f>R194/1000*A_pixel*RI_mmh/R_evento_mm/3600</f>
        <v>0.00039868035690316056</v>
      </c>
      <c r="T194" s="13">
        <f>IF(Q194=1,coef_W*MAX(R194*S194*A_pixel,0)^exp_M*M194*O194*fator_P*P194,"")</f>
        <v>0.06588486686301571</v>
      </c>
      <c r="U194" s="13">
        <f>IF(Q194=1,c_pura*T194,"")</f>
        <v>0.0070302945297070745</v>
      </c>
      <c r="V194" s="12">
        <f>IF(Q194=1,MIN(fator_f*R194,H194),"")</f>
        <v>12.291041048246596</v>
      </c>
      <c r="W194" s="13">
        <f>IF(Q194=1,V194/1000*A_pixel*RI_mmh/R_evento_mm/3600,"")</f>
        <v>0.0004883525708823536</v>
      </c>
      <c r="X194" s="13">
        <f>IF(Q194=1,coef_W*MAX(V194*W194*A_pixel,0)^exp_M*M194*O194*fator_P*P194,"")</f>
        <v>0.08269273372919834</v>
      </c>
      <c r="Y194" s="13">
        <f>IF(Q194=1,c_restr*X194,"")</f>
        <v>0.011441508928164276</v>
      </c>
    </row>
    <row r="195">
      <c r="A195">
        <v>194</v>
      </c>
      <c r="B195">
        <v>15</v>
      </c>
      <c r="C195">
        <v>142</v>
      </c>
      <c r="D195" s="9">
        <f>X0_canto+(C195+0.5)*dx_pix</f>
        <v>322920.14510197967</v>
      </c>
      <c r="E195" s="9">
        <f>Y0_canto-(B195+0.5)*dy_pix</f>
        <v>7434593.7540743835</v>
      </c>
      <c r="F195" s="10">
        <f>(D195-x_DBT5)^2+(E195-y_DBT5)^2</f>
        <v>722283596.1241748</v>
      </c>
      <c r="G195" s="10">
        <f>(D195-x_CLP)^2+(E195-y_CLP)^2</f>
        <v>14714824.137829212</v>
      </c>
      <c r="H195" s="11">
        <f>(P_DBT5/F195+P_CLP/G195)/(1/F195+1/G195)</f>
        <v>78.67655471739488</v>
      </c>
      <c r="I195" s="11">
        <v>77</v>
      </c>
      <c r="J195" s="11">
        <f>4.2*I195/(10-0.058*I195)</f>
        <v>58.438742320202394</v>
      </c>
      <c r="K195" s="11">
        <f>25.4*(1000/J195-10)</f>
        <v>180.64316635745197</v>
      </c>
      <c r="L195" t="inlineStr">
        <is>
          <t>Cambissolos Háplicos</t>
        </is>
      </c>
      <c r="M195" s="11">
        <f>IFERROR(VLOOKUP(L195,Classes_K,2,FALSE),"")</f>
        <v>0.04749999940395355</v>
      </c>
      <c r="N195" t="inlineStr">
        <is>
          <t>Campo</t>
        </is>
      </c>
      <c r="O195" s="11">
        <f>IFERROR(VLOOKUP(N195,Classes_C,2,FALSE),"")</f>
        <v>0.05000000074505806</v>
      </c>
      <c r="P195" s="12">
        <v>0.7839595675468445</v>
      </c>
      <c r="Q195">
        <f>IF(COUNT(M195,O195,P195)=3,1,0)</f>
        <v>1</v>
      </c>
      <c r="R195" s="12">
        <f>IF(H195&lt;=p_lambda*K195,0,(H195-p_lambda*K195)^2/(H195+(1-p_lambda)*K195))</f>
        <v>19.379076996180615</v>
      </c>
      <c r="S195" s="13">
        <f>R195/1000*A_pixel*RI_mmh/R_evento_mm/3600</f>
        <v>0.0007699772570332409</v>
      </c>
      <c r="T195" s="13">
        <f>IF(Q195=1,coef_W*MAX(R195*S195*A_pixel,0)^exp_M*M195*O195*fator_P*P195,"")</f>
        <v>0.09394420076115144</v>
      </c>
      <c r="U195" s="13">
        <f>IF(Q195=1,c_pura*T195,"")</f>
        <v>0.010024386967071051</v>
      </c>
      <c r="V195" s="12">
        <f>IF(Q195=1,MIN(fator_f*R195,H195),"")</f>
        <v>23.737868968324026</v>
      </c>
      <c r="W195" s="13">
        <f>IF(Q195=1,V195/1000*A_pixel*RI_mmh/R_evento_mm/3600,"")</f>
        <v>0.0009431625272786169</v>
      </c>
      <c r="X195" s="13">
        <f>IF(Q195=1,coef_W*MAX(V195*W195*A_pixel,0)^exp_M*M195*O195*fator_P*P195,"")</f>
        <v>0.11791027513337929</v>
      </c>
      <c r="Y195" s="13">
        <f>IF(Q195=1,c_restr*X195,"")</f>
        <v>0.016314268555672574</v>
      </c>
    </row>
    <row r="196">
      <c r="A196">
        <v>195</v>
      </c>
      <c r="B196">
        <v>15</v>
      </c>
      <c r="C196">
        <v>143</v>
      </c>
      <c r="D196" s="9">
        <f>X0_canto+(C196+0.5)*dx_pix</f>
        <v>322950.1366774321</v>
      </c>
      <c r="E196" s="9">
        <f>Y0_canto-(B196+0.5)*dy_pix</f>
        <v>7434593.7540743835</v>
      </c>
      <c r="F196" s="10">
        <f>(D196-x_DBT5)^2+(E196-y_DBT5)^2</f>
        <v>720748884.7355701</v>
      </c>
      <c r="G196" s="10">
        <f>(D196-x_CLP)^2+(E196-y_CLP)^2</f>
        <v>14899138.618851718</v>
      </c>
      <c r="H196" s="11">
        <f>(P_DBT5/F196+P_CLP/G196)/(1/F196+1/G196)</f>
        <v>78.6719021165453</v>
      </c>
      <c r="I196" s="11">
        <v>77</v>
      </c>
      <c r="J196" s="11">
        <f>4.2*I196/(10-0.058*I196)</f>
        <v>58.438742320202394</v>
      </c>
      <c r="K196" s="11">
        <f>25.4*(1000/J196-10)</f>
        <v>180.64316635745197</v>
      </c>
      <c r="L196" t="inlineStr">
        <is>
          <t>Cambissolos Háplicos</t>
        </is>
      </c>
      <c r="M196" s="11">
        <f>IFERROR(VLOOKUP(L196,Classes_K,2,FALSE),"")</f>
        <v>0.04749999940395355</v>
      </c>
      <c r="N196" t="inlineStr">
        <is>
          <t>Campo</t>
        </is>
      </c>
      <c r="O196" s="11">
        <f>IFERROR(VLOOKUP(N196,Classes_C,2,FALSE),"")</f>
        <v>0.05000000074505806</v>
      </c>
      <c r="P196" s="12">
        <v>0.674882709980011</v>
      </c>
      <c r="Q196">
        <f>IF(COUNT(M196,O196,P196)=3,1,0)</f>
        <v>1</v>
      </c>
      <c r="R196" s="12">
        <f>IF(H196&lt;=p_lambda*K196,0,(H196-p_lambda*K196)^2/(H196+(1-p_lambda)*K196))</f>
        <v>19.376848036965722</v>
      </c>
      <c r="S196" s="13">
        <f>R196/1000*A_pixel*RI_mmh/R_evento_mm/3600</f>
        <v>0.0007698886951320387</v>
      </c>
      <c r="T196" s="13">
        <f>IF(Q196=1,coef_W*MAX(R196*S196*A_pixel,0)^exp_M*M196*O196*fator_P*P196,"")</f>
        <v>0.08086277921571677</v>
      </c>
      <c r="U196" s="13">
        <f>IF(Q196=1,c_pura*T196,"")</f>
        <v>0.008628523991087919</v>
      </c>
      <c r="V196" s="12">
        <f>IF(Q196=1,MIN(fator_f*R196,H196),"")</f>
        <v>23.73513866585455</v>
      </c>
      <c r="W196" s="13">
        <f>IF(Q196=1,V196/1000*A_pixel*RI_mmh/R_evento_mm/3600,"")</f>
        <v>0.0009430540458062158</v>
      </c>
      <c r="X196" s="13">
        <f>IF(Q196=1,coef_W*MAX(V196*W196*A_pixel,0)^exp_M*M196*O196*fator_P*P196,"")</f>
        <v>0.10149165641012806</v>
      </c>
      <c r="Y196" s="13">
        <f>IF(Q196=1,c_restr*X196,"")</f>
        <v>0.014042560217605209</v>
      </c>
    </row>
    <row r="197">
      <c r="A197">
        <v>196</v>
      </c>
      <c r="B197">
        <v>15</v>
      </c>
      <c r="C197">
        <v>144</v>
      </c>
      <c r="D197" s="9">
        <f>X0_canto+(C197+0.5)*dx_pix</f>
        <v>322980.1282528846</v>
      </c>
      <c r="E197" s="9">
        <f>Y0_canto-(B197+0.5)*dy_pix</f>
        <v>7434593.7540743835</v>
      </c>
      <c r="F197" s="10">
        <f>(D197-x_DBT5)^2+(E197-y_DBT5)^2</f>
        <v>719215972.3361584</v>
      </c>
      <c r="G197" s="10">
        <f>(D197-x_CLP)^2+(E197-y_CLP)^2</f>
        <v>15085252.089070823</v>
      </c>
      <c r="H197" s="11">
        <f>(P_DBT5/F197+P_CLP/G197)/(1/F197+1/G197)</f>
        <v>78.667194344737</v>
      </c>
      <c r="I197" s="11">
        <v>77</v>
      </c>
      <c r="J197" s="11">
        <f>4.2*I197/(10-0.058*I197)</f>
        <v>58.438742320202394</v>
      </c>
      <c r="K197" s="11">
        <f>25.4*(1000/J197-10)</f>
        <v>180.64316635745197</v>
      </c>
      <c r="L197" t="inlineStr">
        <is>
          <t>Cambissolos Háplicos</t>
        </is>
      </c>
      <c r="M197" s="11">
        <f>IFERROR(VLOOKUP(L197,Classes_K,2,FALSE),"")</f>
        <v>0.04749999940395355</v>
      </c>
      <c r="N197" t="inlineStr">
        <is>
          <t>Campo</t>
        </is>
      </c>
      <c r="O197" s="11">
        <f>IFERROR(VLOOKUP(N197,Classes_C,2,FALSE),"")</f>
        <v>0.05000000074505806</v>
      </c>
      <c r="P197" s="12">
        <v>0.6299862265586853</v>
      </c>
      <c r="Q197">
        <f>IF(COUNT(M197,O197,P197)=3,1,0)</f>
        <v>1</v>
      </c>
      <c r="R197" s="12">
        <f>IF(H197&lt;=p_lambda*K197,0,(H197-p_lambda*K197)^2/(H197+(1-p_lambda)*K197))</f>
        <v>19.374592738271026</v>
      </c>
      <c r="S197" s="13">
        <f>R197/1000*A_pixel*RI_mmh/R_evento_mm/3600</f>
        <v>0.0007697990867000647</v>
      </c>
      <c r="T197" s="13">
        <f>IF(Q197=1,coef_W*MAX(R197*S197*A_pixel,0)^exp_M*M197*O197*fator_P*P197,"")</f>
        <v>0.0754735536511451</v>
      </c>
      <c r="U197" s="13">
        <f>IF(Q197=1,c_pura*T197,"")</f>
        <v>0.008053462602791573</v>
      </c>
      <c r="V197" s="12">
        <f>IF(Q197=1,MIN(fator_f*R197,H197),"")</f>
        <v>23.73237609956155</v>
      </c>
      <c r="W197" s="13">
        <f>IF(Q197=1,V197/1000*A_pixel*RI_mmh/R_evento_mm/3600,"")</f>
        <v>0.0009429442824146428</v>
      </c>
      <c r="X197" s="13">
        <f>IF(Q197=1,coef_W*MAX(V197*W197*A_pixel,0)^exp_M*M197*O197*fator_P*P197,"")</f>
        <v>0.0947275872720013</v>
      </c>
      <c r="Y197" s="13">
        <f>IF(Q197=1,c_restr*X197,"")</f>
        <v>0.013106671972719778</v>
      </c>
    </row>
    <row r="198">
      <c r="A198">
        <v>197</v>
      </c>
      <c r="B198">
        <v>15</v>
      </c>
      <c r="C198">
        <v>145</v>
      </c>
      <c r="D198" s="9">
        <f>X0_canto+(C198+0.5)*dx_pix</f>
        <v>323010.1198283371</v>
      </c>
      <c r="E198" s="9">
        <f>Y0_canto-(B198+0.5)*dy_pix</f>
        <v>7434593.7540743835</v>
      </c>
      <c r="F198" s="10">
        <f>(D198-x_DBT5)^2+(E198-y_DBT5)^2</f>
        <v>717684858.9259431</v>
      </c>
      <c r="G198" s="10">
        <f>(D198-x_CLP)^2+(E198-y_CLP)^2</f>
        <v>15273164.548486175</v>
      </c>
      <c r="H198" s="11">
        <f>(P_DBT5/F198+P_CLP/G198)/(1/F198+1/G198)</f>
        <v>78.66243116717187</v>
      </c>
      <c r="I198" s="11">
        <v>77</v>
      </c>
      <c r="J198" s="11">
        <f>4.2*I198/(10-0.058*I198)</f>
        <v>58.438742320202394</v>
      </c>
      <c r="K198" s="11">
        <f>25.4*(1000/J198-10)</f>
        <v>180.64316635745197</v>
      </c>
      <c r="L198" t="inlineStr">
        <is>
          <t>Área Urbana</t>
        </is>
      </c>
      <c r="M198" s="11">
        <f>IFERROR(VLOOKUP(L198,Classes_K,2,FALSE),"")</f>
        <v>0.0</v>
      </c>
      <c r="N198" t="inlineStr">
        <is>
          <t>Campo</t>
        </is>
      </c>
      <c r="O198" s="11">
        <f>IFERROR(VLOOKUP(N198,Classes_C,2,FALSE),"")</f>
        <v>0.05000000074505806</v>
      </c>
      <c r="P198" s="12">
        <v>0.5860229134559631</v>
      </c>
      <c r="Q198">
        <f>IF(COUNT(M198,O198,P198)=3,1,0)</f>
        <v>1</v>
      </c>
      <c r="R198" s="12">
        <f>IF(H198&lt;=p_lambda*K198,0,(H198-p_lambda*K198)^2/(H198+(1-p_lambda)*K198))</f>
        <v>19.37231099087033</v>
      </c>
      <c r="S198" s="13">
        <f>R198/1000*A_pixel*RI_mmh/R_evento_mm/3600</f>
        <v>0.0007697084273974993</v>
      </c>
      <c r="T198" s="13">
        <f>IF(Q198=1,coef_W*MAX(R198*S198*A_pixel,0)^exp_M*M198*O198*fator_P*P198,"")</f>
        <v>0.0</v>
      </c>
      <c r="U198" s="13">
        <f>IF(Q198=1,c_pura*T198,"")</f>
        <v>0.0</v>
      </c>
      <c r="V198" s="12">
        <f>IF(Q198=1,MIN(fator_f*R198,H198),"")</f>
        <v>23.729581135651387</v>
      </c>
      <c r="W198" s="13">
        <f>IF(Q198=1,V198/1000*A_pixel*RI_mmh/R_evento_mm/3600,"")</f>
        <v>0.0009428332317879551</v>
      </c>
      <c r="X198" s="13">
        <f>IF(Q198=1,coef_W*MAX(V198*W198*A_pixel,0)^exp_M*M198*O198*fator_P*P198,"")</f>
        <v>0.0</v>
      </c>
      <c r="Y198" s="13">
        <f>IF(Q198=1,c_restr*X198,"")</f>
        <v>0.0</v>
      </c>
    </row>
    <row r="199">
      <c r="A199">
        <v>198</v>
      </c>
      <c r="B199">
        <v>15</v>
      </c>
      <c r="C199">
        <v>146</v>
      </c>
      <c r="D199" s="9">
        <f>X0_canto+(C199+0.5)*dx_pix</f>
        <v>323040.1114037896</v>
      </c>
      <c r="E199" s="9">
        <f>Y0_canto-(B199+0.5)*dy_pix</f>
        <v>7434593.7540743835</v>
      </c>
      <c r="F199" s="10">
        <f>(D199-x_DBT5)^2+(E199-y_DBT5)^2</f>
        <v>716155544.5049239</v>
      </c>
      <c r="G199" s="10">
        <f>(D199-x_CLP)^2+(E199-y_CLP)^2</f>
        <v>15462875.997097772</v>
      </c>
      <c r="H199" s="11">
        <f>(P_DBT5/F199+P_CLP/G199)/(1/F199+1/G199)</f>
        <v>78.65761234896001</v>
      </c>
      <c r="I199" s="11">
        <v>77</v>
      </c>
      <c r="J199" s="11">
        <f>4.2*I199/(10-0.058*I199)</f>
        <v>58.438742320202394</v>
      </c>
      <c r="K199" s="11">
        <f>25.4*(1000/J199-10)</f>
        <v>180.64316635745197</v>
      </c>
      <c r="L199" t="inlineStr">
        <is>
          <t>Área Urbana</t>
        </is>
      </c>
      <c r="M199" s="11">
        <f>IFERROR(VLOOKUP(L199,Classes_K,2,FALSE),"")</f>
        <v>0.0</v>
      </c>
      <c r="N199" t="inlineStr">
        <is>
          <t>Campo</t>
        </is>
      </c>
      <c r="O199" s="11">
        <f>IFERROR(VLOOKUP(N199,Classes_C,2,FALSE),"")</f>
        <v>0.05000000074505806</v>
      </c>
      <c r="P199" s="12">
        <v>0.5457196235656738</v>
      </c>
      <c r="Q199">
        <f>IF(COUNT(M199,O199,P199)=3,1,0)</f>
        <v>1</v>
      </c>
      <c r="R199" s="12">
        <f>IF(H199&lt;=p_lambda*K199,0,(H199-p_lambda*K199)^2/(H199+(1-p_lambda)*K199))</f>
        <v>19.370002685550663</v>
      </c>
      <c r="S199" s="13">
        <f>R199/1000*A_pixel*RI_mmh/R_evento_mm/3600</f>
        <v>0.0007696167128850495</v>
      </c>
      <c r="T199" s="13">
        <f>IF(Q199=1,coef_W*MAX(R199*S199*A_pixel,0)^exp_M*M199*O199*fator_P*P199,"")</f>
        <v>0.0</v>
      </c>
      <c r="U199" s="13">
        <f>IF(Q199=1,c_pura*T199,"")</f>
        <v>0.0</v>
      </c>
      <c r="V199" s="12">
        <f>IF(Q199=1,MIN(fator_f*R199,H199),"")</f>
        <v>23.726753640346633</v>
      </c>
      <c r="W199" s="13">
        <f>IF(Q199=1,V199/1000*A_pixel*RI_mmh/R_evento_mm/3600,"")</f>
        <v>0.0009427208886108545</v>
      </c>
      <c r="X199" s="13">
        <f>IF(Q199=1,coef_W*MAX(V199*W199*A_pixel,0)^exp_M*M199*O199*fator_P*P199,"")</f>
        <v>0.0</v>
      </c>
      <c r="Y199" s="13">
        <f>IF(Q199=1,c_restr*X199,"")</f>
        <v>0.0</v>
      </c>
    </row>
    <row r="200">
      <c r="A200">
        <v>199</v>
      </c>
      <c r="B200">
        <v>15</v>
      </c>
      <c r="C200">
        <v>147</v>
      </c>
      <c r="D200" s="9">
        <f>X0_canto+(C200+0.5)*dx_pix</f>
        <v>323070.1029792421</v>
      </c>
      <c r="E200" s="9">
        <f>Y0_canto-(B200+0.5)*dy_pix</f>
        <v>7434593.7540743835</v>
      </c>
      <c r="F200" s="10">
        <f>(D200-x_DBT5)^2+(E200-y_DBT5)^2</f>
        <v>714628029.0731012</v>
      </c>
      <c r="G200" s="10">
        <f>(D200-x_CLP)^2+(E200-y_CLP)^2</f>
        <v>15654386.434905615</v>
      </c>
      <c r="H200" s="11">
        <f>(P_DBT5/F200+P_CLP/G200)/(1/F200+1/G200)</f>
        <v>78.65273765513052</v>
      </c>
      <c r="I200" s="11">
        <v>85</v>
      </c>
      <c r="J200" s="11">
        <f>4.2*I200/(10-0.058*I200)</f>
        <v>70.41420118343196</v>
      </c>
      <c r="K200" s="11">
        <f>25.4*(1000/J200-10)</f>
        <v>106.72268907563023</v>
      </c>
      <c r="L200" t="inlineStr">
        <is>
          <t>Área Urbana</t>
        </is>
      </c>
      <c r="M200" s="11">
        <f>IFERROR(VLOOKUP(L200,Classes_K,2,FALSE),"")</f>
        <v>0.0</v>
      </c>
      <c r="N200" t="inlineStr">
        <is>
          <t>Campo</t>
        </is>
      </c>
      <c r="O200" s="11">
        <f>IFERROR(VLOOKUP(N200,Classes_C,2,FALSE),"")</f>
        <v>0.05000000074505806</v>
      </c>
      <c r="P200" s="12">
        <v>0.4850889146327972</v>
      </c>
      <c r="Q200">
        <f>IF(COUNT(M200,O200,P200)=3,1,0)</f>
        <v>1</v>
      </c>
      <c r="R200" s="12">
        <f>IF(H200&lt;=p_lambda*K200,0,(H200-p_lambda*K200)^2/(H200+(1-p_lambda)*K200))</f>
        <v>29.856395440137916</v>
      </c>
      <c r="S200" s="13">
        <f>R200/1000*A_pixel*RI_mmh/R_evento_mm/3600</f>
        <v>0.0011862662742104773</v>
      </c>
      <c r="T200" s="13">
        <f>IF(Q200=1,coef_W*MAX(R200*S200*A_pixel,0)^exp_M*M200*O200*fator_P*P200,"")</f>
        <v>0.0</v>
      </c>
      <c r="U200" s="13">
        <f>IF(Q200=1,c_pura*T200,"")</f>
        <v>0.0</v>
      </c>
      <c r="V200" s="12">
        <f>IF(Q200=1,MIN(fator_f*R200,H200),"")</f>
        <v>36.57177289527992</v>
      </c>
      <c r="W200" s="13">
        <f>IF(Q200=1,V200/1000*A_pixel*RI_mmh/R_evento_mm/3600,"")</f>
        <v>0.0014530843437125587</v>
      </c>
      <c r="X200" s="13">
        <f>IF(Q200=1,coef_W*MAX(V200*W200*A_pixel,0)^exp_M*M200*O200*fator_P*P200,"")</f>
        <v>0.0</v>
      </c>
      <c r="Y200" s="13">
        <f>IF(Q200=1,c_restr*X200,"")</f>
        <v>0.0</v>
      </c>
    </row>
    <row r="201">
      <c r="A201">
        <v>200</v>
      </c>
      <c r="B201">
        <v>15</v>
      </c>
      <c r="C201">
        <v>148</v>
      </c>
      <c r="D201" s="9">
        <f>X0_canto+(C201+0.5)*dx_pix</f>
        <v>323100.09455469454</v>
      </c>
      <c r="E201" s="9">
        <f>Y0_canto-(B201+0.5)*dy_pix</f>
        <v>7434593.7540743835</v>
      </c>
      <c r="F201" s="10">
        <f>(D201-x_DBT5)^2+(E201-y_DBT5)^2</f>
        <v>713102312.6304774</v>
      </c>
      <c r="G201" s="10">
        <f>(D201-x_CLP)^2+(E201-y_CLP)^2</f>
        <v>15847695.861909328</v>
      </c>
      <c r="H201" s="11">
        <f>(P_DBT5/F201+P_CLP/G201)/(1/F201+1/G201)</f>
        <v>78.64780685064234</v>
      </c>
      <c r="I201" s="11">
        <v>85</v>
      </c>
      <c r="J201" s="11">
        <f>4.2*I201/(10-0.058*I201)</f>
        <v>70.41420118343196</v>
      </c>
      <c r="K201" s="11">
        <f>25.4*(1000/J201-10)</f>
        <v>106.72268907563023</v>
      </c>
      <c r="L201" t="inlineStr">
        <is>
          <t>Área Urbana</t>
        </is>
      </c>
      <c r="M201" s="11">
        <f>IFERROR(VLOOKUP(L201,Classes_K,2,FALSE),"")</f>
        <v>0.0</v>
      </c>
      <c r="N201" t="inlineStr">
        <is>
          <t>Área Urbanizada</t>
        </is>
      </c>
      <c r="O201" s="11">
        <f>IFERROR(VLOOKUP(N201,Classes_C,2,FALSE),"")</f>
        <v>0.0</v>
      </c>
      <c r="P201" s="12">
        <v>0.3898398280143738</v>
      </c>
      <c r="Q201">
        <f>IF(COUNT(M201,O201,P201)=3,1,0)</f>
        <v>1</v>
      </c>
      <c r="R201" s="12">
        <f>IF(H201&lt;=p_lambda*K201,0,(H201-p_lambda*K201)^2/(H201+(1-p_lambda)*K201))</f>
        <v>29.853197276709178</v>
      </c>
      <c r="S201" s="13">
        <f>R201/1000*A_pixel*RI_mmh/R_evento_mm/3600</f>
        <v>0.0011861392034988594</v>
      </c>
      <c r="T201" s="13">
        <f>IF(Q201=1,coef_W*MAX(R201*S201*A_pixel,0)^exp_M*M201*O201*fator_P*P201,"")</f>
        <v>0.0</v>
      </c>
      <c r="U201" s="13">
        <f>IF(Q201=1,c_pura*T201,"")</f>
        <v>0.0</v>
      </c>
      <c r="V201" s="12">
        <f>IF(Q201=1,MIN(fator_f*R201,H201),"")</f>
        <v>36.567855392685466</v>
      </c>
      <c r="W201" s="13">
        <f>IF(Q201=1,V201/1000*A_pixel*RI_mmh/R_evento_mm/3600,"")</f>
        <v>0.0014529286919287975</v>
      </c>
      <c r="X201" s="13">
        <f>IF(Q201=1,coef_W*MAX(V201*W201*A_pixel,0)^exp_M*M201*O201*fator_P*P201,"")</f>
        <v>0.0</v>
      </c>
      <c r="Y201" s="13">
        <f>IF(Q201=1,c_restr*X201,"")</f>
        <v>0.0</v>
      </c>
    </row>
    <row r="202">
      <c r="A202">
        <v>201</v>
      </c>
      <c r="B202">
        <v>15</v>
      </c>
      <c r="C202">
        <v>149</v>
      </c>
      <c r="D202" s="9">
        <f>X0_canto+(C202+0.5)*dx_pix</f>
        <v>323130.08613014704</v>
      </c>
      <c r="E202" s="9">
        <f>Y0_canto-(B202+0.5)*dy_pix</f>
        <v>7434593.7540743835</v>
      </c>
      <c r="F202" s="10">
        <f>(D202-x_DBT5)^2+(E202-y_DBT5)^2</f>
        <v>711578395.1770471</v>
      </c>
      <c r="G202" s="10">
        <f>(D202-x_CLP)^2+(E202-y_CLP)^2</f>
        <v>16042804.278109659</v>
      </c>
      <c r="H202" s="11">
        <f>(P_DBT5/F202+P_CLP/G202)/(1/F202+1/G202)</f>
        <v>78.64281970039522</v>
      </c>
      <c r="I202" s="11">
        <v>85</v>
      </c>
      <c r="J202" s="11">
        <f>4.2*I202/(10-0.058*I202)</f>
        <v>70.41420118343196</v>
      </c>
      <c r="K202" s="11">
        <f>25.4*(1000/J202-10)</f>
        <v>106.72268907563023</v>
      </c>
      <c r="L202" t="inlineStr">
        <is>
          <t>Área Urbana</t>
        </is>
      </c>
      <c r="M202" s="11">
        <f>IFERROR(VLOOKUP(L202,Classes_K,2,FALSE),"")</f>
        <v>0.0</v>
      </c>
      <c r="N202" t="inlineStr">
        <is>
          <t>Área Urbanizada</t>
        </is>
      </c>
      <c r="O202" s="11">
        <f>IFERROR(VLOOKUP(N202,Classes_C,2,FALSE),"")</f>
        <v>0.0</v>
      </c>
      <c r="P202" s="12">
        <v>0.251114547252655</v>
      </c>
      <c r="Q202">
        <f>IF(COUNT(M202,O202,P202)=3,1,0)</f>
        <v>1</v>
      </c>
      <c r="R202" s="12">
        <f>IF(H202&lt;=p_lambda*K202,0,(H202-p_lambda*K202)^2/(H202+(1-p_lambda)*K202))</f>
        <v>29.849962663465814</v>
      </c>
      <c r="S202" s="13">
        <f>R202/1000*A_pixel*RI_mmh/R_evento_mm/3600</f>
        <v>0.0011860106845485924</v>
      </c>
      <c r="T202" s="13">
        <f>IF(Q202=1,coef_W*MAX(R202*S202*A_pixel,0)^exp_M*M202*O202*fator_P*P202,"")</f>
        <v>0.0</v>
      </c>
      <c r="U202" s="13">
        <f>IF(Q202=1,c_pura*T202,"")</f>
        <v>0.0</v>
      </c>
      <c r="V202" s="12">
        <f>IF(Q202=1,MIN(fator_f*R202,H202),"")</f>
        <v>36.56389324189008</v>
      </c>
      <c r="W202" s="13">
        <f>IF(Q202=1,V202/1000*A_pixel*RI_mmh/R_evento_mm/3600,"")</f>
        <v>0.001452771266164816</v>
      </c>
      <c r="X202" s="13">
        <f>IF(Q202=1,coef_W*MAX(V202*W202*A_pixel,0)^exp_M*M202*O202*fator_P*P202,"")</f>
        <v>0.0</v>
      </c>
      <c r="Y202" s="13">
        <f>IF(Q202=1,c_restr*X202,"")</f>
        <v>0.0</v>
      </c>
    </row>
    <row r="203">
      <c r="A203">
        <v>202</v>
      </c>
      <c r="B203">
        <v>15</v>
      </c>
      <c r="C203">
        <v>150</v>
      </c>
      <c r="D203" s="9">
        <f>X0_canto+(C203+0.5)*dx_pix</f>
        <v>323160.07770559954</v>
      </c>
      <c r="E203" s="9">
        <f>Y0_canto-(B203+0.5)*dy_pix</f>
        <v>7434593.7540743835</v>
      </c>
      <c r="F203" s="10">
        <f>(D203-x_DBT5)^2+(E203-y_DBT5)^2</f>
        <v>710056276.712813</v>
      </c>
      <c r="G203" s="10">
        <f>(D203-x_CLP)^2+(E203-y_CLP)^2</f>
        <v>16239711.683506235</v>
      </c>
      <c r="H203" s="11">
        <f>(P_DBT5/F203+P_CLP/G203)/(1/F203+1/G203)</f>
        <v>78.63777596924086</v>
      </c>
      <c r="I203" s="11">
        <v>85</v>
      </c>
      <c r="J203" s="11">
        <f>4.2*I203/(10-0.058*I203)</f>
        <v>70.41420118343196</v>
      </c>
      <c r="K203" s="11">
        <f>25.4*(1000/J203-10)</f>
        <v>106.72268907563023</v>
      </c>
      <c r="L203" t="inlineStr">
        <is>
          <t>Área Urbana</t>
        </is>
      </c>
      <c r="M203" s="11">
        <f>IFERROR(VLOOKUP(L203,Classes_K,2,FALSE),"")</f>
        <v>0.0</v>
      </c>
      <c r="N203" t="inlineStr">
        <is>
          <t>Área Urbanizada</t>
        </is>
      </c>
      <c r="O203" s="11">
        <f>IFERROR(VLOOKUP(N203,Classes_C,2,FALSE),"")</f>
        <v>0.0</v>
      </c>
      <c r="P203" s="12">
        <v>0.2173295170068741</v>
      </c>
      <c r="Q203">
        <f>IF(COUNT(M203,O203,P203)=3,1,0)</f>
        <v>1</v>
      </c>
      <c r="R203" s="12">
        <f>IF(H203&lt;=p_lambda*K203,0,(H203-p_lambda*K203)^2/(H203+(1-p_lambda)*K203))</f>
        <v>29.846691451199103</v>
      </c>
      <c r="S203" s="13">
        <f>R203/1000*A_pixel*RI_mmh/R_evento_mm/3600</f>
        <v>0.0011858807114312562</v>
      </c>
      <c r="T203" s="13">
        <f>IF(Q203=1,coef_W*MAX(R203*S203*A_pixel,0)^exp_M*M203*O203*fator_P*P203,"")</f>
        <v>0.0</v>
      </c>
      <c r="U203" s="13">
        <f>IF(Q203=1,c_pura*T203,"")</f>
        <v>0.0</v>
      </c>
      <c r="V203" s="12">
        <f>IF(Q203=1,MIN(fator_f*R203,H203),"")</f>
        <v>36.55988626012464</v>
      </c>
      <c r="W203" s="13">
        <f>IF(Q203=1,V203/1000*A_pixel*RI_mmh/R_evento_mm/3600,"")</f>
        <v>0.0014526120591587576</v>
      </c>
      <c r="X203" s="13">
        <f>IF(Q203=1,coef_W*MAX(V203*W203*A_pixel,0)^exp_M*M203*O203*fator_P*P203,"")</f>
        <v>0.0</v>
      </c>
      <c r="Y203" s="13">
        <f>IF(Q203=1,c_restr*X203,"")</f>
        <v>0.0</v>
      </c>
    </row>
    <row r="204">
      <c r="A204">
        <v>203</v>
      </c>
      <c r="B204">
        <v>15</v>
      </c>
      <c r="C204">
        <v>151</v>
      </c>
      <c r="D204" s="9">
        <f>X0_canto+(C204+0.5)*dx_pix</f>
        <v>323190.06928105204</v>
      </c>
      <c r="E204" s="9">
        <f>Y0_canto-(B204+0.5)*dy_pix</f>
        <v>7434593.7540743835</v>
      </c>
      <c r="F204" s="10">
        <f>(D204-x_DBT5)^2+(E204-y_DBT5)^2</f>
        <v>708535957.2377751</v>
      </c>
      <c r="G204" s="10">
        <f>(D204-x_CLP)^2+(E204-y_CLP)^2</f>
        <v>16438418.078099059</v>
      </c>
      <c r="H204" s="11">
        <f>(P_DBT5/F204+P_CLP/G204)/(1/F204+1/G204)</f>
        <v>78.63267542199404</v>
      </c>
      <c r="I204" s="11">
        <v>85</v>
      </c>
      <c r="J204" s="11">
        <f>4.2*I204/(10-0.058*I204)</f>
        <v>70.41420118343196</v>
      </c>
      <c r="K204" s="11">
        <f>25.4*(1000/J204-10)</f>
        <v>106.72268907563023</v>
      </c>
      <c r="L204" t="inlineStr">
        <is>
          <t>Área Urbana</t>
        </is>
      </c>
      <c r="M204" s="11">
        <f>IFERROR(VLOOKUP(L204,Classes_K,2,FALSE),"")</f>
        <v>0.0</v>
      </c>
      <c r="N204" t="inlineStr">
        <is>
          <t>Campo</t>
        </is>
      </c>
      <c r="O204" s="11">
        <f>IFERROR(VLOOKUP(N204,Classes_C,2,FALSE),"")</f>
        <v>0.05000000074505806</v>
      </c>
      <c r="P204" s="12">
        <v>0.3116972744464874</v>
      </c>
      <c r="Q204">
        <f>IF(COUNT(M204,O204,P204)=3,1,0)</f>
        <v>1</v>
      </c>
      <c r="R204" s="12">
        <f>IF(H204&lt;=p_lambda*K204,0,(H204-p_lambda*K204)^2/(H204+(1-p_lambda)*K204))</f>
        <v>29.843383490732858</v>
      </c>
      <c r="S204" s="13">
        <f>R204/1000*A_pixel*RI_mmh/R_evento_mm/3600</f>
        <v>0.0011857492782197223</v>
      </c>
      <c r="T204" s="13">
        <f>IF(Q204=1,coef_W*MAX(R204*S204*A_pixel,0)^exp_M*M204*O204*fator_P*P204,"")</f>
        <v>0.0</v>
      </c>
      <c r="U204" s="13">
        <f>IF(Q204=1,c_pura*T204,"")</f>
        <v>0.0</v>
      </c>
      <c r="V204" s="12">
        <f>IF(Q204=1,MIN(fator_f*R204,H204),"")</f>
        <v>36.555834264659865</v>
      </c>
      <c r="W204" s="13">
        <f>IF(Q204=1,V204/1000*A_pixel*RI_mmh/R_evento_mm/3600,"")</f>
        <v>0.0014524510636503498</v>
      </c>
      <c r="X204" s="13">
        <f>IF(Q204=1,coef_W*MAX(V204*W204*A_pixel,0)^exp_M*M204*O204*fator_P*P204,"")</f>
        <v>0.0</v>
      </c>
      <c r="Y204" s="13">
        <f>IF(Q204=1,c_restr*X204,"")</f>
        <v>0.0</v>
      </c>
    </row>
    <row r="205">
      <c r="A205">
        <v>204</v>
      </c>
      <c r="B205">
        <v>15</v>
      </c>
      <c r="C205">
        <v>152</v>
      </c>
      <c r="D205" s="9">
        <f>X0_canto+(C205+0.5)*dx_pix</f>
        <v>323220.06085650454</v>
      </c>
      <c r="E205" s="9">
        <f>Y0_canto-(B205+0.5)*dy_pix</f>
        <v>7434593.7540743835</v>
      </c>
      <c r="F205" s="10">
        <f>(D205-x_DBT5)^2+(E205-y_DBT5)^2</f>
        <v>707017436.7519335</v>
      </c>
      <c r="G205" s="10">
        <f>(D205-x_CLP)^2+(E205-y_CLP)^2</f>
        <v>16638923.461888129</v>
      </c>
      <c r="H205" s="11">
        <f>(P_DBT5/F205+P_CLP/G205)/(1/F205+1/G205)</f>
        <v>78.62751782344414</v>
      </c>
      <c r="I205" s="11">
        <v>85</v>
      </c>
      <c r="J205" s="11">
        <f>4.2*I205/(10-0.058*I205)</f>
        <v>70.41420118343196</v>
      </c>
      <c r="K205" s="11">
        <f>25.4*(1000/J205-10)</f>
        <v>106.72268907563023</v>
      </c>
      <c r="L205" t="inlineStr">
        <is>
          <t>Cambissolos Háplicos</t>
        </is>
      </c>
      <c r="M205" s="11">
        <f>IFERROR(VLOOKUP(L205,Classes_K,2,FALSE),"")</f>
        <v>0.04749999940395355</v>
      </c>
      <c r="N205" t="inlineStr">
        <is>
          <t>Campo</t>
        </is>
      </c>
      <c r="O205" s="11">
        <f>IFERROR(VLOOKUP(N205,Classes_C,2,FALSE),"")</f>
        <v>0.05000000074505806</v>
      </c>
      <c r="P205" s="12">
        <v>0.3680759370326996</v>
      </c>
      <c r="Q205">
        <f>IF(COUNT(M205,O205,P205)=3,1,0)</f>
        <v>1</v>
      </c>
      <c r="R205" s="12">
        <f>IF(H205&lt;=p_lambda*K205,0,(H205-p_lambda*K205)^2/(H205+(1-p_lambda)*K205))</f>
        <v>29.840038632931446</v>
      </c>
      <c r="S205" s="13">
        <f>R205/1000*A_pixel*RI_mmh/R_evento_mm/3600</f>
        <v>0.0011856163789884736</v>
      </c>
      <c r="T205" s="13">
        <f>IF(Q205=1,coef_W*MAX(R205*S205*A_pixel,0)^exp_M*M205*O205*fator_P*P205,"")</f>
        <v>0.07152798414969168</v>
      </c>
      <c r="U205" s="13">
        <f>IF(Q205=1,c_pura*T205,"")</f>
        <v>0.0076324476261609075</v>
      </c>
      <c r="V205" s="12">
        <f>IF(Q205=1,MIN(fator_f*R205,H205),"")</f>
        <v>36.55173707281614</v>
      </c>
      <c r="W205" s="13">
        <f>IF(Q205=1,V205/1000*A_pixel*RI_mmh/R_evento_mm/3600,"")</f>
        <v>0.001452288272381292</v>
      </c>
      <c r="X205" s="13">
        <f>IF(Q205=1,coef_W*MAX(V205*W205*A_pixel,0)^exp_M*M205*O205*fator_P*P205,"")</f>
        <v>0.08977546482372956</v>
      </c>
      <c r="Y205" s="13">
        <f>IF(Q205=1,c_restr*X205,"")</f>
        <v>0.012421487789659477</v>
      </c>
    </row>
    <row r="206">
      <c r="A206">
        <v>205</v>
      </c>
      <c r="B206">
        <v>15</v>
      </c>
      <c r="C206">
        <v>153</v>
      </c>
      <c r="D206" s="9">
        <f>X0_canto+(C206+0.5)*dx_pix</f>
        <v>323250.05243195704</v>
      </c>
      <c r="E206" s="9">
        <f>Y0_canto-(B206+0.5)*dy_pix</f>
        <v>7434593.7540743835</v>
      </c>
      <c r="F206" s="10">
        <f>(D206-x_DBT5)^2+(E206-y_DBT5)^2</f>
        <v>705500715.2552881</v>
      </c>
      <c r="G206" s="10">
        <f>(D206-x_CLP)^2+(E206-y_CLP)^2</f>
        <v>16841227.834873445</v>
      </c>
      <c r="H206" s="11">
        <f>(P_DBT5/F206+P_CLP/G206)/(1/F206+1/G206)</f>
        <v>78.62230293836645</v>
      </c>
      <c r="I206" s="11">
        <v>85</v>
      </c>
      <c r="J206" s="11">
        <f>4.2*I206/(10-0.058*I206)</f>
        <v>70.41420118343196</v>
      </c>
      <c r="K206" s="11">
        <f>25.4*(1000/J206-10)</f>
        <v>106.72268907563023</v>
      </c>
      <c r="L206" t="inlineStr">
        <is>
          <t>Cambissolos Háplicos</t>
        </is>
      </c>
      <c r="M206" s="11">
        <f>IFERROR(VLOOKUP(L206,Classes_K,2,FALSE),"")</f>
        <v>0.04749999940395355</v>
      </c>
      <c r="N206" t="inlineStr">
        <is>
          <t>Campo</t>
        </is>
      </c>
      <c r="O206" s="11">
        <f>IFERROR(VLOOKUP(N206,Classes_C,2,FALSE),"")</f>
        <v>0.05000000074505806</v>
      </c>
      <c r="P206" s="12">
        <v>0.3741167187690735</v>
      </c>
      <c r="Q206">
        <f>IF(COUNT(M206,O206,P206)=3,1,0)</f>
        <v>1</v>
      </c>
      <c r="R206" s="12">
        <f>IF(H206&lt;=p_lambda*K206,0,(H206-p_lambda*K206)^2/(H206+(1-p_lambda)*K206))</f>
        <v>29.83665672870764</v>
      </c>
      <c r="S206" s="13">
        <f>R206/1000*A_pixel*RI_mmh/R_evento_mm/3600</f>
        <v>0.0011854820078139173</v>
      </c>
      <c r="T206" s="13">
        <f>IF(Q206=1,coef_W*MAX(R206*S206*A_pixel,0)^exp_M*M206*O206*fator_P*P206,"")</f>
        <v>0.07269265745335415</v>
      </c>
      <c r="U206" s="13">
        <f>IF(Q206=1,c_pura*T206,"")</f>
        <v>0.007756724971558876</v>
      </c>
      <c r="V206" s="12">
        <f>IF(Q206=1,MIN(fator_f*R206,H206),"")</f>
        <v>36.547594501973165</v>
      </c>
      <c r="W206" s="13">
        <f>IF(Q206=1,V206/1000*A_pixel*RI_mmh/R_evento_mm/3600,"")</f>
        <v>0.0014521236780956424</v>
      </c>
      <c r="X206" s="13">
        <f>IF(Q206=1,coef_W*MAX(V206*W206*A_pixel,0)^exp_M*M206*O206*fator_P*P206,"")</f>
        <v>0.09123725755348507</v>
      </c>
      <c r="Y206" s="13">
        <f>IF(Q206=1,c_restr*X206,"")</f>
        <v>0.012623743947055295</v>
      </c>
    </row>
    <row r="207">
      <c r="A207">
        <v>206</v>
      </c>
      <c r="B207">
        <v>15</v>
      </c>
      <c r="C207">
        <v>154</v>
      </c>
      <c r="D207" s="9">
        <f>X0_canto+(C207+0.5)*dx_pix</f>
        <v>323280.0440074095</v>
      </c>
      <c r="E207" s="9">
        <f>Y0_canto-(B207+0.5)*dy_pix</f>
        <v>7434593.7540743835</v>
      </c>
      <c r="F207" s="10">
        <f>(D207-x_DBT5)^2+(E207-y_DBT5)^2</f>
        <v>703985792.7478418</v>
      </c>
      <c r="G207" s="10">
        <f>(D207-x_CLP)^2+(E207-y_CLP)^2</f>
        <v>17045331.19705461</v>
      </c>
      <c r="H207" s="11">
        <f>(P_DBT5/F207+P_CLP/G207)/(1/F207+1/G207)</f>
        <v>78.61703053153387</v>
      </c>
      <c r="I207" s="11">
        <v>65</v>
      </c>
      <c r="J207" s="11">
        <f>4.2*I207/(10-0.058*I207)</f>
        <v>43.82022471910112</v>
      </c>
      <c r="K207" s="11">
        <f>25.4*(1000/J207-10)</f>
        <v>325.64102564102564</v>
      </c>
      <c r="L207" t="inlineStr">
        <is>
          <t>Cambissolos Háplicos</t>
        </is>
      </c>
      <c r="M207" s="11">
        <f>IFERROR(VLOOKUP(L207,Classes_K,2,FALSE),"")</f>
        <v>0.04749999940395355</v>
      </c>
      <c r="N207" t="inlineStr">
        <is>
          <t>Mata Nativa</t>
        </is>
      </c>
      <c r="O207" s="11">
        <f>IFERROR(VLOOKUP(N207,Classes_C,2,FALSE),"")</f>
        <v>0.014999999664723873</v>
      </c>
      <c r="P207" s="12">
        <v>0.4393651187419891</v>
      </c>
      <c r="Q207">
        <f>IF(COUNT(M207,O207,P207)=3,1,0)</f>
        <v>1</v>
      </c>
      <c r="R207" s="12">
        <f>IF(H207&lt;=p_lambda*K207,0,(H207-p_lambda*K207)^2/(H207+(1-p_lambda)*K207))</f>
        <v>10.015180292219371</v>
      </c>
      <c r="S207" s="13">
        <f>R207/1000*A_pixel*RI_mmh/R_evento_mm/3600</f>
        <v>0.00039792715884333796</v>
      </c>
      <c r="T207" s="13">
        <f>IF(Q207=1,coef_W*MAX(R207*S207*A_pixel,0)^exp_M*M207*O207*fator_P*P207,"")</f>
        <v>0.0075413290496422975</v>
      </c>
      <c r="U207" s="13">
        <f>IF(Q207=1,c_pura*T207,"")</f>
        <v>0.0008047032177306056</v>
      </c>
      <c r="V207" s="12">
        <f>IF(Q207=1,MIN(fator_f*R207,H207),"")</f>
        <v>12.26782047038154</v>
      </c>
      <c r="W207" s="13">
        <f>IF(Q207=1,V207/1000*A_pixel*RI_mmh/R_evento_mm/3600,"")</f>
        <v>0.000487429961572592</v>
      </c>
      <c r="X207" s="13">
        <f>IF(Q207=1,coef_W*MAX(V207*W207*A_pixel,0)^exp_M*M207*O207*fator_P*P207,"")</f>
        <v>0.009465195040356108</v>
      </c>
      <c r="Y207" s="13">
        <f>IF(Q207=1,c_restr*X207,"")</f>
        <v>0.0013096206725454025</v>
      </c>
    </row>
    <row r="208">
      <c r="A208">
        <v>207</v>
      </c>
      <c r="B208">
        <v>15</v>
      </c>
      <c r="C208">
        <v>155</v>
      </c>
      <c r="D208" s="9">
        <f>X0_canto+(C208+0.5)*dx_pix</f>
        <v>323310.035582862</v>
      </c>
      <c r="E208" s="9">
        <f>Y0_canto-(B208+0.5)*dy_pix</f>
        <v>7434593.7540743835</v>
      </c>
      <c r="F208" s="10">
        <f>(D208-x_DBT5)^2+(E208-y_DBT5)^2</f>
        <v>702472669.229589</v>
      </c>
      <c r="G208" s="10">
        <f>(D208-x_CLP)^2+(E208-y_CLP)^2</f>
        <v>17251233.54843241</v>
      </c>
      <c r="H208" s="11">
        <f>(P_DBT5/F208+P_CLP/G208)/(1/F208+1/G208)</f>
        <v>78.6117003677287</v>
      </c>
      <c r="I208" s="11">
        <v>65</v>
      </c>
      <c r="J208" s="11">
        <f>4.2*I208/(10-0.058*I208)</f>
        <v>43.82022471910112</v>
      </c>
      <c r="K208" s="11">
        <f>25.4*(1000/J208-10)</f>
        <v>325.64102564102564</v>
      </c>
      <c r="L208" t="inlineStr">
        <is>
          <t>Cambissolos Háplicos</t>
        </is>
      </c>
      <c r="M208" s="11">
        <f>IFERROR(VLOOKUP(L208,Classes_K,2,FALSE),"")</f>
        <v>0.04749999940395355</v>
      </c>
      <c r="N208" t="inlineStr">
        <is>
          <t>Mata Nativa</t>
        </is>
      </c>
      <c r="O208" s="11">
        <f>IFERROR(VLOOKUP(N208,Classes_C,2,FALSE),"")</f>
        <v>0.014999999664723873</v>
      </c>
      <c r="P208" s="12">
        <v>0.5092310309410095</v>
      </c>
      <c r="Q208">
        <f>IF(COUNT(M208,O208,P208)=3,1,0)</f>
        <v>1</v>
      </c>
      <c r="R208" s="12">
        <f>IF(H208&lt;=p_lambda*K208,0,(H208-p_lambda*K208)^2/(H208+(1-p_lambda)*K208))</f>
        <v>10.013605172299105</v>
      </c>
      <c r="S208" s="13">
        <f>R208/1000*A_pixel*RI_mmh/R_evento_mm/3600</f>
        <v>0.00039786457554713957</v>
      </c>
      <c r="T208" s="13">
        <f>IF(Q208=1,coef_W*MAX(R208*S208*A_pixel,0)^exp_M*M208*O208*fator_P*P208,"")</f>
        <v>0.008738978492669627</v>
      </c>
      <c r="U208" s="13">
        <f>IF(Q208=1,c_pura*T208,"")</f>
        <v>0.000932499307010528</v>
      </c>
      <c r="V208" s="12">
        <f>IF(Q208=1,MIN(fator_f*R208,H208),"")</f>
        <v>12.265891070426937</v>
      </c>
      <c r="W208" s="13">
        <f>IF(Q208=1,V208/1000*A_pixel*RI_mmh/R_evento_mm/3600,"")</f>
        <v>0.00048735330188002466</v>
      </c>
      <c r="X208" s="13">
        <f>IF(Q208=1,coef_W*MAX(V208*W208*A_pixel,0)^exp_M*M208*O208*fator_P*P208,"")</f>
        <v>0.01096837644161922</v>
      </c>
      <c r="Y208" s="13">
        <f>IF(Q208=1,c_restr*X208,"")</f>
        <v>0.0015176034377485032</v>
      </c>
    </row>
    <row r="209">
      <c r="A209">
        <v>208</v>
      </c>
      <c r="B209">
        <v>15</v>
      </c>
      <c r="C209">
        <v>156</v>
      </c>
      <c r="D209" s="9">
        <f>X0_canto+(C209+0.5)*dx_pix</f>
        <v>323340.0271583145</v>
      </c>
      <c r="E209" s="9">
        <f>Y0_canto-(B209+0.5)*dy_pix</f>
        <v>7434593.7540743835</v>
      </c>
      <c r="F209" s="10">
        <f>(D209-x_DBT5)^2+(E209-y_DBT5)^2</f>
        <v>700961344.7005323</v>
      </c>
      <c r="G209" s="10">
        <f>(D209-x_CLP)^2+(E209-y_CLP)^2</f>
        <v>17458934.88900646</v>
      </c>
      <c r="H209" s="11">
        <f>(P_DBT5/F209+P_CLP/G209)/(1/F209+1/G209)</f>
        <v>78.60631221175436</v>
      </c>
      <c r="I209" s="11">
        <v>65</v>
      </c>
      <c r="J209" s="11">
        <f>4.2*I209/(10-0.058*I209)</f>
        <v>43.82022471910112</v>
      </c>
      <c r="K209" s="11">
        <f>25.4*(1000/J209-10)</f>
        <v>325.64102564102564</v>
      </c>
      <c r="L209" t="inlineStr">
        <is>
          <t>Cambissolos Háplicos</t>
        </is>
      </c>
      <c r="M209" s="11">
        <f>IFERROR(VLOOKUP(L209,Classes_K,2,FALSE),"")</f>
        <v>0.04749999940395355</v>
      </c>
      <c r="N209" t="inlineStr">
        <is>
          <t>Mata Nativa</t>
        </is>
      </c>
      <c r="O209" s="11">
        <f>IFERROR(VLOOKUP(N209,Classes_C,2,FALSE),"")</f>
        <v>0.014999999664723873</v>
      </c>
      <c r="P209" s="12">
        <v>0.804652214050293</v>
      </c>
      <c r="Q209">
        <f>IF(COUNT(M209,O209,P209)=3,1,0)</f>
        <v>1</v>
      </c>
      <c r="R209" s="12">
        <f>IF(H209&lt;=p_lambda*K209,0,(H209-p_lambda*K209)^2/(H209+(1-p_lambda)*K209))</f>
        <v>10.012013019947277</v>
      </c>
      <c r="S209" s="13">
        <f>R209/1000*A_pixel*RI_mmh/R_evento_mm/3600</f>
        <v>0.00039780131551154125</v>
      </c>
      <c r="T209" s="13">
        <f>IF(Q209=1,coef_W*MAX(R209*S209*A_pixel,0)^exp_M*M209*O209*fator_P*P209,"")</f>
        <v>0.013806279971564224</v>
      </c>
      <c r="U209" s="13">
        <f>IF(Q209=1,c_pura*T209,"")</f>
        <v>0.0014732095423596874</v>
      </c>
      <c r="V209" s="12">
        <f>IF(Q209=1,MIN(fator_f*R209,H209),"")</f>
        <v>12.263940807062344</v>
      </c>
      <c r="W209" s="13">
        <f>IF(Q209=1,V209/1000*A_pixel*RI_mmh/R_evento_mm/3600,"")</f>
        <v>0.00048727581323408664</v>
      </c>
      <c r="X209" s="13">
        <f>IF(Q209=1,coef_W*MAX(V209*W209*A_pixel,0)^exp_M*M209*O209*fator_P*P209,"")</f>
        <v>0.0173283955457183</v>
      </c>
      <c r="Y209" s="13">
        <f>IF(Q209=1,c_restr*X209,"")</f>
        <v>0.0023975866246769444</v>
      </c>
    </row>
    <row r="210">
      <c r="A210">
        <v>209</v>
      </c>
      <c r="B210">
        <v>15</v>
      </c>
      <c r="C210">
        <v>157</v>
      </c>
      <c r="D210" s="9">
        <f>X0_canto+(C210+0.5)*dx_pix</f>
        <v>323370.018733767</v>
      </c>
      <c r="E210" s="9">
        <f>Y0_canto-(B210+0.5)*dy_pix</f>
        <v>7434593.7540743835</v>
      </c>
      <c r="F210" s="10">
        <f>(D210-x_DBT5)^2+(E210-y_DBT5)^2</f>
        <v>699451819.160672</v>
      </c>
      <c r="G210" s="10">
        <f>(D210-x_CLP)^2+(E210-y_CLP)^2</f>
        <v>17668435.218776755</v>
      </c>
      <c r="H210" s="11">
        <f>(P_DBT5/F210+P_CLP/G210)/(1/F210+1/G210)</f>
        <v>78.60086582844751</v>
      </c>
      <c r="I210" s="11">
        <v>65</v>
      </c>
      <c r="J210" s="11">
        <f>4.2*I210/(10-0.058*I210)</f>
        <v>43.82022471910112</v>
      </c>
      <c r="K210" s="11">
        <f>25.4*(1000/J210-10)</f>
        <v>325.64102564102564</v>
      </c>
      <c r="L210" t="inlineStr">
        <is>
          <t>Cambissolos Háplicos</t>
        </is>
      </c>
      <c r="M210" s="11">
        <f>IFERROR(VLOOKUP(L210,Classes_K,2,FALSE),"")</f>
        <v>0.04749999940395355</v>
      </c>
      <c r="N210" t="inlineStr">
        <is>
          <t>Mata Nativa</t>
        </is>
      </c>
      <c r="O210" s="11">
        <f>IFERROR(VLOOKUP(N210,Classes_C,2,FALSE),"")</f>
        <v>0.014999999664723873</v>
      </c>
      <c r="P210" s="12">
        <v>1.073023796081543</v>
      </c>
      <c r="Q210">
        <f>IF(COUNT(M210,O210,P210)=3,1,0)</f>
        <v>1</v>
      </c>
      <c r="R210" s="12">
        <f>IF(H210&lt;=p_lambda*K210,0,(H210-p_lambda*K210)^2/(H210+(1-p_lambda)*K210))</f>
        <v>10.010403769091042</v>
      </c>
      <c r="S210" s="13">
        <f>R210/1000*A_pixel*RI_mmh/R_evento_mm/3600</f>
        <v>0.00039773737611131056</v>
      </c>
      <c r="T210" s="13">
        <f>IF(Q210=1,coef_W*MAX(R210*S210*A_pixel,0)^exp_M*M210*O210*fator_P*P210,"")</f>
        <v>0.01840770436469844</v>
      </c>
      <c r="U210" s="13">
        <f>IF(Q210=1,c_pura*T210,"")</f>
        <v>0.0019642080110546492</v>
      </c>
      <c r="V210" s="12">
        <f>IF(Q210=1,MIN(fator_f*R210,H210),"")</f>
        <v>12.261969599353638</v>
      </c>
      <c r="W210" s="13">
        <f>IF(Q210=1,V210/1000*A_pixel*RI_mmh/R_evento_mm/3600,"")</f>
        <v>0.00048719749241907105</v>
      </c>
      <c r="X210" s="13">
        <f>IF(Q210=1,coef_W*MAX(V210*W210*A_pixel,0)^exp_M*M210*O210*fator_P*P210,"")</f>
        <v>0.023103687812872906</v>
      </c>
      <c r="Y210" s="13">
        <f>IF(Q210=1,c_restr*X210,"")</f>
        <v>0.0031966660003062415</v>
      </c>
    </row>
    <row r="211">
      <c r="A211">
        <v>210</v>
      </c>
      <c r="B211">
        <v>15</v>
      </c>
      <c r="C211">
        <v>158</v>
      </c>
      <c r="D211" s="9">
        <f>X0_canto+(C211+0.5)*dx_pix</f>
        <v>323400.0103092195</v>
      </c>
      <c r="E211" s="9">
        <f>Y0_canto-(B211+0.5)*dy_pix</f>
        <v>7434593.7540743835</v>
      </c>
      <c r="F211" s="10">
        <f>(D211-x_DBT5)^2+(E211-y_DBT5)^2</f>
        <v>697944092.6100078</v>
      </c>
      <c r="G211" s="10">
        <f>(D211-x_CLP)^2+(E211-y_CLP)^2</f>
        <v>17879734.537743296</v>
      </c>
      <c r="H211" s="11">
        <f>(P_DBT5/F211+P_CLP/G211)/(1/F211+1/G211)</f>
        <v>78.59536098269014</v>
      </c>
      <c r="I211" s="11">
        <v>65</v>
      </c>
      <c r="J211" s="11">
        <f>4.2*I211/(10-0.058*I211)</f>
        <v>43.82022471910112</v>
      </c>
      <c r="K211" s="11">
        <f>25.4*(1000/J211-10)</f>
        <v>325.64102564102564</v>
      </c>
      <c r="L211" t="inlineStr">
        <is>
          <t>Cambissolos Háplicos</t>
        </is>
      </c>
      <c r="M211" s="11">
        <f>IFERROR(VLOOKUP(L211,Classes_K,2,FALSE),"")</f>
        <v>0.04749999940395355</v>
      </c>
      <c r="N211" t="inlineStr">
        <is>
          <t>Mata Nativa</t>
        </is>
      </c>
      <c r="O211" s="11">
        <f>IFERROR(VLOOKUP(N211,Classes_C,2,FALSE),"")</f>
        <v>0.014999999664723873</v>
      </c>
      <c r="P211" s="12">
        <v>0.5097480416297913</v>
      </c>
      <c r="Q211">
        <f>IF(COUNT(M211,O211,P211)=3,1,0)</f>
        <v>1</v>
      </c>
      <c r="R211" s="12">
        <f>IF(H211&lt;=p_lambda*K211,0,(H211-p_lambda*K211)^2/(H211+(1-p_lambda)*K211))</f>
        <v>10.008777353726666</v>
      </c>
      <c r="S211" s="13">
        <f>R211/1000*A_pixel*RI_mmh/R_evento_mm/3600</f>
        <v>0.00039767275472396026</v>
      </c>
      <c r="T211" s="13">
        <f>IF(Q211=1,coef_W*MAX(R211*S211*A_pixel,0)^exp_M*M211*O211*fator_P*P211,"")</f>
        <v>0.008743127441971369</v>
      </c>
      <c r="U211" s="13">
        <f>IF(Q211=1,c_pura*T211,"")</f>
        <v>0.0009329420237825102</v>
      </c>
      <c r="V211" s="12">
        <f>IF(Q211=1,MIN(fator_f*R211,H211),"")</f>
        <v>12.259977366451357</v>
      </c>
      <c r="W211" s="13">
        <f>IF(Q211=1,V211/1000*A_pixel*RI_mmh/R_evento_mm/3600,"")</f>
        <v>0.00048711833622263446</v>
      </c>
      <c r="X211" s="13">
        <f>IF(Q211=1,coef_W*MAX(V211*W211*A_pixel,0)^exp_M*M211*O211*fator_P*P211,"")</f>
        <v>0.01097358382802221</v>
      </c>
      <c r="Y211" s="13">
        <f>IF(Q211=1,c_restr*X211,"")</f>
        <v>0.001518323940691571</v>
      </c>
    </row>
    <row r="212">
      <c r="A212">
        <v>211</v>
      </c>
      <c r="B212">
        <v>15</v>
      </c>
      <c r="C212">
        <v>159</v>
      </c>
      <c r="D212" s="9">
        <f>X0_canto+(C212+0.5)*dx_pix</f>
        <v>323430.001884672</v>
      </c>
      <c r="E212" s="9">
        <f>Y0_canto-(B212+0.5)*dy_pix</f>
        <v>7434593.7540743835</v>
      </c>
      <c r="F212" s="10">
        <f>(D212-x_DBT5)^2+(E212-y_DBT5)^2</f>
        <v>696438165.0485399</v>
      </c>
      <c r="G212" s="10">
        <f>(D212-x_CLP)^2+(E212-y_CLP)^2</f>
        <v>18092832.845906086</v>
      </c>
      <c r="H212" s="11">
        <f>(P_DBT5/F212+P_CLP/G212)/(1/F212+1/G212)</f>
        <v>78.58979743942173</v>
      </c>
      <c r="I212" s="11">
        <v>65</v>
      </c>
      <c r="J212" s="11">
        <f>4.2*I212/(10-0.058*I212)</f>
        <v>43.82022471910112</v>
      </c>
      <c r="K212" s="11">
        <f>25.4*(1000/J212-10)</f>
        <v>325.64102564102564</v>
      </c>
      <c r="L212" t="inlineStr">
        <is>
          <t>Área Urbana</t>
        </is>
      </c>
      <c r="M212" s="11">
        <f>IFERROR(VLOOKUP(L212,Classes_K,2,FALSE),"")</f>
        <v>0.0</v>
      </c>
      <c r="N212" t="inlineStr">
        <is>
          <t>Mata Nativa</t>
        </is>
      </c>
      <c r="O212" s="11">
        <f>IFERROR(VLOOKUP(N212,Classes_C,2,FALSE),"")</f>
        <v>0.014999999664723873</v>
      </c>
      <c r="P212" s="12">
        <v>0.3232345283031464</v>
      </c>
      <c r="Q212">
        <f>IF(COUNT(M212,O212,P212)=3,1,0)</f>
        <v>1</v>
      </c>
      <c r="R212" s="12">
        <f>IF(H212&lt;=p_lambda*K212,0,(H212-p_lambda*K212)^2/(H212+(1-p_lambda)*K212))</f>
        <v>10.007133707923655</v>
      </c>
      <c r="S212" s="13">
        <f>R212/1000*A_pixel*RI_mmh/R_evento_mm/3600</f>
        <v>0.000397607448729914</v>
      </c>
      <c r="T212" s="13">
        <f>IF(Q212=1,coef_W*MAX(R212*S212*A_pixel,0)^exp_M*M212*O212*fator_P*P212,"")</f>
        <v>0.0</v>
      </c>
      <c r="U212" s="13">
        <f>IF(Q212=1,c_pura*T212,"")</f>
        <v>0.0</v>
      </c>
      <c r="V212" s="12">
        <f>IF(Q212=1,MIN(fator_f*R212,H212),"")</f>
        <v>12.257964027595749</v>
      </c>
      <c r="W212" s="13">
        <f>IF(Q212=1,V212/1000*A_pixel*RI_mmh/R_evento_mm/3600,"")</f>
        <v>0.000487038341435998</v>
      </c>
      <c r="X212" s="13">
        <f>IF(Q212=1,coef_W*MAX(V212*W212*A_pixel,0)^exp_M*M212*O212*fator_P*P212,"")</f>
        <v>0.0</v>
      </c>
      <c r="Y212" s="13">
        <f>IF(Q212=1,c_restr*X212,"")</f>
        <v>0.0</v>
      </c>
    </row>
    <row r="213">
      <c r="A213">
        <v>212</v>
      </c>
      <c r="B213">
        <v>15</v>
      </c>
      <c r="C213">
        <v>160</v>
      </c>
      <c r="D213" s="9">
        <f>X0_canto+(C213+0.5)*dx_pix</f>
        <v>323459.9934601244</v>
      </c>
      <c r="E213" s="9">
        <f>Y0_canto-(B213+0.5)*dy_pix</f>
        <v>7434593.7540743835</v>
      </c>
      <c r="F213" s="10">
        <f>(D213-x_DBT5)^2+(E213-y_DBT5)^2</f>
        <v>694934036.4762712</v>
      </c>
      <c r="G213" s="10">
        <f>(D213-x_CLP)^2+(E213-y_CLP)^2</f>
        <v>18307730.143264696</v>
      </c>
      <c r="H213" s="11">
        <f>(P_DBT5/F213+P_CLP/G213)/(1/F213+1/G213)</f>
        <v>78.58417496365179</v>
      </c>
      <c r="I213" s="11">
        <v>65</v>
      </c>
      <c r="J213" s="11">
        <f>4.2*I213/(10-0.058*I213)</f>
        <v>43.82022471910112</v>
      </c>
      <c r="K213" s="11">
        <f>25.4*(1000/J213-10)</f>
        <v>325.64102564102564</v>
      </c>
      <c r="L213" t="inlineStr">
        <is>
          <t>Área Urbana</t>
        </is>
      </c>
      <c r="M213" s="11">
        <f>IFERROR(VLOOKUP(L213,Classes_K,2,FALSE),"")</f>
        <v>0.0</v>
      </c>
      <c r="N213" t="inlineStr">
        <is>
          <t>Área Urbanizada</t>
        </is>
      </c>
      <c r="O213" s="11">
        <f>IFERROR(VLOOKUP(N213,Classes_C,2,FALSE),"")</f>
        <v>0.0</v>
      </c>
      <c r="P213" s="12">
        <v>0.3039647340774536</v>
      </c>
      <c r="Q213">
        <f>IF(COUNT(M213,O213,P213)=3,1,0)</f>
        <v>1</v>
      </c>
      <c r="R213" s="12">
        <f>IF(H213&lt;=p_lambda*K213,0,(H213-p_lambda*K213)^2/(H213+(1-p_lambda)*K213))</f>
        <v>10.005472765828943</v>
      </c>
      <c r="S213" s="13">
        <f>R213/1000*A_pixel*RI_mmh/R_evento_mm/3600</f>
        <v>0.000397541455512671</v>
      </c>
      <c r="T213" s="13">
        <f>IF(Q213=1,coef_W*MAX(R213*S213*A_pixel,0)^exp_M*M213*O213*fator_P*P213,"")</f>
        <v>0.0</v>
      </c>
      <c r="U213" s="13">
        <f>IF(Q213=1,c_pura*T213,"")</f>
        <v>0.0</v>
      </c>
      <c r="V213" s="12">
        <f>IF(Q213=1,MIN(fator_f*R213,H213),"")</f>
        <v>12.255929502121909</v>
      </c>
      <c r="W213" s="13">
        <f>IF(Q213=1,V213/1000*A_pixel*RI_mmh/R_evento_mm/3600,"")</f>
        <v>0.00048695750485415153</v>
      </c>
      <c r="X213" s="13">
        <f>IF(Q213=1,coef_W*MAX(V213*W213*A_pixel,0)^exp_M*M213*O213*fator_P*P213,"")</f>
        <v>0.0</v>
      </c>
      <c r="Y213" s="13">
        <f>IF(Q213=1,c_restr*X213,"")</f>
        <v>0.0</v>
      </c>
    </row>
    <row r="214">
      <c r="A214">
        <v>213</v>
      </c>
      <c r="B214">
        <v>15</v>
      </c>
      <c r="C214">
        <v>343</v>
      </c>
      <c r="D214" s="9">
        <f>X0_canto+(C214+0.5)*dx_pix</f>
        <v>328948.4517679299</v>
      </c>
      <c r="E214" s="9">
        <f>Y0_canto-(B214+0.5)*dy_pix</f>
        <v>7434593.7540743835</v>
      </c>
      <c r="F214" s="10">
        <f>(D214-x_DBT5)^2+(E214-y_DBT5)^2</f>
        <v>449966289.85862386</v>
      </c>
      <c r="G214" s="10">
        <f>(D214-x_CLP)^2+(E214-y_CLP)^2</f>
        <v>87921717.66792908</v>
      </c>
      <c r="H214" s="11">
        <f>(P_DBT5/F214+P_CLP/G214)/(1/F214+1/G214)</f>
        <v>76.35199401624062</v>
      </c>
      <c r="I214" s="11">
        <v>77</v>
      </c>
      <c r="J214" s="11">
        <f>4.2*I214/(10-0.058*I214)</f>
        <v>58.438742320202394</v>
      </c>
      <c r="K214" s="11">
        <f>25.4*(1000/J214-10)</f>
        <v>180.64316635745197</v>
      </c>
      <c r="L214" t="inlineStr">
        <is>
          <t>Cambissolos Háplicos</t>
        </is>
      </c>
      <c r="M214" s="11">
        <f>IFERROR(VLOOKUP(L214,Classes_K,2,FALSE),"")</f>
        <v>0.04749999940395355</v>
      </c>
      <c r="N214" t="inlineStr">
        <is>
          <t>Área Urbanizada</t>
        </is>
      </c>
      <c r="O214" s="11">
        <f>IFERROR(VLOOKUP(N214,Classes_C,2,FALSE),"")</f>
        <v>0.0</v>
      </c>
      <c r="P214" s="12">
        <v>0.1437055617570877</v>
      </c>
      <c r="Q214">
        <f>IF(COUNT(M214,O214,P214)=3,1,0)</f>
        <v>1</v>
      </c>
      <c r="R214" s="12">
        <f>IF(H214&lt;=p_lambda*K214,0,(H214-p_lambda*K214)^2/(H214+(1-p_lambda)*K214))</f>
        <v>18.276760004039062</v>
      </c>
      <c r="S214" s="13">
        <f>R214/1000*A_pixel*RI_mmh/R_evento_mm/3600</f>
        <v>0.0007261795563399845</v>
      </c>
      <c r="T214" s="13">
        <f>IF(Q214=1,coef_W*MAX(R214*S214*A_pixel,0)^exp_M*M214*O214*fator_P*P214,"")</f>
        <v>0.0</v>
      </c>
      <c r="U214" s="13">
        <f>IF(Q214=1,c_pura*T214,"")</f>
        <v>0.0</v>
      </c>
      <c r="V214" s="12">
        <f>IF(Q214=1,MIN(fator_f*R214,H214),"")</f>
        <v>22.38761599568914</v>
      </c>
      <c r="W214" s="13">
        <f>IF(Q214=1,V214/1000*A_pixel*RI_mmh/R_evento_mm/3600,"")</f>
        <v>0.000889513734801282</v>
      </c>
      <c r="X214" s="13">
        <f>IF(Q214=1,coef_W*MAX(V214*W214*A_pixel,0)^exp_M*M214*O214*fator_P*P214,"")</f>
        <v>0.0</v>
      </c>
      <c r="Y214" s="13">
        <f>IF(Q214=1,c_restr*X214,"")</f>
        <v>0.0</v>
      </c>
    </row>
    <row r="215">
      <c r="A215">
        <v>214</v>
      </c>
      <c r="B215">
        <v>15</v>
      </c>
      <c r="C215">
        <v>344</v>
      </c>
      <c r="D215" s="9">
        <f>X0_canto+(C215+0.5)*dx_pix</f>
        <v>328978.4433433823</v>
      </c>
      <c r="E215" s="9">
        <f>Y0_canto-(B215+0.5)*dy_pix</f>
        <v>7434593.7540743835</v>
      </c>
      <c r="F215" s="10">
        <f>(D215-x_DBT5)^2+(E215-y_DBT5)^2</f>
        <v>448793175.2984636</v>
      </c>
      <c r="G215" s="10">
        <f>(D215-x_CLP)^2+(E215-y_CLP)^2</f>
        <v>88467628.97739618</v>
      </c>
      <c r="H215" s="11">
        <f>(P_DBT5/F215+P_CLP/G215)/(1/F215+1/G215)</f>
        <v>76.3324418698731</v>
      </c>
      <c r="I215" s="11">
        <v>85</v>
      </c>
      <c r="J215" s="11">
        <f>4.2*I215/(10-0.058*I215)</f>
        <v>70.41420118343196</v>
      </c>
      <c r="K215" s="11">
        <f>25.4*(1000/J215-10)</f>
        <v>106.72268907563023</v>
      </c>
      <c r="L215" t="inlineStr">
        <is>
          <t>Cambissolos Háplicos</t>
        </is>
      </c>
      <c r="M215" s="11">
        <f>IFERROR(VLOOKUP(L215,Classes_K,2,FALSE),"")</f>
        <v>0.04749999940395355</v>
      </c>
      <c r="N215" t="inlineStr">
        <is>
          <t>Mata Nativa</t>
        </is>
      </c>
      <c r="O215" s="11">
        <f>IFERROR(VLOOKUP(N215,Classes_C,2,FALSE),"")</f>
        <v>0.014999999664723873</v>
      </c>
      <c r="P215" s="12">
        <v>0.3029145300388336</v>
      </c>
      <c r="Q215">
        <f>IF(COUNT(M215,O215,P215)=3,1,0)</f>
        <v>1</v>
      </c>
      <c r="R215" s="12">
        <f>IF(H215&lt;=p_lambda*K215,0,(H215-p_lambda*K215)^2/(H215+(1-p_lambda)*K215))</f>
        <v>28.362053388901323</v>
      </c>
      <c r="S215" s="13">
        <f>R215/1000*A_pixel*RI_mmh/R_evento_mm/3600</f>
        <v>0.0011268924766912587</v>
      </c>
      <c r="T215" s="13">
        <f>IF(Q215=1,coef_W*MAX(R215*S215*A_pixel,0)^exp_M*M215*O215*fator_P*P215,"")</f>
        <v>0.016682870840127186</v>
      </c>
      <c r="U215" s="13">
        <f>IF(Q215=1,c_pura*T215,"")</f>
        <v>0.0017801583457853765</v>
      </c>
      <c r="V215" s="12">
        <f>IF(Q215=1,MIN(fator_f*R215,H215),"")</f>
        <v>34.74131957631627</v>
      </c>
      <c r="W215" s="13">
        <f>IF(Q215=1,V215/1000*A_pixel*RI_mmh/R_evento_mm/3600,"")</f>
        <v>0.0013803560385440101</v>
      </c>
      <c r="X215" s="13">
        <f>IF(Q215=1,coef_W*MAX(V215*W215*A_pixel,0)^exp_M*M215*O215*fator_P*P215,"")</f>
        <v>0.02093883257121147</v>
      </c>
      <c r="Y215" s="13">
        <f>IF(Q215=1,c_restr*X215,"")</f>
        <v>0.0028971329040034083</v>
      </c>
    </row>
    <row r="216">
      <c r="A216">
        <v>215</v>
      </c>
      <c r="B216">
        <v>15</v>
      </c>
      <c r="C216">
        <v>345</v>
      </c>
      <c r="D216" s="9">
        <f>X0_canto+(C216+0.5)*dx_pix</f>
        <v>329008.4349188348</v>
      </c>
      <c r="E216" s="9">
        <f>Y0_canto-(B216+0.5)*dy_pix</f>
        <v>7434593.7540743835</v>
      </c>
      <c r="F216" s="10">
        <f>(D216-x_DBT5)^2+(E216-y_DBT5)^2</f>
        <v>447621859.7274973</v>
      </c>
      <c r="G216" s="10">
        <f>(D216-x_CLP)^2+(E216-y_CLP)^2</f>
        <v>89015339.27606058</v>
      </c>
      <c r="H216" s="11">
        <f>(P_DBT5/F216+P_CLP/G216)/(1/F216+1/G216)</f>
        <v>76.31280772808877</v>
      </c>
      <c r="I216" s="11">
        <v>77</v>
      </c>
      <c r="J216" s="11">
        <f>4.2*I216/(10-0.058*I216)</f>
        <v>58.438742320202394</v>
      </c>
      <c r="K216" s="11">
        <f>25.4*(1000/J216-10)</f>
        <v>180.64316635745197</v>
      </c>
      <c r="L216" t="inlineStr">
        <is>
          <t>Cambissolos Háplicos</t>
        </is>
      </c>
      <c r="M216" s="11">
        <f>IFERROR(VLOOKUP(L216,Classes_K,2,FALSE),"")</f>
        <v>0.04749999940395355</v>
      </c>
      <c r="N216" t="inlineStr">
        <is>
          <t>Mata Nativa</t>
        </is>
      </c>
      <c r="O216" s="11">
        <f>IFERROR(VLOOKUP(N216,Classes_C,2,FALSE),"")</f>
        <v>0.014999999664723873</v>
      </c>
      <c r="P216" s="12">
        <v>0.3677715957164764</v>
      </c>
      <c r="Q216">
        <f>IF(COUNT(M216,O216,P216)=3,1,0)</f>
        <v>1</v>
      </c>
      <c r="R216" s="12">
        <f>IF(H216&lt;=p_lambda*K216,0,(H216-p_lambda*K216)^2/(H216+(1-p_lambda)*K216))</f>
        <v>18.258374134183317</v>
      </c>
      <c r="S216" s="13">
        <f>R216/1000*A_pixel*RI_mmh/R_evento_mm/3600</f>
        <v>0.0007254490415872703</v>
      </c>
      <c r="T216" s="13">
        <f>IF(Q216=1,coef_W*MAX(R216*S216*A_pixel,0)^exp_M*M216*O216*fator_P*P216,"")</f>
        <v>0.012368021438540431</v>
      </c>
      <c r="U216" s="13">
        <f>IF(Q216=1,c_pura*T216,"")</f>
        <v>0.0013197390782234428</v>
      </c>
      <c r="V216" s="12">
        <f>IF(Q216=1,MIN(fator_f*R216,H216),"")</f>
        <v>22.365094728572526</v>
      </c>
      <c r="W216" s="13">
        <f>IF(Q216=1,V216/1000*A_pixel*RI_mmh/R_evento_mm/3600,"")</f>
        <v>0.0008886189107865581</v>
      </c>
      <c r="X216" s="13">
        <f>IF(Q216=1,coef_W*MAX(V216*W216*A_pixel,0)^exp_M*M216*O216*fator_P*P216,"")</f>
        <v>0.015523223348097191</v>
      </c>
      <c r="Y216" s="13">
        <f>IF(Q216=1,c_restr*X216,"")</f>
        <v>0.002147819893254168</v>
      </c>
    </row>
    <row r="217">
      <c r="A217">
        <v>216</v>
      </c>
      <c r="B217">
        <v>15</v>
      </c>
      <c r="C217">
        <v>346</v>
      </c>
      <c r="D217" s="9">
        <f>X0_canto+(C217+0.5)*dx_pix</f>
        <v>329038.4264942873</v>
      </c>
      <c r="E217" s="9">
        <f>Y0_canto-(B217+0.5)*dy_pix</f>
        <v>7434593.7540743835</v>
      </c>
      <c r="F217" s="10">
        <f>(D217-x_DBT5)^2+(E217-y_DBT5)^2</f>
        <v>446452343.1457273</v>
      </c>
      <c r="G217" s="10">
        <f>(D217-x_CLP)^2+(E217-y_CLP)^2</f>
        <v>89564848.56392123</v>
      </c>
      <c r="H217" s="11">
        <f>(P_DBT5/F217+P_CLP/G217)/(1/F217+1/G217)</f>
        <v>76.29309170008442</v>
      </c>
      <c r="I217" s="11">
        <v>77</v>
      </c>
      <c r="J217" s="11">
        <f>4.2*I217/(10-0.058*I217)</f>
        <v>58.438742320202394</v>
      </c>
      <c r="K217" s="11">
        <f>25.4*(1000/J217-10)</f>
        <v>180.64316635745197</v>
      </c>
      <c r="L217" t="inlineStr">
        <is>
          <t>Cambissolos Háplicos</t>
        </is>
      </c>
      <c r="M217" s="11">
        <f>IFERROR(VLOOKUP(L217,Classes_K,2,FALSE),"")</f>
        <v>0.04749999940395355</v>
      </c>
      <c r="N217" t="inlineStr">
        <is>
          <t>Mata Nativa</t>
        </is>
      </c>
      <c r="O217" s="11">
        <f>IFERROR(VLOOKUP(N217,Classes_C,2,FALSE),"")</f>
        <v>0.014999999664723873</v>
      </c>
      <c r="P217" s="12">
        <v>0.3093821406364441</v>
      </c>
      <c r="Q217">
        <f>IF(COUNT(M217,O217,P217)=3,1,0)</f>
        <v>1</v>
      </c>
      <c r="R217" s="12">
        <f>IF(H217&lt;=p_lambda*K217,0,(H217-p_lambda*K217)^2/(H217+(1-p_lambda)*K217))</f>
        <v>18.249126029772178</v>
      </c>
      <c r="S217" s="13">
        <f>R217/1000*A_pixel*RI_mmh/R_evento_mm/3600</f>
        <v>0.0007250815921948842</v>
      </c>
      <c r="T217" s="13">
        <f>IF(Q217=1,coef_W*MAX(R217*S217*A_pixel,0)^exp_M*M217*O217*fator_P*P217,"")</f>
        <v>0.010398503682943351</v>
      </c>
      <c r="U217" s="13">
        <f>IF(Q217=1,c_pura*T217,"")</f>
        <v>0.0011095801970933713</v>
      </c>
      <c r="V217" s="12">
        <f>IF(Q217=1,MIN(fator_f*R217,H217),"")</f>
        <v>22.35376651666851</v>
      </c>
      <c r="W217" s="13">
        <f>IF(Q217=1,V217/1000*A_pixel*RI_mmh/R_evento_mm/3600,"")</f>
        <v>0.0008881688137292698</v>
      </c>
      <c r="X217" s="13">
        <f>IF(Q217=1,coef_W*MAX(V217*W217*A_pixel,0)^exp_M*M217*O217*fator_P*P217,"")</f>
        <v>0.01305126256115142</v>
      </c>
      <c r="Y217" s="13">
        <f>IF(Q217=1,c_restr*X217,"")</f>
        <v>0.001805795145269262</v>
      </c>
    </row>
    <row r="218">
      <c r="A218">
        <v>217</v>
      </c>
      <c r="B218">
        <v>15</v>
      </c>
      <c r="C218">
        <v>347</v>
      </c>
      <c r="D218" s="9">
        <f>X0_canto+(C218+0.5)*dx_pix</f>
        <v>329068.4180697398</v>
      </c>
      <c r="E218" s="9">
        <f>Y0_canto-(B218+0.5)*dy_pix</f>
        <v>7434593.7540743835</v>
      </c>
      <c r="F218" s="10">
        <f>(D218-x_DBT5)^2+(E218-y_DBT5)^2</f>
        <v>445284625.55315346</v>
      </c>
      <c r="G218" s="10">
        <f>(D218-x_CLP)^2+(E218-y_CLP)^2</f>
        <v>90116156.84097813</v>
      </c>
      <c r="H218" s="11">
        <f>(P_DBT5/F218+P_CLP/G218)/(1/F218+1/G218)</f>
        <v>76.27329389886576</v>
      </c>
      <c r="I218" s="11">
        <v>77</v>
      </c>
      <c r="J218" s="11">
        <f>4.2*I218/(10-0.058*I218)</f>
        <v>58.438742320202394</v>
      </c>
      <c r="K218" s="11">
        <f>25.4*(1000/J218-10)</f>
        <v>180.64316635745197</v>
      </c>
      <c r="L218" t="inlineStr">
        <is>
          <t>Cambissolos Háplicos</t>
        </is>
      </c>
      <c r="M218" s="11">
        <f>IFERROR(VLOOKUP(L218,Classes_K,2,FALSE),"")</f>
        <v>0.04749999940395355</v>
      </c>
      <c r="N218" t="inlineStr">
        <is>
          <t>Mata Nativa</t>
        </is>
      </c>
      <c r="O218" s="11">
        <f>IFERROR(VLOOKUP(N218,Classes_C,2,FALSE),"")</f>
        <v>0.014999999664723873</v>
      </c>
      <c r="P218" s="12">
        <v>0.2498693317174911</v>
      </c>
      <c r="Q218">
        <f>IF(COUNT(M218,O218,P218)=3,1,0)</f>
        <v>1</v>
      </c>
      <c r="R218" s="12">
        <f>IF(H218&lt;=p_lambda*K218,0,(H218-p_lambda*K218)^2/(H218+(1-p_lambda)*K218))</f>
        <v>18.239841243937487</v>
      </c>
      <c r="S218" s="13">
        <f>R218/1000*A_pixel*RI_mmh/R_evento_mm/3600</f>
        <v>0.0007247126853614709</v>
      </c>
      <c r="T218" s="13">
        <f>IF(Q218=1,coef_W*MAX(R218*S218*A_pixel,0)^exp_M*M218*O218*fator_P*P218,"")</f>
        <v>0.008393460032200482</v>
      </c>
      <c r="U218" s="13">
        <f>IF(Q218=1,c_pura*T218,"")</f>
        <v>0.0008956304984630434</v>
      </c>
      <c r="V218" s="12">
        <f>IF(Q218=1,MIN(fator_f*R218,H218),"")</f>
        <v>22.342393372860563</v>
      </c>
      <c r="W218" s="13">
        <f>IF(Q218=1,V218/1000*A_pixel*RI_mmh/R_evento_mm/3600,"")</f>
        <v>0.0008877169314195596</v>
      </c>
      <c r="X218" s="13">
        <f>IF(Q218=1,coef_W*MAX(V218*W218*A_pixel,0)^exp_M*M218*O218*fator_P*P218,"")</f>
        <v>0.010534712879552646</v>
      </c>
      <c r="Y218" s="13">
        <f>IF(Q218=1,c_restr*X218,"")</f>
        <v>0.001457601001096052</v>
      </c>
    </row>
    <row r="219">
      <c r="A219">
        <v>218</v>
      </c>
      <c r="B219">
        <v>15</v>
      </c>
      <c r="C219">
        <v>348</v>
      </c>
      <c r="D219" s="9">
        <f>X0_canto+(C219+0.5)*dx_pix</f>
        <v>329098.4096451923</v>
      </c>
      <c r="E219" s="9">
        <f>Y0_canto-(B219+0.5)*dy_pix</f>
        <v>7434593.7540743835</v>
      </c>
      <c r="F219" s="10">
        <f>(D219-x_DBT5)^2+(E219-y_DBT5)^2</f>
        <v>444118706.9497759</v>
      </c>
      <c r="G219" s="10">
        <f>(D219-x_CLP)^2+(E219-y_CLP)^2</f>
        <v>90669264.10723127</v>
      </c>
      <c r="H219" s="11">
        <f>(P_DBT5/F219+P_CLP/G219)/(1/F219+1/G219)</f>
        <v>76.25341444126205</v>
      </c>
      <c r="I219" s="11">
        <v>77</v>
      </c>
      <c r="J219" s="11">
        <f>4.2*I219/(10-0.058*I219)</f>
        <v>58.438742320202394</v>
      </c>
      <c r="K219" s="11">
        <f>25.4*(1000/J219-10)</f>
        <v>180.64316635745197</v>
      </c>
      <c r="L219" t="inlineStr">
        <is>
          <t>Cambissolos Háplicos</t>
        </is>
      </c>
      <c r="M219" s="11">
        <f>IFERROR(VLOOKUP(L219,Classes_K,2,FALSE),"")</f>
        <v>0.04749999940395355</v>
      </c>
      <c r="N219" t="inlineStr">
        <is>
          <t>Mata Nativa</t>
        </is>
      </c>
      <c r="O219" s="11">
        <f>IFERROR(VLOOKUP(N219,Classes_C,2,FALSE),"")</f>
        <v>0.014999999664723873</v>
      </c>
      <c r="P219" s="12">
        <v>0.2506487369537354</v>
      </c>
      <c r="Q219">
        <f>IF(COUNT(M219,O219,P219)=3,1,0)</f>
        <v>1</v>
      </c>
      <c r="R219" s="12">
        <f>IF(H219&lt;=p_lambda*K219,0,(H219-p_lambda*K219)^2/(H219+(1-p_lambda)*K219))</f>
        <v>18.230519852664997</v>
      </c>
      <c r="S219" s="13">
        <f>R219/1000*A_pixel*RI_mmh/R_evento_mm/3600</f>
        <v>0.0007243423241061262</v>
      </c>
      <c r="T219" s="13">
        <f>IF(Q219=1,coef_W*MAX(R219*S219*A_pixel,0)^exp_M*M219*O219*fator_P*P219,"")</f>
        <v>0.008414822331573523</v>
      </c>
      <c r="U219" s="13">
        <f>IF(Q219=1,c_pura*T219,"")</f>
        <v>0.0008979099787682325</v>
      </c>
      <c r="V219" s="12">
        <f>IF(Q219=1,MIN(fator_f*R219,H219),"")</f>
        <v>22.33097539022535</v>
      </c>
      <c r="W219" s="13">
        <f>IF(Q219=1,V219/1000*A_pixel*RI_mmh/R_evento_mm/3600,"")</f>
        <v>0.0008872632675555868</v>
      </c>
      <c r="X219" s="13">
        <f>IF(Q219=1,coef_W*MAX(V219*W219*A_pixel,0)^exp_M*M219*O219*fator_P*P219,"")</f>
        <v>0.010561524908141414</v>
      </c>
      <c r="Y219" s="13">
        <f>IF(Q219=1,c_restr*X219,"")</f>
        <v>0.0014613107595070533</v>
      </c>
    </row>
    <row r="220">
      <c r="A220">
        <v>219</v>
      </c>
      <c r="B220">
        <v>15</v>
      </c>
      <c r="C220">
        <v>349</v>
      </c>
      <c r="D220" s="9">
        <f>X0_canto+(C220+0.5)*dx_pix</f>
        <v>329128.4012206448</v>
      </c>
      <c r="E220" s="9">
        <f>Y0_canto-(B220+0.5)*dy_pix</f>
        <v>7434593.7540743835</v>
      </c>
      <c r="F220" s="10">
        <f>(D220-x_DBT5)^2+(E220-y_DBT5)^2</f>
        <v>442954587.3355946</v>
      </c>
      <c r="G220" s="10">
        <f>(D220-x_CLP)^2+(E220-y_CLP)^2</f>
        <v>91224170.36268066</v>
      </c>
      <c r="H220" s="11">
        <f>(P_DBT5/F220+P_CLP/G220)/(1/F220+1/G220)</f>
        <v>76.23345344794022</v>
      </c>
      <c r="I220" s="11">
        <v>81</v>
      </c>
      <c r="J220" s="11">
        <f>4.2*I220/(10-0.058*I220)</f>
        <v>64.16446623915503</v>
      </c>
      <c r="K220" s="11">
        <f>25.4*(1000/J220-10)</f>
        <v>141.85773074661967</v>
      </c>
      <c r="L220" t="inlineStr">
        <is>
          <t>Cambissolos Háplicos</t>
        </is>
      </c>
      <c r="M220" s="11">
        <f>IFERROR(VLOOKUP(L220,Classes_K,2,FALSE),"")</f>
        <v>0.04749999940395355</v>
      </c>
      <c r="N220" t="inlineStr">
        <is>
          <t>Mata Nativa</t>
        </is>
      </c>
      <c r="O220" s="11">
        <f>IFERROR(VLOOKUP(N220,Classes_C,2,FALSE),"")</f>
        <v>0.014999999664723873</v>
      </c>
      <c r="P220" s="12">
        <v>0.246499240398407</v>
      </c>
      <c r="Q220">
        <f>IF(COUNT(M220,O220,P220)=3,1,0)</f>
        <v>1</v>
      </c>
      <c r="R220" s="12">
        <f>IF(H220&lt;=p_lambda*K220,0,(H220-p_lambda*K220)^2/(H220+(1-p_lambda)*K220))</f>
        <v>22.65619223377016</v>
      </c>
      <c r="S220" s="13">
        <f>R220/1000*A_pixel*RI_mmh/R_evento_mm/3600</f>
        <v>0.0009001849135753115</v>
      </c>
      <c r="T220" s="13">
        <f>IF(Q220=1,coef_W*MAX(R220*S220*A_pixel,0)^exp_M*M220*O220*fator_P*P220,"")</f>
        <v>0.01055624418720354</v>
      </c>
      <c r="U220" s="13">
        <f>IF(Q220=1,c_pura*T220,"")</f>
        <v>0.001126412016857375</v>
      </c>
      <c r="V220" s="12">
        <f>IF(Q220=1,MIN(fator_f*R220,H220),"")</f>
        <v>27.752081416075303</v>
      </c>
      <c r="W220" s="13">
        <f>IF(Q220=1,V220/1000*A_pixel*RI_mmh/R_evento_mm/3600,"")</f>
        <v>0.001102656825705595</v>
      </c>
      <c r="X220" s="13">
        <f>IF(Q220=1,coef_W*MAX(V220*W220*A_pixel,0)^exp_M*M220*O220*fator_P*P220,"")</f>
        <v>0.013249244193932402</v>
      </c>
      <c r="Y220" s="13">
        <f>IF(Q220=1,c_restr*X220,"")</f>
        <v>0.0018331882246478471</v>
      </c>
    </row>
    <row r="221">
      <c r="A221">
        <v>220</v>
      </c>
      <c r="B221">
        <v>15</v>
      </c>
      <c r="C221">
        <v>350</v>
      </c>
      <c r="D221" s="9">
        <f>X0_canto+(C221+0.5)*dx_pix</f>
        <v>329158.39279609727</v>
      </c>
      <c r="E221" s="9">
        <f>Y0_canto-(B221+0.5)*dy_pix</f>
        <v>7434593.7540743835</v>
      </c>
      <c r="F221" s="10">
        <f>(D221-x_DBT5)^2+(E221-y_DBT5)^2</f>
        <v>441792266.71061176</v>
      </c>
      <c r="G221" s="10">
        <f>(D221-x_CLP)^2+(E221-y_CLP)^2</f>
        <v>91780875.60732521</v>
      </c>
      <c r="H221" s="11">
        <f>(P_DBT5/F221+P_CLP/G221)/(1/F221+1/G221)</f>
        <v>76.21341104341876</v>
      </c>
      <c r="I221" s="11">
        <v>81</v>
      </c>
      <c r="J221" s="11">
        <f>4.2*I221/(10-0.058*I221)</f>
        <v>64.16446623915503</v>
      </c>
      <c r="K221" s="11">
        <f>25.4*(1000/J221-10)</f>
        <v>141.85773074661967</v>
      </c>
      <c r="L221" t="inlineStr">
        <is>
          <t>Cambissolos Háplicos</t>
        </is>
      </c>
      <c r="M221" s="11">
        <f>IFERROR(VLOOKUP(L221,Classes_K,2,FALSE),"")</f>
        <v>0.04749999940395355</v>
      </c>
      <c r="N221" t="inlineStr">
        <is>
          <t>Mata Nativa</t>
        </is>
      </c>
      <c r="O221" s="11">
        <f>IFERROR(VLOOKUP(N221,Classes_C,2,FALSE),"")</f>
        <v>0.014999999664723873</v>
      </c>
      <c r="P221" s="12">
        <v>0.2667095065116882</v>
      </c>
      <c r="Q221">
        <f>IF(COUNT(M221,O221,P221)=3,1,0)</f>
        <v>1</v>
      </c>
      <c r="R221" s="12">
        <f>IF(H221&lt;=p_lambda*K221,0,(H221-p_lambda*K221)^2/(H221+(1-p_lambda)*K221))</f>
        <v>22.64521005861039</v>
      </c>
      <c r="S221" s="13">
        <f>R221/1000*A_pixel*RI_mmh/R_evento_mm/3600</f>
        <v>0.0008997485653886852</v>
      </c>
      <c r="T221" s="13">
        <f>IF(Q221=1,coef_W*MAX(R221*S221*A_pixel,0)^exp_M*M221*O221*fator_P*P221,"")</f>
        <v>0.011415541122323764</v>
      </c>
      <c r="U221" s="13">
        <f>IF(Q221=1,c_pura*T221,"")</f>
        <v>0.0012181039459756367</v>
      </c>
      <c r="V221" s="12">
        <f>IF(Q221=1,MIN(fator_f*R221,H221),"")</f>
        <v>27.738629101758107</v>
      </c>
      <c r="W221" s="13">
        <f>IF(Q221=1,V221/1000*A_pixel*RI_mmh/R_evento_mm/3600,"")</f>
        <v>0.0011021223329595914</v>
      </c>
      <c r="X221" s="13">
        <f>IF(Q221=1,coef_W*MAX(V221*W221*A_pixel,0)^exp_M*M221*O221*fator_P*P221,"")</f>
        <v>0.01432775608950854</v>
      </c>
      <c r="Y221" s="13">
        <f>IF(Q221=1,c_restr*X221,"")</f>
        <v>0.0019824129863152515</v>
      </c>
    </row>
    <row r="222">
      <c r="A222">
        <v>221</v>
      </c>
      <c r="B222">
        <v>15</v>
      </c>
      <c r="C222">
        <v>351</v>
      </c>
      <c r="D222" s="9">
        <f>X0_canto+(C222+0.5)*dx_pix</f>
        <v>329188.38437154976</v>
      </c>
      <c r="E222" s="9">
        <f>Y0_canto-(B222+0.5)*dy_pix</f>
        <v>7434593.7540743835</v>
      </c>
      <c r="F222" s="10">
        <f>(D222-x_DBT5)^2+(E222-y_DBT5)^2</f>
        <v>440631745.07482296</v>
      </c>
      <c r="G222" s="10">
        <f>(D222-x_CLP)^2+(E222-y_CLP)^2</f>
        <v>92339379.84116709</v>
      </c>
      <c r="H222" s="11">
        <f>(P_DBT5/F222+P_CLP/G222)/(1/F222+1/G222)</f>
        <v>76.19328735608131</v>
      </c>
      <c r="I222" s="11">
        <v>81</v>
      </c>
      <c r="J222" s="11">
        <f>4.2*I222/(10-0.058*I222)</f>
        <v>64.16446623915503</v>
      </c>
      <c r="K222" s="11">
        <f>25.4*(1000/J222-10)</f>
        <v>141.85773074661967</v>
      </c>
      <c r="L222" t="inlineStr">
        <is>
          <t>Cambissolos Háplicos</t>
        </is>
      </c>
      <c r="M222" s="11">
        <f>IFERROR(VLOOKUP(L222,Classes_K,2,FALSE),"")</f>
        <v>0.04749999940395355</v>
      </c>
      <c r="N222" t="inlineStr">
        <is>
          <t>Mata Nativa</t>
        </is>
      </c>
      <c r="O222" s="11">
        <f>IFERROR(VLOOKUP(N222,Classes_C,2,FALSE),"")</f>
        <v>0.014999999664723873</v>
      </c>
      <c r="P222" s="12">
        <v>0.3376055657863617</v>
      </c>
      <c r="Q222">
        <f>IF(COUNT(M222,O222,P222)=3,1,0)</f>
        <v>1</v>
      </c>
      <c r="R222" s="12">
        <f>IF(H222&lt;=p_lambda*K222,0,(H222-p_lambda*K222)^2/(H222+(1-p_lambda)*K222))</f>
        <v>22.6341850768258</v>
      </c>
      <c r="S222" s="13">
        <f>R222/1000*A_pixel*RI_mmh/R_evento_mm/3600</f>
        <v>0.0008993105163920786</v>
      </c>
      <c r="T222" s="13">
        <f>IF(Q222=1,coef_W*MAX(R222*S222*A_pixel,0)^exp_M*M222*O222*fator_P*P222,"")</f>
        <v>0.014442112878730387</v>
      </c>
      <c r="U222" s="13">
        <f>IF(Q222=1,c_pura*T222,"")</f>
        <v>0.001541056573429083</v>
      </c>
      <c r="V222" s="12">
        <f>IF(Q222=1,MIN(fator_f*R222,H222),"")</f>
        <v>27.725124352639646</v>
      </c>
      <c r="W222" s="13">
        <f>IF(Q222=1,V222/1000*A_pixel*RI_mmh/R_evento_mm/3600,"")</f>
        <v>0.001101585756853041</v>
      </c>
      <c r="X222" s="13">
        <f>IF(Q222=1,coef_W*MAX(V222*W222*A_pixel,0)^exp_M*M222*O222*fator_P*P222,"")</f>
        <v>0.018126435578156595</v>
      </c>
      <c r="Y222" s="13">
        <f>IF(Q222=1,c_restr*X222,"")</f>
        <v>0.0025080048167526437</v>
      </c>
    </row>
    <row r="223">
      <c r="A223">
        <v>222</v>
      </c>
      <c r="B223">
        <v>15</v>
      </c>
      <c r="C223">
        <v>352</v>
      </c>
      <c r="D223" s="9">
        <f>X0_canto+(C223+0.5)*dx_pix</f>
        <v>329218.37594700226</v>
      </c>
      <c r="E223" s="9">
        <f>Y0_canto-(B223+0.5)*dy_pix</f>
        <v>7434593.7540743835</v>
      </c>
      <c r="F223" s="10">
        <f>(D223-x_DBT5)^2+(E223-y_DBT5)^2</f>
        <v>439473022.42823035</v>
      </c>
      <c r="G223" s="10">
        <f>(D223-x_CLP)^2+(E223-y_CLP)^2</f>
        <v>92899683.06420521</v>
      </c>
      <c r="H223" s="11">
        <f>(P_DBT5/F223+P_CLP/G223)/(1/F223+1/G223)</f>
        <v>76.17308251819004</v>
      </c>
      <c r="I223" s="11">
        <v>81</v>
      </c>
      <c r="J223" s="11">
        <f>4.2*I223/(10-0.058*I223)</f>
        <v>64.16446623915503</v>
      </c>
      <c r="K223" s="11">
        <f>25.4*(1000/J223-10)</f>
        <v>141.85773074661967</v>
      </c>
      <c r="L223" t="inlineStr">
        <is>
          <t>Cambissolos Háplicos</t>
        </is>
      </c>
      <c r="M223" s="11">
        <f>IFERROR(VLOOKUP(L223,Classes_K,2,FALSE),"")</f>
        <v>0.04749999940395355</v>
      </c>
      <c r="N223" t="inlineStr">
        <is>
          <t>Área Urbanizada</t>
        </is>
      </c>
      <c r="O223" s="11">
        <f>IFERROR(VLOOKUP(N223,Classes_C,2,FALSE),"")</f>
        <v>0.0</v>
      </c>
      <c r="P223" s="12">
        <v>0.2455224543809891</v>
      </c>
      <c r="Q223">
        <f>IF(COUNT(M223,O223,P223)=3,1,0)</f>
        <v>1</v>
      </c>
      <c r="R223" s="12">
        <f>IF(H223&lt;=p_lambda*K223,0,(H223-p_lambda*K223)^2/(H223+(1-p_lambda)*K223))</f>
        <v>22.623117382390777</v>
      </c>
      <c r="S223" s="13">
        <f>R223/1000*A_pixel*RI_mmh/R_evento_mm/3600</f>
        <v>0.0008988707703193197</v>
      </c>
      <c r="T223" s="13">
        <f>IF(Q223=1,coef_W*MAX(R223*S223*A_pixel,0)^exp_M*M223*O223*fator_P*P223,"")</f>
        <v>0.0</v>
      </c>
      <c r="U223" s="13">
        <f>IF(Q223=1,c_pura*T223,"")</f>
        <v>0.0</v>
      </c>
      <c r="V223" s="12">
        <f>IF(Q223=1,MIN(fator_f*R223,H223),"")</f>
        <v>27.71156728383127</v>
      </c>
      <c r="W223" s="13">
        <f>IF(Q223=1,V223/1000*A_pixel*RI_mmh/R_evento_mm/3600,"")</f>
        <v>0.0011010471019595935</v>
      </c>
      <c r="X223" s="13">
        <f>IF(Q223=1,coef_W*MAX(V223*W223*A_pixel,0)^exp_M*M223*O223*fator_P*P223,"")</f>
        <v>0.0</v>
      </c>
      <c r="Y223" s="13">
        <f>IF(Q223=1,c_restr*X223,"")</f>
        <v>0.0</v>
      </c>
    </row>
    <row r="224">
      <c r="A224">
        <v>223</v>
      </c>
      <c r="B224">
        <v>15</v>
      </c>
      <c r="C224">
        <v>353</v>
      </c>
      <c r="D224" s="9">
        <f>X0_canto+(C224+0.5)*dx_pix</f>
        <v>329248.36752245476</v>
      </c>
      <c r="E224" s="9">
        <f>Y0_canto-(B224+0.5)*dy_pix</f>
        <v>7434593.7540743835</v>
      </c>
      <c r="F224" s="10">
        <f>(D224-x_DBT5)^2+(E224-y_DBT5)^2</f>
        <v>438316098.770834</v>
      </c>
      <c r="G224" s="10">
        <f>(D224-x_CLP)^2+(E224-y_CLP)^2</f>
        <v>93461785.27643958</v>
      </c>
      <c r="H224" s="11">
        <f>(P_DBT5/F224+P_CLP/G224)/(1/F224+1/G224)</f>
        <v>76.15279666589862</v>
      </c>
      <c r="I224" s="11">
        <v>77</v>
      </c>
      <c r="J224" s="11">
        <f>4.2*I224/(10-0.058*I224)</f>
        <v>58.438742320202394</v>
      </c>
      <c r="K224" s="11">
        <f>25.4*(1000/J224-10)</f>
        <v>180.64316635745197</v>
      </c>
      <c r="L224" t="inlineStr">
        <is>
          <t>Cambissolos Háplicos</t>
        </is>
      </c>
      <c r="M224" s="11">
        <f>IFERROR(VLOOKUP(L224,Classes_K,2,FALSE),"")</f>
        <v>0.04749999940395355</v>
      </c>
      <c r="N224" t="inlineStr">
        <is>
          <t>Área Urbanizada</t>
        </is>
      </c>
      <c r="O224" s="11">
        <f>IFERROR(VLOOKUP(N224,Classes_C,2,FALSE),"")</f>
        <v>0.0</v>
      </c>
      <c r="P224" s="12">
        <v>0.2562607824802399</v>
      </c>
      <c r="Q224">
        <f>IF(COUNT(M224,O224,P224)=3,1,0)</f>
        <v>1</v>
      </c>
      <c r="R224" s="12">
        <f>IF(H224&lt;=p_lambda*K224,0,(H224-p_lambda*K224)^2/(H224+(1-p_lambda)*K224))</f>
        <v>18.183366604342805</v>
      </c>
      <c r="S224" s="13">
        <f>R224/1000*A_pixel*RI_mmh/R_evento_mm/3600</f>
        <v>0.000722468812338229</v>
      </c>
      <c r="T224" s="13">
        <f>IF(Q224=1,coef_W*MAX(R224*S224*A_pixel,0)^exp_M*M224*O224*fator_P*P224,"")</f>
        <v>0.0</v>
      </c>
      <c r="U224" s="13">
        <f>IF(Q224=1,c_pura*T224,"")</f>
        <v>0.0</v>
      </c>
      <c r="V224" s="12">
        <f>IF(Q224=1,MIN(fator_f*R224,H224),"")</f>
        <v>22.273216311693197</v>
      </c>
      <c r="W224" s="13">
        <f>IF(Q224=1,V224/1000*A_pixel*RI_mmh/R_evento_mm/3600,"")</f>
        <v>0.0008849683606895002</v>
      </c>
      <c r="X224" s="13">
        <f>IF(Q224=1,coef_W*MAX(V224*W224*A_pixel,0)^exp_M*M224*O224*fator_P*P224,"")</f>
        <v>0.0</v>
      </c>
      <c r="Y224" s="13">
        <f>IF(Q224=1,c_restr*X224,"")</f>
        <v>0.0</v>
      </c>
    </row>
    <row r="225">
      <c r="A225">
        <v>224</v>
      </c>
      <c r="B225">
        <v>16</v>
      </c>
      <c r="C225">
        <v>40</v>
      </c>
      <c r="D225" s="9">
        <f>X0_canto+(C225+0.5)*dx_pix</f>
        <v>319861.0044058258</v>
      </c>
      <c r="E225" s="9">
        <f>Y0_canto-(B225+0.5)*dy_pix</f>
        <v>7434563.829343698</v>
      </c>
      <c r="F225" s="10">
        <f>(D225-x_DBT5)^2+(E225-y_DBT5)^2</f>
        <v>887785665.7938551</v>
      </c>
      <c r="G225" s="10">
        <f>(D225-x_CLP)^2+(E225-y_CLP)^2</f>
        <v>5227108.803496378</v>
      </c>
      <c r="H225" s="11">
        <f>(P_DBT5/F225+P_CLP/G225)/(1/F225+1/G225)</f>
        <v>78.90517787228501</v>
      </c>
      <c r="I225" s="11">
        <v>85</v>
      </c>
      <c r="J225" s="11">
        <f>4.2*I225/(10-0.058*I225)</f>
        <v>70.41420118343196</v>
      </c>
      <c r="K225" s="11">
        <f>25.4*(1000/J225-10)</f>
        <v>106.72268907563023</v>
      </c>
      <c r="L225" t="inlineStr">
        <is>
          <t>Área Urbana</t>
        </is>
      </c>
      <c r="M225" s="11">
        <f>IFERROR(VLOOKUP(L225,Classes_K,2,FALSE),"")</f>
        <v>0.0</v>
      </c>
      <c r="N225" t="inlineStr">
        <is>
          <t>Área Urbanizada</t>
        </is>
      </c>
      <c r="O225" s="11">
        <f>IFERROR(VLOOKUP(N225,Classes_C,2,FALSE),"")</f>
        <v>0.0</v>
      </c>
      <c r="P225" s="12">
        <v>0.2373534590005875</v>
      </c>
      <c r="Q225">
        <f>IF(COUNT(M225,O225,P225)=3,1,0)</f>
        <v>1</v>
      </c>
      <c r="R225" s="12">
        <f>IF(H225&lt;=p_lambda*K225,0,(H225-p_lambda*K225)^2/(H225+(1-p_lambda)*K225))</f>
        <v>30.020257028090622</v>
      </c>
      <c r="S225" s="13">
        <f>R225/1000*A_pixel*RI_mmh/R_evento_mm/3600</f>
        <v>0.0011927768885214582</v>
      </c>
      <c r="T225" s="13">
        <f>IF(Q225=1,coef_W*MAX(R225*S225*A_pixel,0)^exp_M*M225*O225*fator_P*P225,"")</f>
        <v>0.0</v>
      </c>
      <c r="U225" s="13">
        <f>IF(Q225=1,c_pura*T225,"")</f>
        <v>0.0</v>
      </c>
      <c r="V225" s="12">
        <f>IF(Q225=1,MIN(fator_f*R225,H225),"")</f>
        <v>36.77249065415612</v>
      </c>
      <c r="W225" s="13">
        <f>IF(Q225=1,V225/1000*A_pixel*RI_mmh/R_evento_mm/3600,"")</f>
        <v>0.0014610593421837356</v>
      </c>
      <c r="X225" s="13">
        <f>IF(Q225=1,coef_W*MAX(V225*W225*A_pixel,0)^exp_M*M225*O225*fator_P*P225,"")</f>
        <v>0.0</v>
      </c>
      <c r="Y225" s="13">
        <f>IF(Q225=1,c_restr*X225,"")</f>
        <v>0.0</v>
      </c>
    </row>
    <row r="226">
      <c r="A226">
        <v>225</v>
      </c>
      <c r="B226">
        <v>16</v>
      </c>
      <c r="C226">
        <v>41</v>
      </c>
      <c r="D226" s="9">
        <f>X0_canto+(C226+0.5)*dx_pix</f>
        <v>319890.9959812783</v>
      </c>
      <c r="E226" s="9">
        <f>Y0_canto-(B226+0.5)*dy_pix</f>
        <v>7434563.829343698</v>
      </c>
      <c r="F226" s="10">
        <f>(D226-x_DBT5)^2+(E226-y_DBT5)^2</f>
        <v>886067457.5072302</v>
      </c>
      <c r="G226" s="10">
        <f>(D226-x_CLP)^2+(E226-y_CLP)^2</f>
        <v>5227926.386502223</v>
      </c>
      <c r="H226" s="11">
        <f>(P_DBT5/F226+P_CLP/G226)/(1/F226+1/G226)</f>
        <v>78.90498030038856</v>
      </c>
      <c r="I226" s="11">
        <v>77</v>
      </c>
      <c r="J226" s="11">
        <f>4.2*I226/(10-0.058*I226)</f>
        <v>58.438742320202394</v>
      </c>
      <c r="K226" s="11">
        <f>25.4*(1000/J226-10)</f>
        <v>180.64316635745197</v>
      </c>
      <c r="L226" t="inlineStr">
        <is>
          <t>Cambissolos Háplicos</t>
        </is>
      </c>
      <c r="M226" s="11">
        <f>IFERROR(VLOOKUP(L226,Classes_K,2,FALSE),"")</f>
        <v>0.04749999940395355</v>
      </c>
      <c r="N226" t="inlineStr">
        <is>
          <t>Área Urbanizada</t>
        </is>
      </c>
      <c r="O226" s="11">
        <f>IFERROR(VLOOKUP(N226,Classes_C,2,FALSE),"")</f>
        <v>0.0</v>
      </c>
      <c r="P226" s="12">
        <v>0.2983170747756958</v>
      </c>
      <c r="Q226">
        <f>IF(COUNT(M226,O226,P226)=3,1,0)</f>
        <v>1</v>
      </c>
      <c r="R226" s="12">
        <f>IF(H226&lt;=p_lambda*K226,0,(H226-p_lambda*K226)^2/(H226+(1-p_lambda)*K226))</f>
        <v>19.488621401580403</v>
      </c>
      <c r="S226" s="13">
        <f>R226/1000*A_pixel*RI_mmh/R_evento_mm/3600</f>
        <v>0.0007743297192691711</v>
      </c>
      <c r="T226" s="13">
        <f>IF(Q226=1,coef_W*MAX(R226*S226*A_pixel,0)^exp_M*M226*O226*fator_P*P226,"")</f>
        <v>0.0</v>
      </c>
      <c r="U226" s="13">
        <f>IF(Q226=1,c_pura*T226,"")</f>
        <v>0.0</v>
      </c>
      <c r="V226" s="12">
        <f>IF(Q226=1,MIN(fator_f*R226,H226),"")</f>
        <v>23.87205238387605</v>
      </c>
      <c r="W226" s="13">
        <f>IF(Q226=1,V226/1000*A_pixel*RI_mmh/R_evento_mm/3600,"")</f>
        <v>0.0009484939565446475</v>
      </c>
      <c r="X226" s="13">
        <f>IF(Q226=1,coef_W*MAX(V226*W226*A_pixel,0)^exp_M*M226*O226*fator_P*P226,"")</f>
        <v>0.0</v>
      </c>
      <c r="Y226" s="13">
        <f>IF(Q226=1,c_restr*X226,"")</f>
        <v>0.0</v>
      </c>
    </row>
    <row r="227">
      <c r="A227">
        <v>226</v>
      </c>
      <c r="B227">
        <v>16</v>
      </c>
      <c r="C227">
        <v>42</v>
      </c>
      <c r="D227" s="9">
        <f>X0_canto+(C227+0.5)*dx_pix</f>
        <v>319920.98755673075</v>
      </c>
      <c r="E227" s="9">
        <f>Y0_canto-(B227+0.5)*dy_pix</f>
        <v>7434563.829343698</v>
      </c>
      <c r="F227" s="10">
        <f>(D227-x_DBT5)^2+(E227-y_DBT5)^2</f>
        <v>884351048.2098049</v>
      </c>
      <c r="G227" s="10">
        <f>(D227-x_CLP)^2+(E227-y_CLP)^2</f>
        <v>5230542.958704307</v>
      </c>
      <c r="H227" s="11">
        <f>(P_DBT5/F227+P_CLP/G227)/(1/F227+1/G227)</f>
        <v>78.90474958971893</v>
      </c>
      <c r="I227" s="11">
        <v>77</v>
      </c>
      <c r="J227" s="11">
        <f>4.2*I227/(10-0.058*I227)</f>
        <v>58.438742320202394</v>
      </c>
      <c r="K227" s="11">
        <f>25.4*(1000/J227-10)</f>
        <v>180.64316635745197</v>
      </c>
      <c r="L227" t="inlineStr">
        <is>
          <t>Cambissolos Háplicos</t>
        </is>
      </c>
      <c r="M227" s="11">
        <f>IFERROR(VLOOKUP(L227,Classes_K,2,FALSE),"")</f>
        <v>0.04749999940395355</v>
      </c>
      <c r="N227" t="inlineStr">
        <is>
          <t>Campo</t>
        </is>
      </c>
      <c r="O227" s="11">
        <f>IFERROR(VLOOKUP(N227,Classes_C,2,FALSE),"")</f>
        <v>0.05000000074505806</v>
      </c>
      <c r="P227" s="12">
        <v>0.4440625011920929</v>
      </c>
      <c r="Q227">
        <f>IF(COUNT(M227,O227,P227)=3,1,0)</f>
        <v>1</v>
      </c>
      <c r="R227" s="12">
        <f>IF(H227&lt;=p_lambda*K227,0,(H227-p_lambda*K227)^2/(H227+(1-p_lambda)*K227))</f>
        <v>19.488510651960347</v>
      </c>
      <c r="S227" s="13">
        <f>R227/1000*A_pixel*RI_mmh/R_evento_mm/3600</f>
        <v>0.0007743253189208633</v>
      </c>
      <c r="T227" s="13">
        <f>IF(Q227=1,coef_W*MAX(R227*S227*A_pixel,0)^exp_M*M227*O227*fator_P*P227,"")</f>
        <v>0.053549995927041946</v>
      </c>
      <c r="U227" s="13">
        <f>IF(Q227=1,c_pura*T227,"")</f>
        <v>0.005714092800922859</v>
      </c>
      <c r="V227" s="12">
        <f>IF(Q227=1,MIN(fator_f*R227,H227),"")</f>
        <v>23.87191672416585</v>
      </c>
      <c r="W227" s="13">
        <f>IF(Q227=1,V227/1000*A_pixel*RI_mmh/R_evento_mm/3600,"")</f>
        <v>0.0009484885664586506</v>
      </c>
      <c r="X227" s="13">
        <f>IF(Q227=1,coef_W*MAX(V227*W227*A_pixel,0)^exp_M*M227*O227*fator_P*P227,"")</f>
        <v>0.06721111789755001</v>
      </c>
      <c r="Y227" s="13">
        <f>IF(Q227=1,c_restr*X227,"")</f>
        <v>0.009299445922480026</v>
      </c>
    </row>
    <row r="228">
      <c r="A228">
        <v>227</v>
      </c>
      <c r="B228">
        <v>16</v>
      </c>
      <c r="C228">
        <v>43</v>
      </c>
      <c r="D228" s="9">
        <f>X0_canto+(C228+0.5)*dx_pix</f>
        <v>319950.97913218325</v>
      </c>
      <c r="E228" s="9">
        <f>Y0_canto-(B228+0.5)*dy_pix</f>
        <v>7434563.829343698</v>
      </c>
      <c r="F228" s="10">
        <f>(D228-x_DBT5)^2+(E228-y_DBT5)^2</f>
        <v>882636437.9015726</v>
      </c>
      <c r="G228" s="10">
        <f>(D228-x_CLP)^2+(E228-y_CLP)^2</f>
        <v>5234958.520102641</v>
      </c>
      <c r="H228" s="11">
        <f>(P_DBT5/F228+P_CLP/G228)/(1/F228+1/G228)</f>
        <v>78.90448555118489</v>
      </c>
      <c r="I228" s="11">
        <v>77</v>
      </c>
      <c r="J228" s="11">
        <f>4.2*I228/(10-0.058*I228)</f>
        <v>58.438742320202394</v>
      </c>
      <c r="K228" s="11">
        <f>25.4*(1000/J228-10)</f>
        <v>180.64316635745197</v>
      </c>
      <c r="L228" t="inlineStr">
        <is>
          <t>Cambissolos Háplicos</t>
        </is>
      </c>
      <c r="M228" s="11">
        <f>IFERROR(VLOOKUP(L228,Classes_K,2,FALSE),"")</f>
        <v>0.04749999940395355</v>
      </c>
      <c r="N228" t="inlineStr">
        <is>
          <t>Mata Nativa</t>
        </is>
      </c>
      <c r="O228" s="11">
        <f>IFERROR(VLOOKUP(N228,Classes_C,2,FALSE),"")</f>
        <v>0.014999999664723873</v>
      </c>
      <c r="P228" s="12">
        <v>0.6611437797546387</v>
      </c>
      <c r="Q228">
        <f>IF(COUNT(M228,O228,P228)=3,1,0)</f>
        <v>1</v>
      </c>
      <c r="R228" s="12">
        <f>IF(H228&lt;=p_lambda*K228,0,(H228-p_lambda*K228)^2/(H228+(1-p_lambda)*K228))</f>
        <v>19.488383904008817</v>
      </c>
      <c r="S228" s="13">
        <f>R228/1000*A_pixel*RI_mmh/R_evento_mm/3600</f>
        <v>0.000774320282920435</v>
      </c>
      <c r="T228" s="13">
        <f>IF(Q228=1,coef_W*MAX(R228*S228*A_pixel,0)^exp_M*M228*O228*fator_P*P228,"")</f>
        <v>0.023918246243608273</v>
      </c>
      <c r="U228" s="13">
        <f>IF(Q228=1,c_pura*T228,"")</f>
        <v>0.002552214548391504</v>
      </c>
      <c r="V228" s="12">
        <f>IF(Q228=1,MIN(fator_f*R228,H228),"")</f>
        <v>23.87176146773821</v>
      </c>
      <c r="W228" s="13">
        <f>IF(Q228=1,V228/1000*A_pixel*RI_mmh/R_evento_mm/3600,"")</f>
        <v>0.0009484823977480194</v>
      </c>
      <c r="X228" s="13">
        <f>IF(Q228=1,coef_W*MAX(V228*W228*A_pixel,0)^exp_M*M228*O228*fator_P*P228,"")</f>
        <v>0.030020022230664432</v>
      </c>
      <c r="Y228" s="13">
        <f>IF(Q228=1,c_restr*X228,"")</f>
        <v>0.004153621931288967</v>
      </c>
    </row>
    <row r="229">
      <c r="A229">
        <v>228</v>
      </c>
      <c r="B229">
        <v>16</v>
      </c>
      <c r="C229">
        <v>44</v>
      </c>
      <c r="D229" s="9">
        <f>X0_canto+(C229+0.5)*dx_pix</f>
        <v>319980.97070763574</v>
      </c>
      <c r="E229" s="9">
        <f>Y0_canto-(B229+0.5)*dy_pix</f>
        <v>7434563.829343698</v>
      </c>
      <c r="F229" s="10">
        <f>(D229-x_DBT5)^2+(E229-y_DBT5)^2</f>
        <v>880923626.5825365</v>
      </c>
      <c r="G229" s="10">
        <f>(D229-x_CLP)^2+(E229-y_CLP)^2</f>
        <v>5241173.07069722</v>
      </c>
      <c r="H229" s="11">
        <f>(P_DBT5/F229+P_CLP/G229)/(1/F229+1/G229)</f>
        <v>78.90418799504589</v>
      </c>
      <c r="I229" s="11">
        <v>65</v>
      </c>
      <c r="J229" s="11">
        <f>4.2*I229/(10-0.058*I229)</f>
        <v>43.82022471910112</v>
      </c>
      <c r="K229" s="11">
        <f>25.4*(1000/J229-10)</f>
        <v>325.64102564102564</v>
      </c>
      <c r="L229" t="inlineStr">
        <is>
          <t>Cambissolos Háplicos</t>
        </is>
      </c>
      <c r="M229" s="11">
        <f>IFERROR(VLOOKUP(L229,Classes_K,2,FALSE),"")</f>
        <v>0.04749999940395355</v>
      </c>
      <c r="N229" t="inlineStr">
        <is>
          <t>Mata Nativa</t>
        </is>
      </c>
      <c r="O229" s="11">
        <f>IFERROR(VLOOKUP(N229,Classes_C,2,FALSE),"")</f>
        <v>0.014999999664723873</v>
      </c>
      <c r="P229" s="12">
        <v>0.9188970327377319</v>
      </c>
      <c r="Q229">
        <f>IF(COUNT(M229,O229,P229)=3,1,0)</f>
        <v>1</v>
      </c>
      <c r="R229" s="12">
        <f>IF(H229&lt;=p_lambda*K229,0,(H229-p_lambda*K229)^2/(H229+(1-p_lambda)*K229))</f>
        <v>10.10019076423561</v>
      </c>
      <c r="S229" s="13">
        <f>R229/1000*A_pixel*RI_mmh/R_evento_mm/3600</f>
        <v>0.00040130482900147115</v>
      </c>
      <c r="T229" s="13">
        <f>IF(Q229=1,coef_W*MAX(R229*S229*A_pixel,0)^exp_M*M229*O229*fator_P*P229,"")</f>
        <v>0.015922104346635255</v>
      </c>
      <c r="U229" s="13">
        <f>IF(Q229=1,c_pura*T229,"")</f>
        <v>0.0016989801819332602</v>
      </c>
      <c r="V229" s="12">
        <f>IF(Q229=1,MIN(fator_f*R229,H229),"")</f>
        <v>12.371951716986038</v>
      </c>
      <c r="W229" s="13">
        <f>IF(Q229=1,V229/1000*A_pixel*RI_mmh/R_evento_mm/3600,"")</f>
        <v>0.0004915673460129234</v>
      </c>
      <c r="X229" s="13">
        <f>IF(Q229=1,coef_W*MAX(V229*W229*A_pixel,0)^exp_M*M229*O229*fator_P*P229,"")</f>
        <v>0.019983987186045514</v>
      </c>
      <c r="Y229" s="13">
        <f>IF(Q229=1,c_restr*X229,"")</f>
        <v>0.002765018853509329</v>
      </c>
    </row>
    <row r="230">
      <c r="A230">
        <v>229</v>
      </c>
      <c r="B230">
        <v>16</v>
      </c>
      <c r="C230">
        <v>45</v>
      </c>
      <c r="D230" s="9">
        <f>X0_canto+(C230+0.5)*dx_pix</f>
        <v>320010.96228308824</v>
      </c>
      <c r="E230" s="9">
        <f>Y0_canto-(B230+0.5)*dy_pix</f>
        <v>7434563.829343698</v>
      </c>
      <c r="F230" s="10">
        <f>(D230-x_DBT5)^2+(E230-y_DBT5)^2</f>
        <v>879212614.2526965</v>
      </c>
      <c r="G230" s="10">
        <f>(D230-x_CLP)^2+(E230-y_CLP)^2</f>
        <v>5249186.610488045</v>
      </c>
      <c r="H230" s="11">
        <f>(P_DBT5/F230+P_CLP/G230)/(1/F230+1/G230)</f>
        <v>78.9038567309135</v>
      </c>
      <c r="I230" s="11">
        <v>65</v>
      </c>
      <c r="J230" s="11">
        <f>4.2*I230/(10-0.058*I230)</f>
        <v>43.82022471910112</v>
      </c>
      <c r="K230" s="11">
        <f>25.4*(1000/J230-10)</f>
        <v>325.64102564102564</v>
      </c>
      <c r="L230" t="inlineStr">
        <is>
          <t>Cambissolos Háplicos</t>
        </is>
      </c>
      <c r="M230" s="11">
        <f>IFERROR(VLOOKUP(L230,Classes_K,2,FALSE),"")</f>
        <v>0.04749999940395355</v>
      </c>
      <c r="N230" t="inlineStr">
        <is>
          <t>Mata Nativa</t>
        </is>
      </c>
      <c r="O230" s="11">
        <f>IFERROR(VLOOKUP(N230,Classes_C,2,FALSE),"")</f>
        <v>0.014999999664723873</v>
      </c>
      <c r="P230" s="12">
        <v>0.6820928454399109</v>
      </c>
      <c r="Q230">
        <f>IF(COUNT(M230,O230,P230)=3,1,0)</f>
        <v>1</v>
      </c>
      <c r="R230" s="12">
        <f>IF(H230&lt;=p_lambda*K230,0,(H230-p_lambda*K230)^2/(H230+(1-p_lambda)*K230))</f>
        <v>10.100092524095551</v>
      </c>
      <c r="S230" s="13">
        <f>R230/1000*A_pixel*RI_mmh/R_evento_mm/3600</f>
        <v>0.00040130092568483813</v>
      </c>
      <c r="T230" s="13">
        <f>IF(Q230=1,coef_W*MAX(R230*S230*A_pixel,0)^exp_M*M230*O230*fator_P*P230,"")</f>
        <v>0.011818772683290232</v>
      </c>
      <c r="U230" s="13">
        <f>IF(Q230=1,c_pura*T230,"")</f>
        <v>0.0012611310745446577</v>
      </c>
      <c r="V230" s="12">
        <f>IF(Q230=1,MIN(fator_f*R230,H230),"")</f>
        <v>12.371831380420339</v>
      </c>
      <c r="W230" s="13">
        <f>IF(Q230=1,V230/1000*A_pixel*RI_mmh/R_evento_mm/3600,"")</f>
        <v>0.0004915625647522475</v>
      </c>
      <c r="X230" s="13">
        <f>IF(Q230=1,coef_W*MAX(V230*W230*A_pixel,0)^exp_M*M230*O230*fator_P*P230,"")</f>
        <v>0.014833855922290124</v>
      </c>
      <c r="Y230" s="13">
        <f>IF(Q230=1,c_restr*X230,"")</f>
        <v>0.0020524378300249275</v>
      </c>
    </row>
    <row r="231">
      <c r="A231">
        <v>230</v>
      </c>
      <c r="B231">
        <v>16</v>
      </c>
      <c r="C231">
        <v>46</v>
      </c>
      <c r="D231" s="9">
        <f>X0_canto+(C231+0.5)*dx_pix</f>
        <v>320040.95385854074</v>
      </c>
      <c r="E231" s="9">
        <f>Y0_canto-(B231+0.5)*dy_pix</f>
        <v>7434563.829343698</v>
      </c>
      <c r="F231" s="10">
        <f>(D231-x_DBT5)^2+(E231-y_DBT5)^2</f>
        <v>877503400.9120529</v>
      </c>
      <c r="G231" s="10">
        <f>(D231-x_CLP)^2+(E231-y_CLP)^2</f>
        <v>5258999.139475116</v>
      </c>
      <c r="H231" s="11">
        <f>(P_DBT5/F231+P_CLP/G231)/(1/F231+1/G231)</f>
        <v>78.90349156775285</v>
      </c>
      <c r="I231" s="11">
        <v>65</v>
      </c>
      <c r="J231" s="11">
        <f>4.2*I231/(10-0.058*I231)</f>
        <v>43.82022471910112</v>
      </c>
      <c r="K231" s="11">
        <f>25.4*(1000/J231-10)</f>
        <v>325.64102564102564</v>
      </c>
      <c r="L231" t="inlineStr">
        <is>
          <t>Cambissolos Háplicos</t>
        </is>
      </c>
      <c r="M231" s="11">
        <f>IFERROR(VLOOKUP(L231,Classes_K,2,FALSE),"")</f>
        <v>0.04749999940395355</v>
      </c>
      <c r="N231" t="inlineStr">
        <is>
          <t>Mata Nativa</t>
        </is>
      </c>
      <c r="O231" s="11">
        <f>IFERROR(VLOOKUP(N231,Classes_C,2,FALSE),"")</f>
        <v>0.014999999664723873</v>
      </c>
      <c r="P231" s="12">
        <v>0.5288056135177612</v>
      </c>
      <c r="Q231">
        <f>IF(COUNT(M231,O231,P231)=3,1,0)</f>
        <v>1</v>
      </c>
      <c r="R231" s="12">
        <f>IF(H231&lt;=p_lambda*K231,0,(H231-p_lambda*K231)^2/(H231+(1-p_lambda)*K231))</f>
        <v>10.099984231274473</v>
      </c>
      <c r="S231" s="13">
        <f>R231/1000*A_pixel*RI_mmh/R_evento_mm/3600</f>
        <v>0.0004012966229510523</v>
      </c>
      <c r="T231" s="13">
        <f>IF(Q231=1,coef_W*MAX(R231*S231*A_pixel,0)^exp_M*M231*O231*fator_P*P231,"")</f>
        <v>0.009162621085829235</v>
      </c>
      <c r="U231" s="13">
        <f>IF(Q231=1,c_pura*T231,"")</f>
        <v>0.0009777044102011181</v>
      </c>
      <c r="V231" s="12">
        <f>IF(Q231=1,MIN(fator_f*R231,H231),"")</f>
        <v>12.371698730098682</v>
      </c>
      <c r="W231" s="13">
        <f>IF(Q231=1,V231/1000*A_pixel*RI_mmh/R_evento_mm/3600,"")</f>
        <v>0.0004915572942364828</v>
      </c>
      <c r="X231" s="13">
        <f>IF(Q231=1,coef_W*MAX(V231*W231*A_pixel,0)^exp_M*M231*O231*fator_P*P231,"")</f>
        <v>0.011500094358350109</v>
      </c>
      <c r="Y231" s="13">
        <f>IF(Q231=1,c_restr*X231,"")</f>
        <v>0.0015911728436344434</v>
      </c>
    </row>
    <row r="232">
      <c r="A232">
        <v>231</v>
      </c>
      <c r="B232">
        <v>16</v>
      </c>
      <c r="C232">
        <v>47</v>
      </c>
      <c r="D232" s="9">
        <f>X0_canto+(C232+0.5)*dx_pix</f>
        <v>320070.94543399324</v>
      </c>
      <c r="E232" s="9">
        <f>Y0_canto-(B232+0.5)*dy_pix</f>
        <v>7434563.829343698</v>
      </c>
      <c r="F232" s="10">
        <f>(D232-x_DBT5)^2+(E232-y_DBT5)^2</f>
        <v>875795986.5606055</v>
      </c>
      <c r="G232" s="10">
        <f>(D232-x_CLP)^2+(E232-y_CLP)^2</f>
        <v>5270610.657658433</v>
      </c>
      <c r="H232" s="11">
        <f>(P_DBT5/F232+P_CLP/G232)/(1/F232+1/G232)</f>
        <v>78.90309231388429</v>
      </c>
      <c r="I232" s="11">
        <v>65</v>
      </c>
      <c r="J232" s="11">
        <f>4.2*I232/(10-0.058*I232)</f>
        <v>43.82022471910112</v>
      </c>
      <c r="K232" s="11">
        <f>25.4*(1000/J232-10)</f>
        <v>325.64102564102564</v>
      </c>
      <c r="L232" t="inlineStr">
        <is>
          <t>Área Urbana</t>
        </is>
      </c>
      <c r="M232" s="11">
        <f>IFERROR(VLOOKUP(L232,Classes_K,2,FALSE),"")</f>
        <v>0.0</v>
      </c>
      <c r="N232" t="inlineStr">
        <is>
          <t>Área Urbanizada</t>
        </is>
      </c>
      <c r="O232" s="11">
        <f>IFERROR(VLOOKUP(N232,Classes_C,2,FALSE),"")</f>
        <v>0.0</v>
      </c>
      <c r="P232" s="12">
        <v>0.4012891948223114</v>
      </c>
      <c r="Q232">
        <f>IF(COUNT(M232,O232,P232)=3,1,0)</f>
        <v>1</v>
      </c>
      <c r="R232" s="12">
        <f>IF(H232&lt;=p_lambda*K232,0,(H232-p_lambda*K232)^2/(H232+(1-p_lambda)*K232))</f>
        <v>10.099865829062814</v>
      </c>
      <c r="S232" s="13">
        <f>R232/1000*A_pixel*RI_mmh/R_evento_mm/3600</f>
        <v>0.0004012919185469066</v>
      </c>
      <c r="T232" s="13">
        <f>IF(Q232=1,coef_W*MAX(R232*S232*A_pixel,0)^exp_M*M232*O232*fator_P*P232,"")</f>
        <v>0.0</v>
      </c>
      <c r="U232" s="13">
        <f>IF(Q232=1,c_pura*T232,"")</f>
        <v>0.0</v>
      </c>
      <c r="V232" s="12">
        <f>IF(Q232=1,MIN(fator_f*R232,H232),"")</f>
        <v>12.371553696556246</v>
      </c>
      <c r="W232" s="13">
        <f>IF(Q232=1,V232/1000*A_pixel*RI_mmh/R_evento_mm/3600,"")</f>
        <v>0.0004915515317056252</v>
      </c>
      <c r="X232" s="13">
        <f>IF(Q232=1,coef_W*MAX(V232*W232*A_pixel,0)^exp_M*M232*O232*fator_P*P232,"")</f>
        <v>0.0</v>
      </c>
      <c r="Y232" s="13">
        <f>IF(Q232=1,c_restr*X232,"")</f>
        <v>0.0</v>
      </c>
    </row>
    <row r="233">
      <c r="A233">
        <v>232</v>
      </c>
      <c r="B233">
        <v>16</v>
      </c>
      <c r="C233">
        <v>48</v>
      </c>
      <c r="D233" s="9">
        <f>X0_canto+(C233+0.5)*dx_pix</f>
        <v>320100.9370094457</v>
      </c>
      <c r="E233" s="9">
        <f>Y0_canto-(B233+0.5)*dy_pix</f>
        <v>7434563.829343698</v>
      </c>
      <c r="F233" s="10">
        <f>(D233-x_DBT5)^2+(E233-y_DBT5)^2</f>
        <v>874090371.1983577</v>
      </c>
      <c r="G233" s="10">
        <f>(D233-x_CLP)^2+(E233-y_CLP)^2</f>
        <v>5284021.165037968</v>
      </c>
      <c r="H233" s="11">
        <f>(P_DBT5/F233+P_CLP/G233)/(1/F233+1/G233)</f>
        <v>78.9026587769849</v>
      </c>
      <c r="I233" s="11">
        <v>77</v>
      </c>
      <c r="J233" s="11">
        <f>4.2*I233/(10-0.058*I233)</f>
        <v>58.438742320202394</v>
      </c>
      <c r="K233" s="11">
        <f>25.4*(1000/J233-10)</f>
        <v>180.64316635745197</v>
      </c>
      <c r="L233" t="inlineStr">
        <is>
          <t>Área Urbana</t>
        </is>
      </c>
      <c r="M233" s="11">
        <f>IFERROR(VLOOKUP(L233,Classes_K,2,FALSE),"")</f>
        <v>0.0</v>
      </c>
      <c r="N233" t="inlineStr">
        <is>
          <t>Área Urbanizada</t>
        </is>
      </c>
      <c r="O233" s="11">
        <f>IFERROR(VLOOKUP(N233,Classes_C,2,FALSE),"")</f>
        <v>0.0</v>
      </c>
      <c r="P233" s="12">
        <v>0.3292289674282074</v>
      </c>
      <c r="Q233">
        <f>IF(COUNT(M233,O233,P233)=3,1,0)</f>
        <v>1</v>
      </c>
      <c r="R233" s="12">
        <f>IF(H233&lt;=p_lambda*K233,0,(H233-p_lambda*K233)^2/(H233+(1-p_lambda)*K233))</f>
        <v>19.487506994903864</v>
      </c>
      <c r="S233" s="13">
        <f>R233/1000*A_pixel*RI_mmh/R_evento_mm/3600</f>
        <v>0.0007742854412162902</v>
      </c>
      <c r="T233" s="13">
        <f>IF(Q233=1,coef_W*MAX(R233*S233*A_pixel,0)^exp_M*M233*O233*fator_P*P233,"")</f>
        <v>0.0</v>
      </c>
      <c r="U233" s="13">
        <f>IF(Q233=1,c_pura*T233,"")</f>
        <v>0.0</v>
      </c>
      <c r="V233" s="12">
        <f>IF(Q233=1,MIN(fator_f*R233,H233),"")</f>
        <v>23.870687321976025</v>
      </c>
      <c r="W233" s="13">
        <f>IF(Q233=1,V233/1000*A_pixel*RI_mmh/R_evento_mm/3600,"")</f>
        <v>0.0009484397193579296</v>
      </c>
      <c r="X233" s="13">
        <f>IF(Q233=1,coef_W*MAX(V233*W233*A_pixel,0)^exp_M*M233*O233*fator_P*P233,"")</f>
        <v>0.0</v>
      </c>
      <c r="Y233" s="13">
        <f>IF(Q233=1,c_restr*X233,"")</f>
        <v>0.0</v>
      </c>
    </row>
    <row r="234">
      <c r="A234">
        <v>233</v>
      </c>
      <c r="B234">
        <v>16</v>
      </c>
      <c r="C234">
        <v>49</v>
      </c>
      <c r="D234" s="9">
        <f>X0_canto+(C234+0.5)*dx_pix</f>
        <v>320130.9285848982</v>
      </c>
      <c r="E234" s="9">
        <f>Y0_canto-(B234+0.5)*dy_pix</f>
        <v>7434563.829343698</v>
      </c>
      <c r="F234" s="10">
        <f>(D234-x_DBT5)^2+(E234-y_DBT5)^2</f>
        <v>872386554.8253028</v>
      </c>
      <c r="G234" s="10">
        <f>(D234-x_CLP)^2+(E234-y_CLP)^2</f>
        <v>5299230.661613774</v>
      </c>
      <c r="H234" s="11">
        <f>(P_DBT5/F234+P_CLP/G234)/(1/F234+1/G234)</f>
        <v>78.90219076409022</v>
      </c>
      <c r="I234" s="11">
        <v>77</v>
      </c>
      <c r="J234" s="11">
        <f>4.2*I234/(10-0.058*I234)</f>
        <v>58.438742320202394</v>
      </c>
      <c r="K234" s="11">
        <f>25.4*(1000/J234-10)</f>
        <v>180.64316635745197</v>
      </c>
      <c r="L234" t="inlineStr">
        <is>
          <t/>
        </is>
      </c>
      <c r="M234" s="11">
        <f>IFERROR(VLOOKUP(L234,Classes_K,2,FALSE),"")</f>
        <v/>
      </c>
      <c r="N234" t="inlineStr">
        <is>
          <t/>
        </is>
      </c>
      <c r="O234" s="11">
        <f>IFERROR(VLOOKUP(N234,Classes_C,2,FALSE),"")</f>
        <v/>
      </c>
      <c r="P234" s="12">
        <v>0.3413790762424469</v>
      </c>
      <c r="Q234">
        <f>IF(COUNT(M234,O234,P234)=3,1,0)</f>
        <v>0</v>
      </c>
      <c r="R234" s="12">
        <f>IF(H234&lt;=p_lambda*K234,0,(H234-p_lambda*K234)^2/(H234+(1-p_lambda)*K234))</f>
        <v>19.487282336215145</v>
      </c>
      <c r="S234" s="13">
        <f>R234/1000*A_pixel*RI_mmh/R_evento_mm/3600</f>
        <v>0.0007742765149871956</v>
      </c>
      <c r="T234" s="13">
        <f>IF(Q234=1,coef_W*MAX(R234*S234*A_pixel,0)^exp_M*M234*O234*fator_P*P234,"")</f>
        <v/>
      </c>
      <c r="U234" s="13">
        <f>IF(Q234=1,c_pura*T234,"")</f>
        <v/>
      </c>
      <c r="V234" s="12">
        <f>IF(Q234=1,MIN(fator_f*R234,H234),"")</f>
        <v/>
      </c>
      <c r="W234" s="13">
        <f>IF(Q234=1,V234/1000*A_pixel*RI_mmh/R_evento_mm/3600,"")</f>
        <v/>
      </c>
      <c r="X234" s="13">
        <f>IF(Q234=1,coef_W*MAX(V234*W234*A_pixel,0)^exp_M*M234*O234*fator_P*P234,"")</f>
        <v/>
      </c>
      <c r="Y234" s="13">
        <f>IF(Q234=1,c_restr*X234,"")</f>
        <v/>
      </c>
    </row>
    <row r="235">
      <c r="A235">
        <v>234</v>
      </c>
      <c r="B235">
        <v>16</v>
      </c>
      <c r="C235">
        <v>106</v>
      </c>
      <c r="D235" s="9">
        <f>X0_canto+(C235+0.5)*dx_pix</f>
        <v>321840.44838569005</v>
      </c>
      <c r="E235" s="9">
        <f>Y0_canto-(B235+0.5)*dy_pix</f>
        <v>7434563.829343698</v>
      </c>
      <c r="F235" s="10">
        <f>(D235-x_DBT5)^2+(E235-y_DBT5)^2</f>
        <v>778242750.7025993</v>
      </c>
      <c r="G235" s="10">
        <f>(D235-x_CLP)^2+(E235-y_CLP)^2</f>
        <v>9139901.107826829</v>
      </c>
      <c r="H235" s="11">
        <f>(P_DBT5/F235+P_CLP/G235)/(1/F235+1/G235)</f>
        <v>78.81195316698795</v>
      </c>
      <c r="I235" s="11">
        <v>85</v>
      </c>
      <c r="J235" s="11">
        <f>4.2*I235/(10-0.058*I235)</f>
        <v>70.41420118343196</v>
      </c>
      <c r="K235" s="11">
        <f>25.4*(1000/J235-10)</f>
        <v>106.72268907563023</v>
      </c>
      <c r="L235" t="inlineStr">
        <is>
          <t/>
        </is>
      </c>
      <c r="M235" s="11">
        <f>IFERROR(VLOOKUP(L235,Classes_K,2,FALSE),"")</f>
        <v/>
      </c>
      <c r="N235" t="inlineStr">
        <is>
          <t/>
        </is>
      </c>
      <c r="O235" s="11">
        <f>IFERROR(VLOOKUP(N235,Classes_C,2,FALSE),"")</f>
        <v/>
      </c>
      <c r="Q235">
        <f>IF(COUNT(M235,O235,P235)=3,1,0)</f>
        <v>0</v>
      </c>
      <c r="R235" s="12">
        <f>IF(H235&lt;=p_lambda*K235,0,(H235-p_lambda*K235)^2/(H235+(1-p_lambda)*K235))</f>
        <v>29.959714993324866</v>
      </c>
      <c r="S235" s="13">
        <f>R235/1000*A_pixel*RI_mmh/R_evento_mm/3600</f>
        <v>0.0011903714081225034</v>
      </c>
      <c r="T235" s="13">
        <f>IF(Q235=1,coef_W*MAX(R235*S235*A_pixel,0)^exp_M*M235*O235*fator_P*P235,"")</f>
        <v/>
      </c>
      <c r="U235" s="13">
        <f>IF(Q235=1,c_pura*T235,"")</f>
        <v/>
      </c>
      <c r="V235" s="12">
        <f>IF(Q235=1,MIN(fator_f*R235,H235),"")</f>
        <v/>
      </c>
      <c r="W235" s="13">
        <f>IF(Q235=1,V235/1000*A_pixel*RI_mmh/R_evento_mm/3600,"")</f>
        <v/>
      </c>
      <c r="X235" s="13">
        <f>IF(Q235=1,coef_W*MAX(V235*W235*A_pixel,0)^exp_M*M235*O235*fator_P*P235,"")</f>
        <v/>
      </c>
      <c r="Y235" s="13">
        <f>IF(Q235=1,c_restr*X235,"")</f>
        <v/>
      </c>
    </row>
    <row r="236">
      <c r="A236">
        <v>235</v>
      </c>
      <c r="B236">
        <v>16</v>
      </c>
      <c r="C236">
        <v>107</v>
      </c>
      <c r="D236" s="9">
        <f>X0_canto+(C236+0.5)*dx_pix</f>
        <v>321870.43996114255</v>
      </c>
      <c r="E236" s="9">
        <f>Y0_canto-(B236+0.5)*dy_pix</f>
        <v>7434563.829343698</v>
      </c>
      <c r="F236" s="10">
        <f>(D236-x_DBT5)^2+(E236-y_DBT5)^2</f>
        <v>776643275.7029265</v>
      </c>
      <c r="G236" s="10">
        <f>(D236-x_CLP)^2+(E236-y_CLP)^2</f>
        <v>9259451.97778486</v>
      </c>
      <c r="H236" s="11">
        <f>(P_DBT5/F236+P_CLP/G236)/(1/F236+1/G236)</f>
        <v>78.80913472406708</v>
      </c>
      <c r="I236" s="11">
        <v>85</v>
      </c>
      <c r="J236" s="11">
        <f>4.2*I236/(10-0.058*I236)</f>
        <v>70.41420118343196</v>
      </c>
      <c r="K236" s="11">
        <f>25.4*(1000/J236-10)</f>
        <v>106.72268907563023</v>
      </c>
      <c r="L236" t="inlineStr">
        <is>
          <t/>
        </is>
      </c>
      <c r="M236" s="11">
        <f>IFERROR(VLOOKUP(L236,Classes_K,2,FALSE),"")</f>
        <v/>
      </c>
      <c r="N236" t="inlineStr">
        <is>
          <t/>
        </is>
      </c>
      <c r="O236" s="11">
        <f>IFERROR(VLOOKUP(N236,Classes_C,2,FALSE),"")</f>
        <v/>
      </c>
      <c r="P236" s="12">
        <v>0.3182457089424133</v>
      </c>
      <c r="Q236">
        <f>IF(COUNT(M236,O236,P236)=3,1,0)</f>
        <v>0</v>
      </c>
      <c r="R236" s="12">
        <f>IF(H236&lt;=p_lambda*K236,0,(H236-p_lambda*K236)^2/(H236+(1-p_lambda)*K236))</f>
        <v>29.957885165357517</v>
      </c>
      <c r="S236" s="13">
        <f>R236/1000*A_pixel*RI_mmh/R_evento_mm/3600</f>
        <v>0.001190298704664056</v>
      </c>
      <c r="T236" s="13">
        <f>IF(Q236=1,coef_W*MAX(R236*S236*A_pixel,0)^exp_M*M236*O236*fator_P*P236,"")</f>
        <v/>
      </c>
      <c r="U236" s="13">
        <f>IF(Q236=1,c_pura*T236,"")</f>
        <v/>
      </c>
      <c r="V236" s="12">
        <f>IF(Q236=1,MIN(fator_f*R236,H236),"")</f>
        <v/>
      </c>
      <c r="W236" s="13">
        <f>IF(Q236=1,V236/1000*A_pixel*RI_mmh/R_evento_mm/3600,"")</f>
        <v/>
      </c>
      <c r="X236" s="13">
        <f>IF(Q236=1,coef_W*MAX(V236*W236*A_pixel,0)^exp_M*M236*O236*fator_P*P236,"")</f>
        <v/>
      </c>
      <c r="Y236" s="13">
        <f>IF(Q236=1,c_restr*X236,"")</f>
        <v/>
      </c>
    </row>
    <row r="237">
      <c r="A237">
        <v>236</v>
      </c>
      <c r="B237">
        <v>16</v>
      </c>
      <c r="C237">
        <v>108</v>
      </c>
      <c r="D237" s="9">
        <f>X0_canto+(C237+0.5)*dx_pix</f>
        <v>321900.43153659505</v>
      </c>
      <c r="E237" s="9">
        <f>Y0_canto-(B237+0.5)*dy_pix</f>
        <v>7434563.829343698</v>
      </c>
      <c r="F237" s="10">
        <f>(D237-x_DBT5)^2+(E237-y_DBT5)^2</f>
        <v>775045599.6924502</v>
      </c>
      <c r="G237" s="10">
        <f>(D237-x_CLP)^2+(E237-y_CLP)^2</f>
        <v>9380801.83693914</v>
      </c>
      <c r="H237" s="11">
        <f>(P_DBT5/F237+P_CLP/G237)/(1/F237+1/G237)</f>
        <v>78.80626938202423</v>
      </c>
      <c r="I237" s="11">
        <v>85</v>
      </c>
      <c r="J237" s="11">
        <f>4.2*I237/(10-0.058*I237)</f>
        <v>70.41420118343196</v>
      </c>
      <c r="K237" s="11">
        <f>25.4*(1000/J237-10)</f>
        <v>106.72268907563023</v>
      </c>
      <c r="L237" t="inlineStr">
        <is>
          <t>Área Urbana</t>
        </is>
      </c>
      <c r="M237" s="11">
        <f>IFERROR(VLOOKUP(L237,Classes_K,2,FALSE),"")</f>
        <v>0.0</v>
      </c>
      <c r="N237" t="inlineStr">
        <is>
          <t>Área Urbanizada</t>
        </is>
      </c>
      <c r="O237" s="11">
        <f>IFERROR(VLOOKUP(N237,Classes_C,2,FALSE),"")</f>
        <v>0.0</v>
      </c>
      <c r="P237" s="12">
        <v>0.3110450804233551</v>
      </c>
      <c r="Q237">
        <f>IF(COUNT(M237,O237,P237)=3,1,0)</f>
        <v>1</v>
      </c>
      <c r="R237" s="12">
        <f>IF(H237&lt;=p_lambda*K237,0,(H237-p_lambda*K237)^2/(H237+(1-p_lambda)*K237))</f>
        <v>29.956024920604893</v>
      </c>
      <c r="S237" s="13">
        <f>R237/1000*A_pixel*RI_mmh/R_evento_mm/3600</f>
        <v>0.0011902247926737007</v>
      </c>
      <c r="T237" s="13">
        <f>IF(Q237=1,coef_W*MAX(R237*S237*A_pixel,0)^exp_M*M237*O237*fator_P*P237,"")</f>
        <v>0.0</v>
      </c>
      <c r="U237" s="13">
        <f>IF(Q237=1,c_pura*T237,"")</f>
        <v>0.0</v>
      </c>
      <c r="V237" s="12">
        <f>IF(Q237=1,MIN(fator_f*R237,H237),"")</f>
        <v>36.69381129541494</v>
      </c>
      <c r="W237" s="13">
        <f>IF(Q237=1,V237/1000*A_pixel*RI_mmh/R_evento_mm/3600,"")</f>
        <v>0.001457933222356635</v>
      </c>
      <c r="X237" s="13">
        <f>IF(Q237=1,coef_W*MAX(V237*W237*A_pixel,0)^exp_M*M237*O237*fator_P*P237,"")</f>
        <v>0.0</v>
      </c>
      <c r="Y237" s="13">
        <f>IF(Q237=1,c_restr*X237,"")</f>
        <v>0.0</v>
      </c>
    </row>
    <row r="238">
      <c r="A238">
        <v>237</v>
      </c>
      <c r="B238">
        <v>16</v>
      </c>
      <c r="C238">
        <v>109</v>
      </c>
      <c r="D238" s="9">
        <f>X0_canto+(C238+0.5)*dx_pix</f>
        <v>321930.4231120475</v>
      </c>
      <c r="E238" s="9">
        <f>Y0_canto-(B238+0.5)*dy_pix</f>
        <v>7434563.829343698</v>
      </c>
      <c r="F238" s="10">
        <f>(D238-x_DBT5)^2+(E238-y_DBT5)^2</f>
        <v>773449722.6711731</v>
      </c>
      <c r="G238" s="10">
        <f>(D238-x_CLP)^2+(E238-y_CLP)^2</f>
        <v>9503950.685289422</v>
      </c>
      <c r="H238" s="11">
        <f>(P_DBT5/F238+P_CLP/G238)/(1/F238+1/G238)</f>
        <v>78.80335691506448</v>
      </c>
      <c r="I238" s="11">
        <v>65</v>
      </c>
      <c r="J238" s="11">
        <f>4.2*I238/(10-0.058*I238)</f>
        <v>43.82022471910112</v>
      </c>
      <c r="K238" s="11">
        <f>25.4*(1000/J238-10)</f>
        <v>325.64102564102564</v>
      </c>
      <c r="L238" t="inlineStr">
        <is>
          <t>Área Urbana</t>
        </is>
      </c>
      <c r="M238" s="11">
        <f>IFERROR(VLOOKUP(L238,Classes_K,2,FALSE),"")</f>
        <v>0.0</v>
      </c>
      <c r="N238" t="inlineStr">
        <is>
          <t>Área Urbanizada</t>
        </is>
      </c>
      <c r="O238" s="11">
        <f>IFERROR(VLOOKUP(N238,Classes_C,2,FALSE),"")</f>
        <v>0.0</v>
      </c>
      <c r="P238" s="12">
        <v>0.3228617906570435</v>
      </c>
      <c r="Q238">
        <f>IF(COUNT(M238,O238,P238)=3,1,0)</f>
        <v>1</v>
      </c>
      <c r="R238" s="12">
        <f>IF(H238&lt;=p_lambda*K238,0,(H238-p_lambda*K238)^2/(H238+(1-p_lambda)*K238))</f>
        <v>10.070306526722174</v>
      </c>
      <c r="S238" s="13">
        <f>R238/1000*A_pixel*RI_mmh/R_evento_mm/3600</f>
        <v>0.00040011745649484146</v>
      </c>
      <c r="T238" s="13">
        <f>IF(Q238=1,coef_W*MAX(R238*S238*A_pixel,0)^exp_M*M238*O238*fator_P*P238,"")</f>
        <v>0.0</v>
      </c>
      <c r="U238" s="13">
        <f>IF(Q238=1,c_pura*T238,"")</f>
        <v>0.0</v>
      </c>
      <c r="V238" s="12">
        <f>IF(Q238=1,MIN(fator_f*R238,H238),"")</f>
        <v>12.335345839706536</v>
      </c>
      <c r="W238" s="13">
        <f>IF(Q238=1,V238/1000*A_pixel*RI_mmh/R_evento_mm/3600,"")</f>
        <v>0.0004901129066201432</v>
      </c>
      <c r="X238" s="13">
        <f>IF(Q238=1,coef_W*MAX(V238*W238*A_pixel,0)^exp_M*M238*O238*fator_P*P238,"")</f>
        <v>0.0</v>
      </c>
      <c r="Y238" s="13">
        <f>IF(Q238=1,c_restr*X238,"")</f>
        <v>0.0</v>
      </c>
    </row>
    <row r="239">
      <c r="A239">
        <v>238</v>
      </c>
      <c r="B239">
        <v>16</v>
      </c>
      <c r="C239">
        <v>110</v>
      </c>
      <c r="D239" s="9">
        <f>X0_canto+(C239+0.5)*dx_pix</f>
        <v>321960.4146875</v>
      </c>
      <c r="E239" s="9">
        <f>Y0_canto-(B239+0.5)*dy_pix</f>
        <v>7434563.829343698</v>
      </c>
      <c r="F239" s="10">
        <f>(D239-x_DBT5)^2+(E239-y_DBT5)^2</f>
        <v>771855644.6390891</v>
      </c>
      <c r="G239" s="10">
        <f>(D239-x_CLP)^2+(E239-y_CLP)^2</f>
        <v>9628898.52283619</v>
      </c>
      <c r="H239" s="11">
        <f>(P_DBT5/F239+P_CLP/G239)/(1/F239+1/G239)</f>
        <v>78.80039709699078</v>
      </c>
      <c r="I239" s="11">
        <v>65</v>
      </c>
      <c r="J239" s="11">
        <f>4.2*I239/(10-0.058*I239)</f>
        <v>43.82022471910112</v>
      </c>
      <c r="K239" s="11">
        <f>25.4*(1000/J239-10)</f>
        <v>325.64102564102564</v>
      </c>
      <c r="L239" t="inlineStr">
        <is>
          <t>Área Urbana</t>
        </is>
      </c>
      <c r="M239" s="11">
        <f>IFERROR(VLOOKUP(L239,Classes_K,2,FALSE),"")</f>
        <v>0.0</v>
      </c>
      <c r="N239" t="inlineStr">
        <is>
          <t>Silvicultura</t>
        </is>
      </c>
      <c r="O239" s="11">
        <f>IFERROR(VLOOKUP(N239,Classes_C,2,FALSE),"")</f>
        <v>0.12099999934434891</v>
      </c>
      <c r="P239" s="12">
        <v>0.4646181464195251</v>
      </c>
      <c r="Q239">
        <f>IF(COUNT(M239,O239,P239)=3,1,0)</f>
        <v>1</v>
      </c>
      <c r="R239" s="12">
        <f>IF(H239&lt;=p_lambda*K239,0,(H239-p_lambda*K239)^2/(H239+(1-p_lambda)*K239))</f>
        <v>10.069429854999052</v>
      </c>
      <c r="S239" s="13">
        <f>R239/1000*A_pixel*RI_mmh/R_evento_mm/3600</f>
        <v>0.00040008262422244675</v>
      </c>
      <c r="T239" s="13">
        <f>IF(Q239=1,coef_W*MAX(R239*S239*A_pixel,0)^exp_M*M239*O239*fator_P*P239,"")</f>
        <v>0.0</v>
      </c>
      <c r="U239" s="13">
        <f>IF(Q239=1,c_pura*T239,"")</f>
        <v>0.0</v>
      </c>
      <c r="V239" s="12">
        <f>IF(Q239=1,MIN(fator_f*R239,H239),"")</f>
        <v>12.334271984718717</v>
      </c>
      <c r="W239" s="13">
        <f>IF(Q239=1,V239/1000*A_pixel*RI_mmh/R_evento_mm/3600,"")</f>
        <v>0.0004900702397832173</v>
      </c>
      <c r="X239" s="13">
        <f>IF(Q239=1,coef_W*MAX(V239*W239*A_pixel,0)^exp_M*M239*O239*fator_P*P239,"")</f>
        <v>0.0</v>
      </c>
      <c r="Y239" s="13">
        <f>IF(Q239=1,c_restr*X239,"")</f>
        <v>0.0</v>
      </c>
    </row>
    <row r="240">
      <c r="A240">
        <v>239</v>
      </c>
      <c r="B240">
        <v>16</v>
      </c>
      <c r="C240">
        <v>111</v>
      </c>
      <c r="D240" s="9">
        <f>X0_canto+(C240+0.5)*dx_pix</f>
        <v>321990.4062629525</v>
      </c>
      <c r="E240" s="9">
        <f>Y0_canto-(B240+0.5)*dy_pix</f>
        <v>7434563.829343698</v>
      </c>
      <c r="F240" s="10">
        <f>(D240-x_DBT5)^2+(E240-y_DBT5)^2</f>
        <v>770263365.5962014</v>
      </c>
      <c r="G240" s="10">
        <f>(D240-x_CLP)^2+(E240-y_CLP)^2</f>
        <v>9755645.3495792</v>
      </c>
      <c r="H240" s="11">
        <f>(P_DBT5/F240+P_CLP/G240)/(1/F240+1/G240)</f>
        <v>78.79738970121011</v>
      </c>
      <c r="I240" s="11">
        <v>65</v>
      </c>
      <c r="J240" s="11">
        <f>4.2*I240/(10-0.058*I240)</f>
        <v>43.82022471910112</v>
      </c>
      <c r="K240" s="11">
        <f>25.4*(1000/J240-10)</f>
        <v>325.64102564102564</v>
      </c>
      <c r="L240" t="inlineStr">
        <is>
          <t>Cambissolos Háplicos</t>
        </is>
      </c>
      <c r="M240" s="11">
        <f>IFERROR(VLOOKUP(L240,Classes_K,2,FALSE),"")</f>
        <v>0.04749999940395355</v>
      </c>
      <c r="N240" t="inlineStr">
        <is>
          <t>Silvicultura</t>
        </is>
      </c>
      <c r="O240" s="11">
        <f>IFERROR(VLOOKUP(N240,Classes_C,2,FALSE),"")</f>
        <v>0.12099999934434891</v>
      </c>
      <c r="P240" s="12">
        <v>0.4873380362987518</v>
      </c>
      <c r="Q240">
        <f>IF(COUNT(M240,O240,P240)=3,1,0)</f>
        <v>1</v>
      </c>
      <c r="R240" s="12">
        <f>IF(H240&lt;=p_lambda*K240,0,(H240-p_lambda*K240)^2/(H240+(1-p_lambda)*K240))</f>
        <v>10.068539123722791</v>
      </c>
      <c r="S240" s="13">
        <f>R240/1000*A_pixel*RI_mmh/R_evento_mm/3600</f>
        <v>0.0004000472333302499</v>
      </c>
      <c r="T240" s="13">
        <f>IF(Q240=1,coef_W*MAX(R240*S240*A_pixel,0)^exp_M*M240*O240*fator_P*P240,"")</f>
        <v>0.06787836237254012</v>
      </c>
      <c r="U240" s="13">
        <f>IF(Q240=1,c_pura*T240,"")</f>
        <v>0.007243011975197919</v>
      </c>
      <c r="V240" s="12">
        <f>IF(Q240=1,MIN(fator_f*R240,H240),"")</f>
        <v>12.333180907866808</v>
      </c>
      <c r="W240" s="13">
        <f>IF(Q240=1,V240/1000*A_pixel*RI_mmh/R_evento_mm/3600,"")</f>
        <v>0.0004900268886802823</v>
      </c>
      <c r="X240" s="13">
        <f>IF(Q240=1,coef_W*MAX(V240*W240*A_pixel,0)^exp_M*M240*O240*fator_P*P240,"")</f>
        <v>0.08519478922704427</v>
      </c>
      <c r="Y240" s="13">
        <f>IF(Q240=1,c_restr*X240,"")</f>
        <v>0.011787697632133297</v>
      </c>
    </row>
    <row r="241">
      <c r="A241">
        <v>240</v>
      </c>
      <c r="B241">
        <v>16</v>
      </c>
      <c r="C241">
        <v>112</v>
      </c>
      <c r="D241" s="9">
        <f>X0_canto+(C241+0.5)*dx_pix</f>
        <v>322020.397838405</v>
      </c>
      <c r="E241" s="9">
        <f>Y0_canto-(B241+0.5)*dy_pix</f>
        <v>7434563.829343698</v>
      </c>
      <c r="F241" s="10">
        <f>(D241-x_DBT5)^2+(E241-y_DBT5)^2</f>
        <v>768672885.54251</v>
      </c>
      <c r="G241" s="10">
        <f>(D241-x_CLP)^2+(E241-y_CLP)^2</f>
        <v>9884191.165518459</v>
      </c>
      <c r="H241" s="11">
        <f>(P_DBT5/F241+P_CLP/G241)/(1/F241+1/G241)</f>
        <v>78.79433450074065</v>
      </c>
      <c r="I241" s="11">
        <v>65</v>
      </c>
      <c r="J241" s="11">
        <f>4.2*I241/(10-0.058*I241)</f>
        <v>43.82022471910112</v>
      </c>
      <c r="K241" s="11">
        <f>25.4*(1000/J241-10)</f>
        <v>325.64102564102564</v>
      </c>
      <c r="L241" t="inlineStr">
        <is>
          <t>Cambissolos Háplicos</t>
        </is>
      </c>
      <c r="M241" s="11">
        <f>IFERROR(VLOOKUP(L241,Classes_K,2,FALSE),"")</f>
        <v>0.04749999940395355</v>
      </c>
      <c r="N241" t="inlineStr">
        <is>
          <t>Silvicultura</t>
        </is>
      </c>
      <c r="O241" s="11">
        <f>IFERROR(VLOOKUP(N241,Classes_C,2,FALSE),"")</f>
        <v>0.12099999934434891</v>
      </c>
      <c r="P241" s="12">
        <v>0.326872318983078</v>
      </c>
      <c r="Q241">
        <f>IF(COUNT(M241,O241,P241)=3,1,0)</f>
        <v>1</v>
      </c>
      <c r="R241" s="12">
        <f>IF(H241&lt;=p_lambda*K241,0,(H241-p_lambda*K241)^2/(H241+(1-p_lambda)*K241))</f>
        <v>10.06763426722705</v>
      </c>
      <c r="S241" s="13">
        <f>R241/1000*A_pixel*RI_mmh/R_evento_mm/3600</f>
        <v>0.0004000112812091691</v>
      </c>
      <c r="T241" s="13">
        <f>IF(Q241=1,coef_W*MAX(R241*S241*A_pixel,0)^exp_M*M241*O241*fator_P*P241,"")</f>
        <v>0.0455234822842917</v>
      </c>
      <c r="U241" s="13">
        <f>IF(Q241=1,c_pura*T241,"")</f>
        <v>0.004857617594369435</v>
      </c>
      <c r="V241" s="12">
        <f>IF(Q241=1,MIN(fator_f*R241,H241),"")</f>
        <v>12.332072528714628</v>
      </c>
      <c r="W241" s="13">
        <f>IF(Q241=1,V241/1000*A_pixel*RI_mmh/R_evento_mm/3600,"")</f>
        <v>0.0004899828501154158</v>
      </c>
      <c r="X241" s="13">
        <f>IF(Q241=1,coef_W*MAX(V241*W241*A_pixel,0)^exp_M*M241*O241*fator_P*P241,"")</f>
        <v>0.05713696298100863</v>
      </c>
      <c r="Y241" s="13">
        <f>IF(Q241=1,c_restr*X241,"")</f>
        <v>0.00790556851362833</v>
      </c>
    </row>
    <row r="242">
      <c r="A242">
        <v>241</v>
      </c>
      <c r="B242">
        <v>16</v>
      </c>
      <c r="C242">
        <v>113</v>
      </c>
      <c r="D242" s="9">
        <f>X0_canto+(C242+0.5)*dx_pix</f>
        <v>322050.3894138575</v>
      </c>
      <c r="E242" s="9">
        <f>Y0_canto-(B242+0.5)*dy_pix</f>
        <v>7434563.829343698</v>
      </c>
      <c r="F242" s="10">
        <f>(D242-x_DBT5)^2+(E242-y_DBT5)^2</f>
        <v>767084204.4780148</v>
      </c>
      <c r="G242" s="10">
        <f>(D242-x_CLP)^2+(E242-y_CLP)^2</f>
        <v>10014535.970653962</v>
      </c>
      <c r="H242" s="11">
        <f>(P_DBT5/F242+P_CLP/G242)/(1/F242+1/G242)</f>
        <v>78.79123126821834</v>
      </c>
      <c r="I242" s="11">
        <v>65</v>
      </c>
      <c r="J242" s="11">
        <f>4.2*I242/(10-0.058*I242)</f>
        <v>43.82022471910112</v>
      </c>
      <c r="K242" s="11">
        <f>25.4*(1000/J242-10)</f>
        <v>325.64102564102564</v>
      </c>
      <c r="L242" t="inlineStr">
        <is>
          <t>Área Urbana</t>
        </is>
      </c>
      <c r="M242" s="11">
        <f>IFERROR(VLOOKUP(L242,Classes_K,2,FALSE),"")</f>
        <v>0.0</v>
      </c>
      <c r="N242" t="inlineStr">
        <is>
          <t>Área Urbanizada</t>
        </is>
      </c>
      <c r="O242" s="11">
        <f>IFERROR(VLOOKUP(N242,Classes_C,2,FALSE),"")</f>
        <v>0.0</v>
      </c>
      <c r="P242" s="12">
        <v>0.2526008784770966</v>
      </c>
      <c r="Q242">
        <f>IF(COUNT(M242,O242,P242)=3,1,0)</f>
        <v>1</v>
      </c>
      <c r="R242" s="12">
        <f>IF(H242&lt;=p_lambda*K242,0,(H242-p_lambda*K242)^2/(H242+(1-p_lambda)*K242))</f>
        <v>10.066715219767197</v>
      </c>
      <c r="S242" s="13">
        <f>R242/1000*A_pixel*RI_mmh/R_evento_mm/3600</f>
        <v>0.0003999747652470125</v>
      </c>
      <c r="T242" s="13">
        <f>IF(Q242=1,coef_W*MAX(R242*S242*A_pixel,0)^exp_M*M242*O242*fator_P*P242,"")</f>
        <v>0.0</v>
      </c>
      <c r="U242" s="13">
        <f>IF(Q242=1,c_pura*T242,"")</f>
        <v>0.0</v>
      </c>
      <c r="V242" s="12">
        <f>IF(Q242=1,MIN(fator_f*R242,H242),"")</f>
        <v>12.330946766730095</v>
      </c>
      <c r="W242" s="13">
        <f>IF(Q242=1,V242/1000*A_pixel*RI_mmh/R_evento_mm/3600,"")</f>
        <v>0.0004899381208888849</v>
      </c>
      <c r="X242" s="13">
        <f>IF(Q242=1,coef_W*MAX(V242*W242*A_pixel,0)^exp_M*M242*O242*fator_P*P242,"")</f>
        <v>0.0</v>
      </c>
      <c r="Y242" s="13">
        <f>IF(Q242=1,c_restr*X242,"")</f>
        <v>0.0</v>
      </c>
    </row>
    <row r="243">
      <c r="A243">
        <v>242</v>
      </c>
      <c r="B243">
        <v>16</v>
      </c>
      <c r="C243">
        <v>114</v>
      </c>
      <c r="D243" s="9">
        <f>X0_canto+(C243+0.5)*dx_pix</f>
        <v>322080.38098931</v>
      </c>
      <c r="E243" s="9">
        <f>Y0_canto-(B243+0.5)*dy_pix</f>
        <v>7434563.829343698</v>
      </c>
      <c r="F243" s="10">
        <f>(D243-x_DBT5)^2+(E243-y_DBT5)^2</f>
        <v>765497322.4027158</v>
      </c>
      <c r="G243" s="10">
        <f>(D243-x_CLP)^2+(E243-y_CLP)^2</f>
        <v>10146679.764985712</v>
      </c>
      <c r="H243" s="11">
        <f>(P_DBT5/F243+P_CLP/G243)/(1/F243+1/G243)</f>
        <v>78.78807977590401</v>
      </c>
      <c r="I243" s="11">
        <v>85</v>
      </c>
      <c r="J243" s="11">
        <f>4.2*I243/(10-0.058*I243)</f>
        <v>70.41420118343196</v>
      </c>
      <c r="K243" s="11">
        <f>25.4*(1000/J243-10)</f>
        <v>106.72268907563023</v>
      </c>
      <c r="L243" t="inlineStr">
        <is>
          <t/>
        </is>
      </c>
      <c r="M243" s="11">
        <f>IFERROR(VLOOKUP(L243,Classes_K,2,FALSE),"")</f>
        <v/>
      </c>
      <c r="N243" t="inlineStr">
        <is>
          <t/>
        </is>
      </c>
      <c r="O243" s="11">
        <f>IFERROR(VLOOKUP(N243,Classes_C,2,FALSE),"")</f>
        <v/>
      </c>
      <c r="Q243">
        <f>IF(COUNT(M243,O243,P243)=3,1,0)</f>
        <v>0</v>
      </c>
      <c r="R243" s="12">
        <f>IF(H243&lt;=p_lambda*K243,0,(H243-p_lambda*K243)^2/(H243+(1-p_lambda)*K243))</f>
        <v>29.944216563213214</v>
      </c>
      <c r="S243" s="13">
        <f>R243/1000*A_pixel*RI_mmh/R_evento_mm/3600</f>
        <v>0.0011897556182833876</v>
      </c>
      <c r="T243" s="13">
        <f>IF(Q243=1,coef_W*MAX(R243*S243*A_pixel,0)^exp_M*M243*O243*fator_P*P243,"")</f>
        <v/>
      </c>
      <c r="U243" s="13">
        <f>IF(Q243=1,c_pura*T243,"")</f>
        <v/>
      </c>
      <c r="V243" s="12">
        <f>IF(Q243=1,MIN(fator_f*R243,H243),"")</f>
        <v/>
      </c>
      <c r="W243" s="13">
        <f>IF(Q243=1,V243/1000*A_pixel*RI_mmh/R_evento_mm/3600,"")</f>
        <v/>
      </c>
      <c r="X243" s="13">
        <f>IF(Q243=1,coef_W*MAX(V243*W243*A_pixel,0)^exp_M*M243*O243*fator_P*P243,"")</f>
        <v/>
      </c>
      <c r="Y243" s="13">
        <f>IF(Q243=1,c_restr*X243,"")</f>
        <v/>
      </c>
    </row>
    <row r="244">
      <c r="A244">
        <v>243</v>
      </c>
      <c r="B244">
        <v>16</v>
      </c>
      <c r="C244">
        <v>122</v>
      </c>
      <c r="D244" s="9">
        <f>X0_canto+(C244+0.5)*dx_pix</f>
        <v>322320.31359292986</v>
      </c>
      <c r="E244" s="9">
        <f>Y0_canto-(B244+0.5)*dy_pix</f>
        <v>7434563.829343698</v>
      </c>
      <c r="F244" s="10">
        <f>(D244-x_DBT5)^2+(E244-y_DBT5)^2</f>
        <v>752867029.4113952</v>
      </c>
      <c r="G244" s="10">
        <f>(D244-x_CLP)^2+(E244-y_CLP)^2</f>
        <v>11268593.73070399</v>
      </c>
      <c r="H244" s="11">
        <f>(P_DBT5/F244+P_CLP/G244)/(1/F244+1/G244)</f>
        <v>78.76110303803542</v>
      </c>
      <c r="I244" s="11">
        <v>85</v>
      </c>
      <c r="J244" s="11">
        <f>4.2*I244/(10-0.058*I244)</f>
        <v>70.41420118343196</v>
      </c>
      <c r="K244" s="11">
        <f>25.4*(1000/J244-10)</f>
        <v>106.72268907563023</v>
      </c>
      <c r="L244" t="inlineStr">
        <is>
          <t>Cambissolos Háplicos</t>
        </is>
      </c>
      <c r="M244" s="11">
        <f>IFERROR(VLOOKUP(L244,Classes_K,2,FALSE),"")</f>
        <v>0.04749999940395355</v>
      </c>
      <c r="N244" t="inlineStr">
        <is>
          <t>Área Urbanizada</t>
        </is>
      </c>
      <c r="O244" s="11">
        <f>IFERROR(VLOOKUP(N244,Classes_C,2,FALSE),"")</f>
        <v>0.0</v>
      </c>
      <c r="P244" s="12">
        <v>0.2635107934474945</v>
      </c>
      <c r="Q244">
        <f>IF(COUNT(M244,O244,P244)=3,1,0)</f>
        <v>1</v>
      </c>
      <c r="R244" s="12">
        <f>IF(H244&lt;=p_lambda*K244,0,(H244-p_lambda*K244)^2/(H244+(1-p_lambda)*K244))</f>
        <v>29.9267061344601</v>
      </c>
      <c r="S244" s="13">
        <f>R244/1000*A_pixel*RI_mmh/R_evento_mm/3600</f>
        <v>0.0011890598869075614</v>
      </c>
      <c r="T244" s="13">
        <f>IF(Q244=1,coef_W*MAX(R244*S244*A_pixel,0)^exp_M*M244*O244*fator_P*P244,"")</f>
        <v>0.0</v>
      </c>
      <c r="U244" s="13">
        <f>IF(Q244=1,c_pura*T244,"")</f>
        <v>0.0</v>
      </c>
      <c r="V244" s="12">
        <f>IF(Q244=1,MIN(fator_f*R244,H244),"")</f>
        <v>36.65789805228408</v>
      </c>
      <c r="W244" s="13">
        <f>IF(Q244=1,V244/1000*A_pixel*RI_mmh/R_evento_mm/3600,"")</f>
        <v>0.0014565063029815524</v>
      </c>
      <c r="X244" s="13">
        <f>IF(Q244=1,coef_W*MAX(V244*W244*A_pixel,0)^exp_M*M244*O244*fator_P*P244,"")</f>
        <v>0.0</v>
      </c>
      <c r="Y244" s="13">
        <f>IF(Q244=1,c_restr*X244,"")</f>
        <v>0.0</v>
      </c>
    </row>
    <row r="245">
      <c r="A245">
        <v>244</v>
      </c>
      <c r="B245">
        <v>16</v>
      </c>
      <c r="C245">
        <v>123</v>
      </c>
      <c r="D245" s="9">
        <f>X0_canto+(C245+0.5)*dx_pix</f>
        <v>322350.30516838236</v>
      </c>
      <c r="E245" s="9">
        <f>Y0_canto-(B245+0.5)*dy_pix</f>
        <v>7434563.829343698</v>
      </c>
      <c r="F245" s="10">
        <f>(D245-x_DBT5)^2+(E245-y_DBT5)^2</f>
        <v>751296338.2388624</v>
      </c>
      <c r="G245" s="10">
        <f>(D245-x_CLP)^2+(E245-y_CLP)^2</f>
        <v>11416928.427801948</v>
      </c>
      <c r="H245" s="11">
        <f>(P_DBT5/F245+P_CLP/G245)/(1/F245+1/G245)</f>
        <v>78.75750690099407</v>
      </c>
      <c r="I245" s="11">
        <v>85</v>
      </c>
      <c r="J245" s="11">
        <f>4.2*I245/(10-0.058*I245)</f>
        <v>70.41420118343196</v>
      </c>
      <c r="K245" s="11">
        <f>25.4*(1000/J245-10)</f>
        <v>106.72268907563023</v>
      </c>
      <c r="L245" t="inlineStr">
        <is>
          <t>Cambissolos Háplicos</t>
        </is>
      </c>
      <c r="M245" s="11">
        <f>IFERROR(VLOOKUP(L245,Classes_K,2,FALSE),"")</f>
        <v>0.04749999940395355</v>
      </c>
      <c r="N245" t="inlineStr">
        <is>
          <t>Campo</t>
        </is>
      </c>
      <c r="O245" s="11">
        <f>IFERROR(VLOOKUP(N245,Classes_C,2,FALSE),"")</f>
        <v>0.05000000074505806</v>
      </c>
      <c r="P245" s="12">
        <v>0.3298819363117218</v>
      </c>
      <c r="Q245">
        <f>IF(COUNT(M245,O245,P245)=3,1,0)</f>
        <v>1</v>
      </c>
      <c r="R245" s="12">
        <f>IF(H245&lt;=p_lambda*K245,0,(H245-p_lambda*K245)^2/(H245+(1-p_lambda)*K245))</f>
        <v>29.92437211897073</v>
      </c>
      <c r="S245" s="13">
        <f>R245/1000*A_pixel*RI_mmh/R_evento_mm/3600</f>
        <v>0.0011889671508683406</v>
      </c>
      <c r="T245" s="13">
        <f>IF(Q245=1,coef_W*MAX(R245*S245*A_pixel,0)^exp_M*M245*O245*fator_P*P245,"")</f>
        <v>0.06430871620486042</v>
      </c>
      <c r="U245" s="13">
        <f>IF(Q245=1,c_pura*T245,"")</f>
        <v>0.00686211018210777</v>
      </c>
      <c r="V245" s="12">
        <f>IF(Q245=1,MIN(fator_f*R245,H245),"")</f>
        <v>36.65503906401196</v>
      </c>
      <c r="W245" s="13">
        <f>IF(Q245=1,V245/1000*A_pixel*RI_mmh/R_evento_mm/3600,"")</f>
        <v>0.0014563927085132454</v>
      </c>
      <c r="X245" s="13">
        <f>IF(Q245=1,coef_W*MAX(V245*W245*A_pixel,0)^exp_M*M245*O245*fator_P*P245,"")</f>
        <v>0.0807144917914416</v>
      </c>
      <c r="Y245" s="13">
        <f>IF(Q245=1,c_restr*X245,"")</f>
        <v>0.01116779596969522</v>
      </c>
    </row>
    <row r="246">
      <c r="A246">
        <v>245</v>
      </c>
      <c r="B246">
        <v>16</v>
      </c>
      <c r="C246">
        <v>124</v>
      </c>
      <c r="D246" s="9">
        <f>X0_canto+(C246+0.5)*dx_pix</f>
        <v>322380.29674383486</v>
      </c>
      <c r="E246" s="9">
        <f>Y0_canto-(B246+0.5)*dy_pix</f>
        <v>7434563.829343698</v>
      </c>
      <c r="F246" s="10">
        <f>(D246-x_DBT5)^2+(E246-y_DBT5)^2</f>
        <v>749727446.0555259</v>
      </c>
      <c r="G246" s="10">
        <f>(D246-x_CLP)^2+(E246-y_CLP)^2</f>
        <v>11567062.11409615</v>
      </c>
      <c r="H246" s="11">
        <f>(P_DBT5/F246+P_CLP/G246)/(1/F246+1/G246)</f>
        <v>78.75386020773641</v>
      </c>
      <c r="I246" s="11">
        <v>77</v>
      </c>
      <c r="J246" s="11">
        <f>4.2*I246/(10-0.058*I246)</f>
        <v>58.438742320202394</v>
      </c>
      <c r="K246" s="11">
        <f>25.4*(1000/J246-10)</f>
        <v>180.64316635745197</v>
      </c>
      <c r="L246" t="inlineStr">
        <is>
          <t>Cambissolos Háplicos</t>
        </is>
      </c>
      <c r="M246" s="11">
        <f>IFERROR(VLOOKUP(L246,Classes_K,2,FALSE),"")</f>
        <v>0.04749999940395355</v>
      </c>
      <c r="N246" t="inlineStr">
        <is>
          <t>Campo</t>
        </is>
      </c>
      <c r="O246" s="11">
        <f>IFERROR(VLOOKUP(N246,Classes_C,2,FALSE),"")</f>
        <v>0.05000000074505806</v>
      </c>
      <c r="P246" s="12">
        <v>0.4119429588317871</v>
      </c>
      <c r="Q246">
        <f>IF(COUNT(M246,O246,P246)=3,1,0)</f>
        <v>1</v>
      </c>
      <c r="R246" s="12">
        <f>IF(H246&lt;=p_lambda*K246,0,(H246-p_lambda*K246)^2/(H246+(1-p_lambda)*K246))</f>
        <v>19.416125546884334</v>
      </c>
      <c r="S246" s="13">
        <f>R246/1000*A_pixel*RI_mmh/R_evento_mm/3600</f>
        <v>0.0007714492849039968</v>
      </c>
      <c r="T246" s="13">
        <f>IF(Q246=1,coef_W*MAX(R246*S246*A_pixel,0)^exp_M*M246*O246*fator_P*P246,"")</f>
        <v>0.049470057667842245</v>
      </c>
      <c r="U246" s="13">
        <f>IF(Q246=1,c_pura*T246,"")</f>
        <v>0.005278739904409753</v>
      </c>
      <c r="V246" s="12">
        <f>IF(Q246=1,MIN(fator_f*R246,H246),"")</f>
        <v>23.78325057459168</v>
      </c>
      <c r="W246" s="13">
        <f>IF(Q246=1,V246/1000*A_pixel*RI_mmh/R_evento_mm/3600,"")</f>
        <v>0.0009449656474540833</v>
      </c>
      <c r="X246" s="13">
        <f>IF(Q246=1,coef_W*MAX(V246*W246*A_pixel,0)^exp_M*M246*O246*fator_P*P246,"")</f>
        <v>0.062090347921630734</v>
      </c>
      <c r="Y246" s="13">
        <f>IF(Q246=1,c_restr*X246,"")</f>
        <v>0.0085909273773026</v>
      </c>
    </row>
    <row r="247">
      <c r="A247">
        <v>246</v>
      </c>
      <c r="B247">
        <v>16</v>
      </c>
      <c r="C247">
        <v>125</v>
      </c>
      <c r="D247" s="9">
        <f>X0_canto+(C247+0.5)*dx_pix</f>
        <v>322410.28831928736</v>
      </c>
      <c r="E247" s="9">
        <f>Y0_canto-(B247+0.5)*dy_pix</f>
        <v>7434563.829343698</v>
      </c>
      <c r="F247" s="10">
        <f>(D247-x_DBT5)^2+(E247-y_DBT5)^2</f>
        <v>748160352.8613857</v>
      </c>
      <c r="G247" s="10">
        <f>(D247-x_CLP)^2+(E247-y_CLP)^2</f>
        <v>11718994.789586596</v>
      </c>
      <c r="H247" s="11">
        <f>(P_DBT5/F247+P_CLP/G247)/(1/F247+1/G247)</f>
        <v>78.75016272688488</v>
      </c>
      <c r="I247" s="11">
        <v>65</v>
      </c>
      <c r="J247" s="11">
        <f>4.2*I247/(10-0.058*I247)</f>
        <v>43.82022471910112</v>
      </c>
      <c r="K247" s="11">
        <f>25.4*(1000/J247-10)</f>
        <v>325.64102564102564</v>
      </c>
      <c r="L247" t="inlineStr">
        <is>
          <t>Cambissolos Háplicos</t>
        </is>
      </c>
      <c r="M247" s="11">
        <f>IFERROR(VLOOKUP(L247,Classes_K,2,FALSE),"")</f>
        <v>0.04749999940395355</v>
      </c>
      <c r="N247" t="inlineStr">
        <is>
          <t>Campo</t>
        </is>
      </c>
      <c r="O247" s="11">
        <f>IFERROR(VLOOKUP(N247,Classes_C,2,FALSE),"")</f>
        <v>0.05000000074505806</v>
      </c>
      <c r="P247" s="12">
        <v>0.5896797776222229</v>
      </c>
      <c r="Q247">
        <f>IF(COUNT(M247,O247,P247)=3,1,0)</f>
        <v>1</v>
      </c>
      <c r="R247" s="12">
        <f>IF(H247&lt;=p_lambda*K247,0,(H247-p_lambda*K247)^2/(H247+(1-p_lambda)*K247))</f>
        <v>10.054555728279269</v>
      </c>
      <c r="S247" s="13">
        <f>R247/1000*A_pixel*RI_mmh/R_evento_mm/3600</f>
        <v>0.0003994916394560041</v>
      </c>
      <c r="T247" s="13">
        <f>IF(Q247=1,coef_W*MAX(R247*S247*A_pixel,0)^exp_M*M247*O247*fator_P*P247,"")</f>
        <v>0.03388643789831566</v>
      </c>
      <c r="U247" s="13">
        <f>IF(Q247=1,c_pura*T247,"")</f>
        <v>0.0036158779751821546</v>
      </c>
      <c r="V247" s="12">
        <f>IF(Q247=1,MIN(fator_f*R247,H247),"")</f>
        <v>12.316052331060183</v>
      </c>
      <c r="W247" s="13">
        <f>IF(Q247=1,V247/1000*A_pixel*RI_mmh/R_evento_mm/3600,"")</f>
        <v>0.000489346329199093</v>
      </c>
      <c r="X247" s="13">
        <f>IF(Q247=1,coef_W*MAX(V247*W247*A_pixel,0)^exp_M*M247*O247*fator_P*P247,"")</f>
        <v>0.04253119600260464</v>
      </c>
      <c r="Y247" s="13">
        <f>IF(Q247=1,c_restr*X247,"")</f>
        <v>0.00588468946235215</v>
      </c>
    </row>
    <row r="248">
      <c r="A248">
        <v>247</v>
      </c>
      <c r="B248">
        <v>16</v>
      </c>
      <c r="C248">
        <v>126</v>
      </c>
      <c r="D248" s="9">
        <f>X0_canto+(C248+0.5)*dx_pix</f>
        <v>322440.2798947398</v>
      </c>
      <c r="E248" s="9">
        <f>Y0_canto-(B248+0.5)*dy_pix</f>
        <v>7434563.829343698</v>
      </c>
      <c r="F248" s="10">
        <f>(D248-x_DBT5)^2+(E248-y_DBT5)^2</f>
        <v>746595058.6564447</v>
      </c>
      <c r="G248" s="10">
        <f>(D248-x_CLP)^2+(E248-y_CLP)^2</f>
        <v>11872726.45427299</v>
      </c>
      <c r="H248" s="11">
        <f>(P_DBT5/F248+P_CLP/G248)/(1/F248+1/G248)</f>
        <v>78.74641422677846</v>
      </c>
      <c r="I248" s="11">
        <v>65</v>
      </c>
      <c r="J248" s="11">
        <f>4.2*I248/(10-0.058*I248)</f>
        <v>43.82022471910112</v>
      </c>
      <c r="K248" s="11">
        <f>25.4*(1000/J248-10)</f>
        <v>325.64102564102564</v>
      </c>
      <c r="L248" t="inlineStr">
        <is>
          <t>Cambissolos Háplicos</t>
        </is>
      </c>
      <c r="M248" s="11">
        <f>IFERROR(VLOOKUP(L248,Classes_K,2,FALSE),"")</f>
        <v>0.04749999940395355</v>
      </c>
      <c r="N248" t="inlineStr">
        <is>
          <t>Campo</t>
        </is>
      </c>
      <c r="O248" s="11">
        <f>IFERROR(VLOOKUP(N248,Classes_C,2,FALSE),"")</f>
        <v>0.05000000074505806</v>
      </c>
      <c r="P248" s="12">
        <v>1.047412633895874</v>
      </c>
      <c r="Q248">
        <f>IF(COUNT(M248,O248,P248)=3,1,0)</f>
        <v>1</v>
      </c>
      <c r="R248" s="12">
        <f>IF(H248&lt;=p_lambda*K248,0,(H248-p_lambda*K248)^2/(H248+(1-p_lambda)*K248))</f>
        <v>10.053446184575439</v>
      </c>
      <c r="S248" s="13">
        <f>R248/1000*A_pixel*RI_mmh/R_evento_mm/3600</f>
        <v>0.00039944755462070455</v>
      </c>
      <c r="T248" s="13">
        <f>IF(Q248=1,coef_W*MAX(R248*S248*A_pixel,0)^exp_M*M248*O248*fator_P*P248,"")</f>
        <v>0.06018299727117588</v>
      </c>
      <c r="U248" s="13">
        <f>IF(Q248=1,c_pura*T248,"")</f>
        <v>0.0064218722241120895</v>
      </c>
      <c r="V248" s="12">
        <f>IF(Q248=1,MIN(fator_f*R248,H248),"")</f>
        <v>12.31469322592523</v>
      </c>
      <c r="W248" s="13">
        <f>IF(Q248=1,V248/1000*A_pixel*RI_mmh/R_evento_mm/3600,"")</f>
        <v>0.0004892923286889532</v>
      </c>
      <c r="X248" s="13">
        <f>IF(Q248=1,coef_W*MAX(V248*W248*A_pixel,0)^exp_M*M248*O248*fator_P*P248,"")</f>
        <v>0.0755362620481225</v>
      </c>
      <c r="Y248" s="13">
        <f>IF(Q248=1,c_restr*X248,"")</f>
        <v>0.010451327192229326</v>
      </c>
    </row>
    <row r="249">
      <c r="A249">
        <v>248</v>
      </c>
      <c r="B249">
        <v>16</v>
      </c>
      <c r="C249">
        <v>127</v>
      </c>
      <c r="D249" s="9">
        <f>X0_canto+(C249+0.5)*dx_pix</f>
        <v>322470.2714701923</v>
      </c>
      <c r="E249" s="9">
        <f>Y0_canto-(B249+0.5)*dy_pix</f>
        <v>7434563.829343698</v>
      </c>
      <c r="F249" s="10">
        <f>(D249-x_DBT5)^2+(E249-y_DBT5)^2</f>
        <v>745031563.440697</v>
      </c>
      <c r="G249" s="10">
        <f>(D249-x_CLP)^2+(E249-y_CLP)^2</f>
        <v>12028257.108155925</v>
      </c>
      <c r="H249" s="11">
        <f>(P_DBT5/F249+P_CLP/G249)/(1/F249+1/G249)</f>
        <v>78.742614475481</v>
      </c>
      <c r="I249" s="11">
        <v>65</v>
      </c>
      <c r="J249" s="11">
        <f>4.2*I249/(10-0.058*I249)</f>
        <v>43.82022471910112</v>
      </c>
      <c r="K249" s="11">
        <f>25.4*(1000/J249-10)</f>
        <v>325.64102564102564</v>
      </c>
      <c r="L249" t="inlineStr">
        <is>
          <t>Cambissolos Háplicos</t>
        </is>
      </c>
      <c r="M249" s="11">
        <f>IFERROR(VLOOKUP(L249,Classes_K,2,FALSE),"")</f>
        <v>0.04749999940395355</v>
      </c>
      <c r="N249" t="inlineStr">
        <is>
          <t>Campo</t>
        </is>
      </c>
      <c r="O249" s="11">
        <f>IFERROR(VLOOKUP(N249,Classes_C,2,FALSE),"")</f>
        <v>0.05000000074505806</v>
      </c>
      <c r="P249" s="12">
        <v>0.9723016023635864</v>
      </c>
      <c r="Q249">
        <f>IF(COUNT(M249,O249,P249)=3,1,0)</f>
        <v>1</v>
      </c>
      <c r="R249" s="12">
        <f>IF(H249&lt;=p_lambda*K249,0,(H249-p_lambda*K249)^2/(H249+(1-p_lambda)*K249))</f>
        <v>10.052321522714857</v>
      </c>
      <c r="S249" s="13">
        <f>R249/1000*A_pixel*RI_mmh/R_evento_mm/3600</f>
        <v>0.0003994028691047395</v>
      </c>
      <c r="T249" s="13">
        <f>IF(Q249=1,coef_W*MAX(R249*S249*A_pixel,0)^exp_M*M249*O249*fator_P*P249,"")</f>
        <v>0.05586021327152074</v>
      </c>
      <c r="U249" s="13">
        <f>IF(Q249=1,c_pura*T249,"")</f>
        <v>0.0059606062892644555</v>
      </c>
      <c r="V249" s="12">
        <f>IF(Q249=1,MIN(fator_f*R249,H249),"")</f>
        <v>12.313315602218724</v>
      </c>
      <c r="W249" s="13">
        <f>IF(Q249=1,V249/1000*A_pixel*RI_mmh/R_evento_mm/3600,"")</f>
        <v>0.0004892375923915038</v>
      </c>
      <c r="X249" s="13">
        <f>IF(Q249=1,coef_W*MAX(V249*W249*A_pixel,0)^exp_M*M249*O249*fator_P*P249,"")</f>
        <v>0.0701106940342182</v>
      </c>
      <c r="Y249" s="13">
        <f>IF(Q249=1,c_restr*X249,"")</f>
        <v>0.009700636266050288</v>
      </c>
    </row>
    <row r="250">
      <c r="A250">
        <v>249</v>
      </c>
      <c r="B250">
        <v>16</v>
      </c>
      <c r="C250">
        <v>128</v>
      </c>
      <c r="D250" s="9">
        <f>X0_canto+(C250+0.5)*dx_pix</f>
        <v>322500.2630456448</v>
      </c>
      <c r="E250" s="9">
        <f>Y0_canto-(B250+0.5)*dy_pix</f>
        <v>7434563.829343698</v>
      </c>
      <c r="F250" s="10">
        <f>(D250-x_DBT5)^2+(E250-y_DBT5)^2</f>
        <v>743469867.2141454</v>
      </c>
      <c r="G250" s="10">
        <f>(D250-x_CLP)^2+(E250-y_CLP)^2</f>
        <v>12185586.751235109</v>
      </c>
      <c r="H250" s="11">
        <f>(P_DBT5/F250+P_CLP/G250)/(1/F250+1/G250)</f>
        <v>78.73876324078968</v>
      </c>
      <c r="I250" s="11">
        <v>77</v>
      </c>
      <c r="J250" s="11">
        <f>4.2*I250/(10-0.058*I250)</f>
        <v>58.438742320202394</v>
      </c>
      <c r="K250" s="11">
        <f>25.4*(1000/J250-10)</f>
        <v>180.64316635745197</v>
      </c>
      <c r="L250" t="inlineStr">
        <is>
          <t>Cambissolos Háplicos</t>
        </is>
      </c>
      <c r="M250" s="11">
        <f>IFERROR(VLOOKUP(L250,Classes_K,2,FALSE),"")</f>
        <v>0.04749999940395355</v>
      </c>
      <c r="N250" t="inlineStr">
        <is>
          <t>Campo</t>
        </is>
      </c>
      <c r="O250" s="11">
        <f>IFERROR(VLOOKUP(N250,Classes_C,2,FALSE),"")</f>
        <v>0.05000000074505806</v>
      </c>
      <c r="P250" s="12">
        <v>0.6574967503547668</v>
      </c>
      <c r="Q250">
        <f>IF(COUNT(M250,O250,P250)=3,1,0)</f>
        <v>1</v>
      </c>
      <c r="R250" s="12">
        <f>IF(H250&lt;=p_lambda*K250,0,(H250-p_lambda*K250)^2/(H250+(1-p_lambda)*K250))</f>
        <v>19.40888839254419</v>
      </c>
      <c r="S250" s="13">
        <f>R250/1000*A_pixel*RI_mmh/R_evento_mm/3600</f>
        <v>0.0007711617353860993</v>
      </c>
      <c r="T250" s="13">
        <f>IF(Q250=1,coef_W*MAX(R250*S250*A_pixel,0)^exp_M*M250*O250*fator_P*P250,"")</f>
        <v>0.07892554788987824</v>
      </c>
      <c r="U250" s="13">
        <f>IF(Q250=1,c_pura*T250,"")</f>
        <v>0.008421810257854817</v>
      </c>
      <c r="V250" s="12">
        <f>IF(Q250=1,MIN(fator_f*R250,H250),"")</f>
        <v>23.774385620834398</v>
      </c>
      <c r="W250" s="13">
        <f>IF(Q250=1,V250/1000*A_pixel*RI_mmh/R_evento_mm/3600,"")</f>
        <v>0.0009446134215570963</v>
      </c>
      <c r="X250" s="13">
        <f>IF(Q250=1,coef_W*MAX(V250*W250*A_pixel,0)^exp_M*M250*O250*fator_P*P250,"")</f>
        <v>0.09906021863349115</v>
      </c>
      <c r="Y250" s="13">
        <f>IF(Q250=1,c_restr*X250,"")</f>
        <v>0.013706142303054584</v>
      </c>
    </row>
    <row r="251">
      <c r="A251">
        <v>250</v>
      </c>
      <c r="B251">
        <v>16</v>
      </c>
      <c r="C251">
        <v>129</v>
      </c>
      <c r="D251" s="9">
        <f>X0_canto+(C251+0.5)*dx_pix</f>
        <v>322530.2546210973</v>
      </c>
      <c r="E251" s="9">
        <f>Y0_canto-(B251+0.5)*dy_pix</f>
        <v>7434563.829343698</v>
      </c>
      <c r="F251" s="10">
        <f>(D251-x_DBT5)^2+(E251-y_DBT5)^2</f>
        <v>741909969.9767902</v>
      </c>
      <c r="G251" s="10">
        <f>(D251-x_CLP)^2+(E251-y_CLP)^2</f>
        <v>12344715.383510536</v>
      </c>
      <c r="H251" s="11">
        <f>(P_DBT5/F251+P_CLP/G251)/(1/F251+1/G251)</f>
        <v>78.73486029024365</v>
      </c>
      <c r="I251" s="11">
        <v>77</v>
      </c>
      <c r="J251" s="11">
        <f>4.2*I251/(10-0.058*I251)</f>
        <v>58.438742320202394</v>
      </c>
      <c r="K251" s="11">
        <f>25.4*(1000/J251-10)</f>
        <v>180.64316635745197</v>
      </c>
      <c r="L251" t="inlineStr">
        <is>
          <t>Cambissolos Háplicos</t>
        </is>
      </c>
      <c r="M251" s="11">
        <f>IFERROR(VLOOKUP(L251,Classes_K,2,FALSE),"")</f>
        <v>0.04749999940395355</v>
      </c>
      <c r="N251" t="inlineStr">
        <is>
          <t>Área Urbanizada</t>
        </is>
      </c>
      <c r="O251" s="11">
        <f>IFERROR(VLOOKUP(N251,Classes_C,2,FALSE),"")</f>
        <v>0.0</v>
      </c>
      <c r="P251" s="12">
        <v>0.5232300758361816</v>
      </c>
      <c r="Q251">
        <f>IF(COUNT(M251,O251,P251)=3,1,0)</f>
        <v>1</v>
      </c>
      <c r="R251" s="12">
        <f>IF(H251&lt;=p_lambda*K251,0,(H251-p_lambda*K251)^2/(H251+(1-p_lambda)*K251))</f>
        <v>19.40701755799819</v>
      </c>
      <c r="S251" s="13">
        <f>R251/1000*A_pixel*RI_mmh/R_evento_mm/3600</f>
        <v>0.0007710874026378279</v>
      </c>
      <c r="T251" s="13">
        <f>IF(Q251=1,coef_W*MAX(R251*S251*A_pixel,0)^exp_M*M251*O251*fator_P*P251,"")</f>
        <v>0.0</v>
      </c>
      <c r="U251" s="13">
        <f>IF(Q251=1,c_pura*T251,"")</f>
        <v>0.0</v>
      </c>
      <c r="V251" s="12">
        <f>IF(Q251=1,MIN(fator_f*R251,H251),"")</f>
        <v>23.772093993357863</v>
      </c>
      <c r="W251" s="13">
        <f>IF(Q251=1,V251/1000*A_pixel*RI_mmh/R_evento_mm/3600,"")</f>
        <v>0.0009445223696953966</v>
      </c>
      <c r="X251" s="13">
        <f>IF(Q251=1,coef_W*MAX(V251*W251*A_pixel,0)^exp_M*M251*O251*fator_P*P251,"")</f>
        <v>0.0</v>
      </c>
      <c r="Y251" s="13">
        <f>IF(Q251=1,c_restr*X251,"")</f>
        <v>0.0</v>
      </c>
    </row>
    <row r="252">
      <c r="A252">
        <v>251</v>
      </c>
      <c r="B252">
        <v>16</v>
      </c>
      <c r="C252">
        <v>130</v>
      </c>
      <c r="D252" s="9">
        <f>X0_canto+(C252+0.5)*dx_pix</f>
        <v>322560.2461965498</v>
      </c>
      <c r="E252" s="9">
        <f>Y0_canto-(B252+0.5)*dy_pix</f>
        <v>7434563.829343698</v>
      </c>
      <c r="F252" s="10">
        <f>(D252-x_DBT5)^2+(E252-y_DBT5)^2</f>
        <v>740351871.7286311</v>
      </c>
      <c r="G252" s="10">
        <f>(D252-x_CLP)^2+(E252-y_CLP)^2</f>
        <v>12505643.004982209</v>
      </c>
      <c r="H252" s="11">
        <f>(P_DBT5/F252+P_CLP/G252)/(1/F252+1/G252)</f>
        <v>78.73090539113271</v>
      </c>
      <c r="I252" s="11">
        <v>77</v>
      </c>
      <c r="J252" s="11">
        <f>4.2*I252/(10-0.058*I252)</f>
        <v>58.438742320202394</v>
      </c>
      <c r="K252" s="11">
        <f>25.4*(1000/J252-10)</f>
        <v>180.64316635745197</v>
      </c>
      <c r="L252" t="inlineStr">
        <is>
          <t>Cambissolos Háplicos</t>
        </is>
      </c>
      <c r="M252" s="11">
        <f>IFERROR(VLOOKUP(L252,Classes_K,2,FALSE),"")</f>
        <v>0.04749999940395355</v>
      </c>
      <c r="N252" t="inlineStr">
        <is>
          <t>Área Urbanizada</t>
        </is>
      </c>
      <c r="O252" s="11">
        <f>IFERROR(VLOOKUP(N252,Classes_C,2,FALSE),"")</f>
        <v>0.0</v>
      </c>
      <c r="P252" s="12">
        <v>0.4380718767642975</v>
      </c>
      <c r="Q252">
        <f>IF(COUNT(M252,O252,P252)=3,1,0)</f>
        <v>1</v>
      </c>
      <c r="R252" s="12">
        <f>IF(H252&lt;=p_lambda*K252,0,(H252-p_lambda*K252)^2/(H252+(1-p_lambda)*K252))</f>
        <v>19.40512188713787</v>
      </c>
      <c r="S252" s="13">
        <f>R252/1000*A_pixel*RI_mmh/R_evento_mm/3600</f>
        <v>0.0007710120830831578</v>
      </c>
      <c r="T252" s="13">
        <f>IF(Q252=1,coef_W*MAX(R252*S252*A_pixel,0)^exp_M*M252*O252*fator_P*P252,"")</f>
        <v>0.0</v>
      </c>
      <c r="U252" s="13">
        <f>IF(Q252=1,c_pura*T252,"")</f>
        <v>0.0</v>
      </c>
      <c r="V252" s="12">
        <f>IF(Q252=1,MIN(fator_f*R252,H252),"")</f>
        <v>23.769771943319142</v>
      </c>
      <c r="W252" s="13">
        <f>IF(Q252=1,V252/1000*A_pixel*RI_mmh/R_evento_mm/3600,"")</f>
        <v>0.0009444301090722587</v>
      </c>
      <c r="X252" s="13">
        <f>IF(Q252=1,coef_W*MAX(V252*W252*A_pixel,0)^exp_M*M252*O252*fator_P*P252,"")</f>
        <v>0.0</v>
      </c>
      <c r="Y252" s="13">
        <f>IF(Q252=1,c_restr*X252,"")</f>
        <v>0.0</v>
      </c>
    </row>
    <row r="253">
      <c r="A253">
        <v>252</v>
      </c>
      <c r="B253">
        <v>16</v>
      </c>
      <c r="C253">
        <v>131</v>
      </c>
      <c r="D253" s="9">
        <f>X0_canto+(C253+0.5)*dx_pix</f>
        <v>322590.23777200223</v>
      </c>
      <c r="E253" s="9">
        <f>Y0_canto-(B253+0.5)*dy_pix</f>
        <v>7434563.829343698</v>
      </c>
      <c r="F253" s="10">
        <f>(D253-x_DBT5)^2+(E253-y_DBT5)^2</f>
        <v>738795572.4696714</v>
      </c>
      <c r="G253" s="10">
        <f>(D253-x_CLP)^2+(E253-y_CLP)^2</f>
        <v>12668369.615649812</v>
      </c>
      <c r="H253" s="11">
        <f>(P_DBT5/F253+P_CLP/G253)/(1/F253+1/G253)</f>
        <v>78.72689831050604</v>
      </c>
      <c r="I253" s="11">
        <v>77</v>
      </c>
      <c r="J253" s="11">
        <f>4.2*I253/(10-0.058*I253)</f>
        <v>58.438742320202394</v>
      </c>
      <c r="K253" s="11">
        <f>25.4*(1000/J253-10)</f>
        <v>180.64316635745197</v>
      </c>
      <c r="L253" t="inlineStr">
        <is>
          <t>Cambissolos Háplicos</t>
        </is>
      </c>
      <c r="M253" s="11">
        <f>IFERROR(VLOOKUP(L253,Classes_K,2,FALSE),"")</f>
        <v>0.04749999940395355</v>
      </c>
      <c r="N253" t="inlineStr">
        <is>
          <t>Área Urbanizada</t>
        </is>
      </c>
      <c r="O253" s="11">
        <f>IFERROR(VLOOKUP(N253,Classes_C,2,FALSE),"")</f>
        <v>0.0</v>
      </c>
      <c r="P253" s="12">
        <v>0.3610273599624634</v>
      </c>
      <c r="Q253">
        <f>IF(COUNT(M253,O253,P253)=3,1,0)</f>
        <v>1</v>
      </c>
      <c r="R253" s="12">
        <f>IF(H253&lt;=p_lambda*K253,0,(H253-p_lambda*K253)^2/(H253+(1-p_lambda)*K253))</f>
        <v>19.40320127087746</v>
      </c>
      <c r="S253" s="13">
        <f>R253/1000*A_pixel*RI_mmh/R_evento_mm/3600</f>
        <v>0.00077093577238785</v>
      </c>
      <c r="T253" s="13">
        <f>IF(Q253=1,coef_W*MAX(R253*S253*A_pixel,0)^exp_M*M253*O253*fator_P*P253,"")</f>
        <v>0.0</v>
      </c>
      <c r="U253" s="13">
        <f>IF(Q253=1,c_pura*T253,"")</f>
        <v>0.0</v>
      </c>
      <c r="V253" s="12">
        <f>IF(Q253=1,MIN(fator_f*R253,H253),"")</f>
        <v>23.767419337096616</v>
      </c>
      <c r="W253" s="13">
        <f>IF(Q253=1,V253/1000*A_pixel*RI_mmh/R_evento_mm/3600,"")</f>
        <v>0.0009443366343785745</v>
      </c>
      <c r="X253" s="13">
        <f>IF(Q253=1,coef_W*MAX(V253*W253*A_pixel,0)^exp_M*M253*O253*fator_P*P253,"")</f>
        <v>0.0</v>
      </c>
      <c r="Y253" s="13">
        <f>IF(Q253=1,c_restr*X253,"")</f>
        <v>0.0</v>
      </c>
    </row>
    <row r="254">
      <c r="A254">
        <v>253</v>
      </c>
      <c r="B254">
        <v>16</v>
      </c>
      <c r="C254">
        <v>132</v>
      </c>
      <c r="D254" s="9">
        <f>X0_canto+(C254+0.5)*dx_pix</f>
        <v>322620.22934745473</v>
      </c>
      <c r="E254" s="9">
        <f>Y0_canto-(B254+0.5)*dy_pix</f>
        <v>7434563.829343698</v>
      </c>
      <c r="F254" s="10">
        <f>(D254-x_DBT5)^2+(E254-y_DBT5)^2</f>
        <v>737241072.1999048</v>
      </c>
      <c r="G254" s="10">
        <f>(D254-x_CLP)^2+(E254-y_CLP)^2</f>
        <v>12832895.215513973</v>
      </c>
      <c r="H254" s="11">
        <f>(P_DBT5/F254+P_CLP/G254)/(1/F254+1/G254)</f>
        <v>78.72283881518133</v>
      </c>
      <c r="I254" s="11">
        <v>85</v>
      </c>
      <c r="J254" s="11">
        <f>4.2*I254/(10-0.058*I254)</f>
        <v>70.41420118343196</v>
      </c>
      <c r="K254" s="11">
        <f>25.4*(1000/J254-10)</f>
        <v>106.72268907563023</v>
      </c>
      <c r="L254" t="inlineStr">
        <is>
          <t>Área Urbana</t>
        </is>
      </c>
      <c r="M254" s="11">
        <f>IFERROR(VLOOKUP(L254,Classes_K,2,FALSE),"")</f>
        <v>0.0</v>
      </c>
      <c r="N254" t="inlineStr">
        <is>
          <t>Área Urbanizada</t>
        </is>
      </c>
      <c r="O254" s="11">
        <f>IFERROR(VLOOKUP(N254,Classes_C,2,FALSE),"")</f>
        <v>0.0</v>
      </c>
      <c r="P254" s="12">
        <v>0.3712879121303558</v>
      </c>
      <c r="Q254">
        <f>IF(COUNT(M254,O254,P254)=3,1,0)</f>
        <v>1</v>
      </c>
      <c r="R254" s="12">
        <f>IF(H254&lt;=p_lambda*K254,0,(H254-p_lambda*K254)^2/(H254+(1-p_lambda)*K254))</f>
        <v>29.901873934800737</v>
      </c>
      <c r="S254" s="13">
        <f>R254/1000*A_pixel*RI_mmh/R_evento_mm/3600</f>
        <v>0.0011880732439945067</v>
      </c>
      <c r="T254" s="13">
        <f>IF(Q254=1,coef_W*MAX(R254*S254*A_pixel,0)^exp_M*M254*O254*fator_P*P254,"")</f>
        <v>0.0</v>
      </c>
      <c r="U254" s="13">
        <f>IF(Q254=1,c_pura*T254,"")</f>
        <v>0.0</v>
      </c>
      <c r="V254" s="12">
        <f>IF(Q254=1,MIN(fator_f*R254,H254),"")</f>
        <v>36.62748053024083</v>
      </c>
      <c r="W254" s="13">
        <f>IF(Q254=1,V254/1000*A_pixel*RI_mmh/R_evento_mm/3600,"")</f>
        <v>0.0014552977418001698</v>
      </c>
      <c r="X254" s="13">
        <f>IF(Q254=1,coef_W*MAX(V254*W254*A_pixel,0)^exp_M*M254*O254*fator_P*P254,"")</f>
        <v>0.0</v>
      </c>
      <c r="Y254" s="13">
        <f>IF(Q254=1,c_restr*X254,"")</f>
        <v>0.0</v>
      </c>
    </row>
    <row r="255">
      <c r="A255">
        <v>254</v>
      </c>
      <c r="B255">
        <v>16</v>
      </c>
      <c r="C255">
        <v>133</v>
      </c>
      <c r="D255" s="9">
        <f>X0_canto+(C255+0.5)*dx_pix</f>
        <v>322650.22092290723</v>
      </c>
      <c r="E255" s="9">
        <f>Y0_canto-(B255+0.5)*dy_pix</f>
        <v>7434563.829343698</v>
      </c>
      <c r="F255" s="10">
        <f>(D255-x_DBT5)^2+(E255-y_DBT5)^2</f>
        <v>735688370.9193345</v>
      </c>
      <c r="G255" s="10">
        <f>(D255-x_CLP)^2+(E255-y_CLP)^2</f>
        <v>12999219.804574382</v>
      </c>
      <c r="H255" s="11">
        <f>(P_DBT5/F255+P_CLP/G255)/(1/F255+1/G255)</f>
        <v>78.71872667175357</v>
      </c>
      <c r="I255" s="11">
        <v>85</v>
      </c>
      <c r="J255" s="11">
        <f>4.2*I255/(10-0.058*I255)</f>
        <v>70.41420118343196</v>
      </c>
      <c r="K255" s="11">
        <f>25.4*(1000/J255-10)</f>
        <v>106.72268907563023</v>
      </c>
      <c r="L255" t="inlineStr">
        <is>
          <t>Área Urbana</t>
        </is>
      </c>
      <c r="M255" s="11">
        <f>IFERROR(VLOOKUP(L255,Classes_K,2,FALSE),"")</f>
        <v>0.0</v>
      </c>
      <c r="N255" t="inlineStr">
        <is>
          <t>Área Urbanizada</t>
        </is>
      </c>
      <c r="O255" s="11">
        <f>IFERROR(VLOOKUP(N255,Classes_C,2,FALSE),"")</f>
        <v>0.0</v>
      </c>
      <c r="P255" s="12">
        <v>0.305450052022934</v>
      </c>
      <c r="Q255">
        <f>IF(COUNT(M255,O255,P255)=3,1,0)</f>
        <v>1</v>
      </c>
      <c r="R255" s="12">
        <f>IF(H255&lt;=p_lambda*K255,0,(H255-p_lambda*K255)^2/(H255+(1-p_lambda)*K255))</f>
        <v>29.899205631014777</v>
      </c>
      <c r="S255" s="13">
        <f>R255/1000*A_pixel*RI_mmh/R_evento_mm/3600</f>
        <v>0.001187967225878657</v>
      </c>
      <c r="T255" s="13">
        <f>IF(Q255=1,coef_W*MAX(R255*S255*A_pixel,0)^exp_M*M255*O255*fator_P*P255,"")</f>
        <v>0.0</v>
      </c>
      <c r="U255" s="13">
        <f>IF(Q255=1,c_pura*T255,"")</f>
        <v>0.0</v>
      </c>
      <c r="V255" s="12">
        <f>IF(Q255=1,MIN(fator_f*R255,H255),"")</f>
        <v>36.6242120646864</v>
      </c>
      <c r="W255" s="13">
        <f>IF(Q255=1,V255/1000*A_pixel*RI_mmh/R_evento_mm/3600,"")</f>
        <v>0.0014551678778163067</v>
      </c>
      <c r="X255" s="13">
        <f>IF(Q255=1,coef_W*MAX(V255*W255*A_pixel,0)^exp_M*M255*O255*fator_P*P255,"")</f>
        <v>0.0</v>
      </c>
      <c r="Y255" s="13">
        <f>IF(Q255=1,c_restr*X255,"")</f>
        <v>0.0</v>
      </c>
    </row>
    <row r="256">
      <c r="A256">
        <v>255</v>
      </c>
      <c r="B256">
        <v>16</v>
      </c>
      <c r="C256">
        <v>134</v>
      </c>
      <c r="D256" s="9">
        <f>X0_canto+(C256+0.5)*dx_pix</f>
        <v>322680.21249835973</v>
      </c>
      <c r="E256" s="9">
        <f>Y0_canto-(B256+0.5)*dy_pix</f>
        <v>7434563.829343698</v>
      </c>
      <c r="F256" s="10">
        <f>(D256-x_DBT5)^2+(E256-y_DBT5)^2</f>
        <v>734137468.6279604</v>
      </c>
      <c r="G256" s="10">
        <f>(D256-x_CLP)^2+(E256-y_CLP)^2</f>
        <v>13167343.382831033</v>
      </c>
      <c r="H256" s="11">
        <f>(P_DBT5/F256+P_CLP/G256)/(1/F256+1/G256)</f>
        <v>78.71456164660451</v>
      </c>
      <c r="I256" s="11">
        <v>85</v>
      </c>
      <c r="J256" s="11">
        <f>4.2*I256/(10-0.058*I256)</f>
        <v>70.41420118343196</v>
      </c>
      <c r="K256" s="11">
        <f>25.4*(1000/J256-10)</f>
        <v>106.72268907563023</v>
      </c>
      <c r="L256" t="inlineStr">
        <is>
          <t>Área Urbana</t>
        </is>
      </c>
      <c r="M256" s="11">
        <f>IFERROR(VLOOKUP(L256,Classes_K,2,FALSE),"")</f>
        <v>0.0</v>
      </c>
      <c r="N256" t="inlineStr">
        <is>
          <t>Área Urbanizada</t>
        </is>
      </c>
      <c r="O256" s="11">
        <f>IFERROR(VLOOKUP(N256,Classes_C,2,FALSE),"")</f>
        <v>0.0</v>
      </c>
      <c r="P256" s="12">
        <v>0.2357399612665176</v>
      </c>
      <c r="Q256">
        <f>IF(COUNT(M256,O256,P256)=3,1,0)</f>
        <v>1</v>
      </c>
      <c r="R256" s="12">
        <f>IF(H256&lt;=p_lambda*K256,0,(H256-p_lambda*K256)^2/(H256+(1-p_lambda)*K256))</f>
        <v>29.896503080339674</v>
      </c>
      <c r="S256" s="13">
        <f>R256/1000*A_pixel*RI_mmh/R_evento_mm/3600</f>
        <v>0.0011878598470516767</v>
      </c>
      <c r="T256" s="13">
        <f>IF(Q256=1,coef_W*MAX(R256*S256*A_pixel,0)^exp_M*M256*O256*fator_P*P256,"")</f>
        <v>0.0</v>
      </c>
      <c r="U256" s="13">
        <f>IF(Q256=1,c_pura*T256,"")</f>
        <v>0.0</v>
      </c>
      <c r="V256" s="12">
        <f>IF(Q256=1,MIN(fator_f*R256,H256),"")</f>
        <v>36.62090164934419</v>
      </c>
      <c r="W256" s="13">
        <f>IF(Q256=1,V256/1000*A_pixel*RI_mmh/R_evento_mm/3600,"")</f>
        <v>0.0014550363470666567</v>
      </c>
      <c r="X256" s="13">
        <f>IF(Q256=1,coef_W*MAX(V256*W256*A_pixel,0)^exp_M*M256*O256*fator_P*P256,"")</f>
        <v>0.0</v>
      </c>
      <c r="Y256" s="13">
        <f>IF(Q256=1,c_restr*X256,"")</f>
        <v>0.0</v>
      </c>
    </row>
    <row r="257">
      <c r="A257">
        <v>256</v>
      </c>
      <c r="B257">
        <v>16</v>
      </c>
      <c r="C257">
        <v>135</v>
      </c>
      <c r="D257" s="9">
        <f>X0_canto+(C257+0.5)*dx_pix</f>
        <v>322710.20407381223</v>
      </c>
      <c r="E257" s="9">
        <f>Y0_canto-(B257+0.5)*dy_pix</f>
        <v>7434563.829343698</v>
      </c>
      <c r="F257" s="10">
        <f>(D257-x_DBT5)^2+(E257-y_DBT5)^2</f>
        <v>732588365.3257827</v>
      </c>
      <c r="G257" s="10">
        <f>(D257-x_CLP)^2+(E257-y_CLP)^2</f>
        <v>13337265.950283933</v>
      </c>
      <c r="H257" s="11">
        <f>(P_DBT5/F257+P_CLP/G257)/(1/F257+1/G257)</f>
        <v>78.71034350591162</v>
      </c>
      <c r="I257" s="11">
        <v>85</v>
      </c>
      <c r="J257" s="11">
        <f>4.2*I257/(10-0.058*I257)</f>
        <v>70.41420118343196</v>
      </c>
      <c r="K257" s="11">
        <f>25.4*(1000/J257-10)</f>
        <v>106.72268907563023</v>
      </c>
      <c r="L257" t="inlineStr">
        <is>
          <t>Área Urbana</t>
        </is>
      </c>
      <c r="M257" s="11">
        <f>IFERROR(VLOOKUP(L257,Classes_K,2,FALSE),"")</f>
        <v>0.0</v>
      </c>
      <c r="N257" t="inlineStr">
        <is>
          <t>Área Urbanizada</t>
        </is>
      </c>
      <c r="O257" s="11">
        <f>IFERROR(VLOOKUP(N257,Classes_C,2,FALSE),"")</f>
        <v>0.0</v>
      </c>
      <c r="P257" s="12">
        <v>0.2228125184774399</v>
      </c>
      <c r="Q257">
        <f>IF(COUNT(M257,O257,P257)=3,1,0)</f>
        <v>1</v>
      </c>
      <c r="R257" s="12">
        <f>IF(H257&lt;=p_lambda*K257,0,(H257-p_lambda*K257)^2/(H257+(1-p_lambda)*K257))</f>
        <v>29.89376613364243</v>
      </c>
      <c r="S257" s="13">
        <f>R257/1000*A_pixel*RI_mmh/R_evento_mm/3600</f>
        <v>0.0011877511015881542</v>
      </c>
      <c r="T257" s="13">
        <f>IF(Q257=1,coef_W*MAX(R257*S257*A_pixel,0)^exp_M*M257*O257*fator_P*P257,"")</f>
        <v>0.0</v>
      </c>
      <c r="U257" s="13">
        <f>IF(Q257=1,c_pura*T257,"")</f>
        <v>0.0</v>
      </c>
      <c r="V257" s="12">
        <f>IF(Q257=1,MIN(fator_f*R257,H257),"")</f>
        <v>36.617549101537854</v>
      </c>
      <c r="W257" s="13">
        <f>IF(Q257=1,V257/1000*A_pixel*RI_mmh/R_evento_mm/3600,"")</f>
        <v>0.0014549031422930493</v>
      </c>
      <c r="X257" s="13">
        <f>IF(Q257=1,coef_W*MAX(V257*W257*A_pixel,0)^exp_M*M257*O257*fator_P*P257,"")</f>
        <v>0.0</v>
      </c>
      <c r="Y257" s="13">
        <f>IF(Q257=1,c_restr*X257,"")</f>
        <v>0.0</v>
      </c>
    </row>
    <row r="258">
      <c r="A258">
        <v>257</v>
      </c>
      <c r="B258">
        <v>16</v>
      </c>
      <c r="C258">
        <v>136</v>
      </c>
      <c r="D258" s="9">
        <f>X0_canto+(C258+0.5)*dx_pix</f>
        <v>322740.19564926473</v>
      </c>
      <c r="E258" s="9">
        <f>Y0_canto-(B258+0.5)*dy_pix</f>
        <v>7434563.829343698</v>
      </c>
      <c r="F258" s="10">
        <f>(D258-x_DBT5)^2+(E258-y_DBT5)^2</f>
        <v>731041061.0128012</v>
      </c>
      <c r="G258" s="10">
        <f>(D258-x_CLP)^2+(E258-y_CLP)^2</f>
        <v>13508987.50693308</v>
      </c>
      <c r="H258" s="11">
        <f>(P_DBT5/F258+P_CLP/G258)/(1/F258+1/G258)</f>
        <v>78.70607201565787</v>
      </c>
      <c r="I258" s="11">
        <v>85</v>
      </c>
      <c r="J258" s="11">
        <f>4.2*I258/(10-0.058*I258)</f>
        <v>70.41420118343196</v>
      </c>
      <c r="K258" s="11">
        <f>25.4*(1000/J258-10)</f>
        <v>106.72268907563023</v>
      </c>
      <c r="L258" t="inlineStr">
        <is>
          <t>Área Urbana</t>
        </is>
      </c>
      <c r="M258" s="11">
        <f>IFERROR(VLOOKUP(L258,Classes_K,2,FALSE),"")</f>
        <v>0.0</v>
      </c>
      <c r="N258" t="inlineStr">
        <is>
          <t>Área Urbanizada</t>
        </is>
      </c>
      <c r="O258" s="11">
        <f>IFERROR(VLOOKUP(N258,Classes_C,2,FALSE),"")</f>
        <v>0.0</v>
      </c>
      <c r="P258" s="12">
        <v>0.2978161573410034</v>
      </c>
      <c r="Q258">
        <f>IF(COUNT(M258,O258,P258)=3,1,0)</f>
        <v>1</v>
      </c>
      <c r="R258" s="12">
        <f>IF(H258&lt;=p_lambda*K258,0,(H258-p_lambda*K258)^2/(H258+(1-p_lambda)*K258))</f>
        <v>29.890994641712478</v>
      </c>
      <c r="S258" s="13">
        <f>R258/1000*A_pixel*RI_mmh/R_evento_mm/3600</f>
        <v>0.001187640983559595</v>
      </c>
      <c r="T258" s="13">
        <f>IF(Q258=1,coef_W*MAX(R258*S258*A_pixel,0)^exp_M*M258*O258*fator_P*P258,"")</f>
        <v>0.0</v>
      </c>
      <c r="U258" s="13">
        <f>IF(Q258=1,c_pura*T258,"")</f>
        <v>0.0</v>
      </c>
      <c r="V258" s="12">
        <f>IF(Q258=1,MIN(fator_f*R258,H258),"")</f>
        <v>36.61415423849598</v>
      </c>
      <c r="W258" s="13">
        <f>IF(Q258=1,V258/1000*A_pixel*RI_mmh/R_evento_mm/3600,"")</f>
        <v>0.0014547682562335374</v>
      </c>
      <c r="X258" s="13">
        <f>IF(Q258=1,coef_W*MAX(V258*W258*A_pixel,0)^exp_M*M258*O258*fator_P*P258,"")</f>
        <v>0.0</v>
      </c>
      <c r="Y258" s="13">
        <f>IF(Q258=1,c_restr*X258,"")</f>
        <v>0.0</v>
      </c>
    </row>
    <row r="259">
      <c r="A259">
        <v>258</v>
      </c>
      <c r="B259">
        <v>16</v>
      </c>
      <c r="C259">
        <v>137</v>
      </c>
      <c r="D259" s="9">
        <f>X0_canto+(C259+0.5)*dx_pix</f>
        <v>322770.18722471717</v>
      </c>
      <c r="E259" s="9">
        <f>Y0_canto-(B259+0.5)*dy_pix</f>
        <v>7434563.829343698</v>
      </c>
      <c r="F259" s="10">
        <f>(D259-x_DBT5)^2+(E259-y_DBT5)^2</f>
        <v>729495555.6890188</v>
      </c>
      <c r="G259" s="10">
        <f>(D259-x_CLP)^2+(E259-y_CLP)^2</f>
        <v>13682508.052778132</v>
      </c>
      <c r="H259" s="11">
        <f>(P_DBT5/F259+P_CLP/G259)/(1/F259+1/G259)</f>
        <v>78.7017469416409</v>
      </c>
      <c r="I259" s="11">
        <v>85</v>
      </c>
      <c r="J259" s="11">
        <f>4.2*I259/(10-0.058*I259)</f>
        <v>70.41420118343196</v>
      </c>
      <c r="K259" s="11">
        <f>25.4*(1000/J259-10)</f>
        <v>106.72268907563023</v>
      </c>
      <c r="L259" t="inlineStr">
        <is>
          <t>Cambissolos Háplicos</t>
        </is>
      </c>
      <c r="M259" s="11">
        <f>IFERROR(VLOOKUP(L259,Classes_K,2,FALSE),"")</f>
        <v>0.04749999940395355</v>
      </c>
      <c r="N259" t="inlineStr">
        <is>
          <t>Campo</t>
        </is>
      </c>
      <c r="O259" s="11">
        <f>IFERROR(VLOOKUP(N259,Classes_C,2,FALSE),"")</f>
        <v>0.05000000074505806</v>
      </c>
      <c r="P259" s="12">
        <v>0.3523805141448975</v>
      </c>
      <c r="Q259">
        <f>IF(COUNT(M259,O259,P259)=3,1,0)</f>
        <v>1</v>
      </c>
      <c r="R259" s="12">
        <f>IF(H259&lt;=p_lambda*K259,0,(H259-p_lambda*K259)^2/(H259+(1-p_lambda)*K259))</f>
        <v>29.88818845526821</v>
      </c>
      <c r="S259" s="13">
        <f>R259/1000*A_pixel*RI_mmh/R_evento_mm/3600</f>
        <v>0.0011875294870346827</v>
      </c>
      <c r="T259" s="13">
        <f>IF(Q259=1,coef_W*MAX(R259*S259*A_pixel,0)^exp_M*M259*O259*fator_P*P259,"")</f>
        <v>0.06860166895609474</v>
      </c>
      <c r="U259" s="13">
        <f>IF(Q259=1,c_pura*T259,"")</f>
        <v>0.0073201929510392704</v>
      </c>
      <c r="V259" s="12">
        <f>IF(Q259=1,MIN(fator_f*R259,H259),"")</f>
        <v>36.61071687736016</v>
      </c>
      <c r="W259" s="13">
        <f>IF(Q259=1,V259/1000*A_pixel*RI_mmh/R_evento_mm/3600,"")</f>
        <v>0.0014546316816227184</v>
      </c>
      <c r="X259" s="13">
        <f>IF(Q259=1,coef_W*MAX(V259*W259*A_pixel,0)^exp_M*M259*O259*fator_P*P259,"")</f>
        <v>0.08610261831688393</v>
      </c>
      <c r="Y259" s="13">
        <f>IF(Q259=1,c_restr*X259,"")</f>
        <v>0.011913306427105088</v>
      </c>
    </row>
    <row r="260">
      <c r="A260">
        <v>259</v>
      </c>
      <c r="B260">
        <v>16</v>
      </c>
      <c r="C260">
        <v>138</v>
      </c>
      <c r="D260" s="9">
        <f>X0_canto+(C260+0.5)*dx_pix</f>
        <v>322800.17880016967</v>
      </c>
      <c r="E260" s="9">
        <f>Y0_canto-(B260+0.5)*dy_pix</f>
        <v>7434563.829343698</v>
      </c>
      <c r="F260" s="10">
        <f>(D260-x_DBT5)^2+(E260-y_DBT5)^2</f>
        <v>727951849.3544297</v>
      </c>
      <c r="G260" s="10">
        <f>(D260-x_CLP)^2+(E260-y_CLP)^2</f>
        <v>13857827.587819766</v>
      </c>
      <c r="H260" s="11">
        <f>(P_DBT5/F260+P_CLP/G260)/(1/F260+1/G260)</f>
        <v>78.69736804948289</v>
      </c>
      <c r="I260" s="11">
        <v>77</v>
      </c>
      <c r="J260" s="11">
        <f>4.2*I260/(10-0.058*I260)</f>
        <v>58.438742320202394</v>
      </c>
      <c r="K260" s="11">
        <f>25.4*(1000/J260-10)</f>
        <v>180.64316635745197</v>
      </c>
      <c r="L260" t="inlineStr">
        <is>
          <t>Cambissolos Háplicos</t>
        </is>
      </c>
      <c r="M260" s="11">
        <f>IFERROR(VLOOKUP(L260,Classes_K,2,FALSE),"")</f>
        <v>0.04749999940395355</v>
      </c>
      <c r="N260" t="inlineStr">
        <is>
          <t>Campo</t>
        </is>
      </c>
      <c r="O260" s="11">
        <f>IFERROR(VLOOKUP(N260,Classes_C,2,FALSE),"")</f>
        <v>0.05000000074505806</v>
      </c>
      <c r="P260" s="12">
        <v>0.3825362920761108</v>
      </c>
      <c r="Q260">
        <f>IF(COUNT(M260,O260,P260)=3,1,0)</f>
        <v>1</v>
      </c>
      <c r="R260" s="12">
        <f>IF(H260&lt;=p_lambda*K260,0,(H260-p_lambda*K260)^2/(H260+(1-p_lambda)*K260))</f>
        <v>19.38904931100834</v>
      </c>
      <c r="S260" s="13">
        <f>R260/1000*A_pixel*RI_mmh/R_evento_mm/3600</f>
        <v>0.0007703734810442623</v>
      </c>
      <c r="T260" s="13">
        <f>IF(Q260=1,coef_W*MAX(R260*S260*A_pixel,0)^exp_M*M260*O260*fator_P*P260,"")</f>
        <v>0.04586687939094866</v>
      </c>
      <c r="U260" s="13">
        <f>IF(Q260=1,c_pura*T260,"")</f>
        <v>0.0048942600422545775</v>
      </c>
      <c r="V260" s="12">
        <f>IF(Q260=1,MIN(fator_f*R260,H260),"")</f>
        <v>23.750084281919097</v>
      </c>
      <c r="W260" s="13">
        <f>IF(Q260=1,V260/1000*A_pixel*RI_mmh/R_evento_mm/3600,"")</f>
        <v>0.0009436478710159677</v>
      </c>
      <c r="X260" s="13">
        <f>IF(Q260=1,coef_W*MAX(V260*W260*A_pixel,0)^exp_M*M260*O260*fator_P*P260,"")</f>
        <v>0.05756796401138487</v>
      </c>
      <c r="Y260" s="13">
        <f>IF(Q260=1,c_restr*X260,"")</f>
        <v>0.00796520255781469</v>
      </c>
    </row>
    <row r="261">
      <c r="A261">
        <v>260</v>
      </c>
      <c r="B261">
        <v>16</v>
      </c>
      <c r="C261">
        <v>139</v>
      </c>
      <c r="D261" s="9">
        <f>X0_canto+(C261+0.5)*dx_pix</f>
        <v>322830.17037562217</v>
      </c>
      <c r="E261" s="9">
        <f>Y0_canto-(B261+0.5)*dy_pix</f>
        <v>7434563.829343698</v>
      </c>
      <c r="F261" s="10">
        <f>(D261-x_DBT5)^2+(E261-y_DBT5)^2</f>
        <v>726409942.0090369</v>
      </c>
      <c r="G261" s="10">
        <f>(D261-x_CLP)^2+(E261-y_CLP)^2</f>
        <v>14034946.112057647</v>
      </c>
      <c r="H261" s="11">
        <f>(P_DBT5/F261+P_CLP/G261)/(1/F261+1/G261)</f>
        <v>78.69293510464018</v>
      </c>
      <c r="I261" s="11">
        <v>77</v>
      </c>
      <c r="J261" s="11">
        <f>4.2*I261/(10-0.058*I261)</f>
        <v>58.438742320202394</v>
      </c>
      <c r="K261" s="11">
        <f>25.4*(1000/J261-10)</f>
        <v>180.64316635745197</v>
      </c>
      <c r="L261" t="inlineStr">
        <is>
          <t>Cambissolos Háplicos</t>
        </is>
      </c>
      <c r="M261" s="11">
        <f>IFERROR(VLOOKUP(L261,Classes_K,2,FALSE),"")</f>
        <v>0.04749999940395355</v>
      </c>
      <c r="N261" t="inlineStr">
        <is>
          <t>Campo</t>
        </is>
      </c>
      <c r="O261" s="11">
        <f>IFERROR(VLOOKUP(N261,Classes_C,2,FALSE),"")</f>
        <v>0.05000000074505806</v>
      </c>
      <c r="P261" s="12">
        <v>0.4357410371303558</v>
      </c>
      <c r="Q261">
        <f>IF(COUNT(M261,O261,P261)=3,1,0)</f>
        <v>1</v>
      </c>
      <c r="R261" s="12">
        <f>IF(H261&lt;=p_lambda*K261,0,(H261-p_lambda*K261)^2/(H261+(1-p_lambda)*K261))</f>
        <v>19.386925198137547</v>
      </c>
      <c r="S261" s="13">
        <f>R261/1000*A_pixel*RI_mmh/R_evento_mm/3600</f>
        <v>0.0007702890849400411</v>
      </c>
      <c r="T261" s="13">
        <f>IF(Q261=1,coef_W*MAX(R261*S261*A_pixel,0)^exp_M*M261*O261*fator_P*P261,"")</f>
        <v>0.05223982603599242</v>
      </c>
      <c r="U261" s="13">
        <f>IF(Q261=1,c_pura*T261,"")</f>
        <v>0.005574290132167632</v>
      </c>
      <c r="V261" s="12">
        <f>IF(Q261=1,MIN(fator_f*R261,H261),"")</f>
        <v>23.74748240810381</v>
      </c>
      <c r="W261" s="13">
        <f>IF(Q261=1,V261/1000*A_pixel*RI_mmh/R_evento_mm/3600,"")</f>
        <v>0.000943544492322347</v>
      </c>
      <c r="X261" s="13">
        <f>IF(Q261=1,coef_W*MAX(V261*W261*A_pixel,0)^exp_M*M261*O261*fator_P*P261,"")</f>
        <v>0.06556671099352107</v>
      </c>
      <c r="Y261" s="13">
        <f>IF(Q261=1,c_restr*X261,"")</f>
        <v>0.009071922953707515</v>
      </c>
    </row>
    <row r="262">
      <c r="A262">
        <v>261</v>
      </c>
      <c r="B262">
        <v>16</v>
      </c>
      <c r="C262">
        <v>140</v>
      </c>
      <c r="D262" s="9">
        <f>X0_canto+(C262+0.5)*dx_pix</f>
        <v>322860.16195107467</v>
      </c>
      <c r="E262" s="9">
        <f>Y0_canto-(B262+0.5)*dy_pix</f>
        <v>7434563.829343698</v>
      </c>
      <c r="F262" s="10">
        <f>(D262-x_DBT5)^2+(E262-y_DBT5)^2</f>
        <v>724869833.6528404</v>
      </c>
      <c r="G262" s="10">
        <f>(D262-x_CLP)^2+(E262-y_CLP)^2</f>
        <v>14213863.625491772</v>
      </c>
      <c r="H262" s="11">
        <f>(P_DBT5/F262+P_CLP/G262)/(1/F262+1/G262)</f>
        <v>78.68844787241329</v>
      </c>
      <c r="I262" s="11">
        <v>77</v>
      </c>
      <c r="J262" s="11">
        <f>4.2*I262/(10-0.058*I262)</f>
        <v>58.438742320202394</v>
      </c>
      <c r="K262" s="11">
        <f>25.4*(1000/J262-10)</f>
        <v>180.64316635745197</v>
      </c>
      <c r="L262" t="inlineStr">
        <is>
          <t>Cambissolos Háplicos</t>
        </is>
      </c>
      <c r="M262" s="11">
        <f>IFERROR(VLOOKUP(L262,Classes_K,2,FALSE),"")</f>
        <v>0.04749999940395355</v>
      </c>
      <c r="N262" t="inlineStr">
        <is>
          <t>Campo</t>
        </is>
      </c>
      <c r="O262" s="11">
        <f>IFERROR(VLOOKUP(N262,Classes_C,2,FALSE),"")</f>
        <v>0.05000000074505806</v>
      </c>
      <c r="P262" s="12">
        <v>0.6584091186523438</v>
      </c>
      <c r="Q262">
        <f>IF(COUNT(M262,O262,P262)=3,1,0)</f>
        <v>1</v>
      </c>
      <c r="R262" s="12">
        <f>IF(H262&lt;=p_lambda*K262,0,(H262-p_lambda*K262)^2/(H262+(1-p_lambda)*K262))</f>
        <v>19.384775155931692</v>
      </c>
      <c r="S262" s="13">
        <f>R262/1000*A_pixel*RI_mmh/R_evento_mm/3600</f>
        <v>0.0007702036586010829</v>
      </c>
      <c r="T262" s="13">
        <f>IF(Q262=1,coef_W*MAX(R262*S262*A_pixel,0)^exp_M*M262*O262*fator_P*P262,"")</f>
        <v>0.07892510160069664</v>
      </c>
      <c r="U262" s="13">
        <f>IF(Q262=1,c_pura*T262,"")</f>
        <v>0.008421762636230287</v>
      </c>
      <c r="V262" s="12">
        <f>IF(Q262=1,MIN(fator_f*R262,H262),"")</f>
        <v>23.744848772860554</v>
      </c>
      <c r="W262" s="13">
        <f>IF(Q262=1,V262/1000*A_pixel*RI_mmh/R_evento_mm/3600,"")</f>
        <v>0.0009434398516709356</v>
      </c>
      <c r="X262" s="13">
        <f>IF(Q262=1,coef_W*MAX(V262*W262*A_pixel,0)^exp_M*M262*O262*fator_P*P262,"")</f>
        <v>0.09905965849162221</v>
      </c>
      <c r="Y262" s="13">
        <f>IF(Q262=1,c_restr*X262,"")</f>
        <v>0.013706064800861761</v>
      </c>
    </row>
    <row r="263">
      <c r="A263">
        <v>262</v>
      </c>
      <c r="B263">
        <v>16</v>
      </c>
      <c r="C263">
        <v>141</v>
      </c>
      <c r="D263" s="9">
        <f>X0_canto+(C263+0.5)*dx_pix</f>
        <v>322890.15352652717</v>
      </c>
      <c r="E263" s="9">
        <f>Y0_canto-(B263+0.5)*dy_pix</f>
        <v>7434563.829343698</v>
      </c>
      <c r="F263" s="10">
        <f>(D263-x_DBT5)^2+(E263-y_DBT5)^2</f>
        <v>723331524.28584</v>
      </c>
      <c r="G263" s="10">
        <f>(D263-x_CLP)^2+(E263-y_CLP)^2</f>
        <v>14394580.128122143</v>
      </c>
      <c r="H263" s="11">
        <f>(P_DBT5/F263+P_CLP/G263)/(1/F263+1/G263)</f>
        <v>78.68390611795684</v>
      </c>
      <c r="I263" s="11">
        <v>65</v>
      </c>
      <c r="J263" s="11">
        <f>4.2*I263/(10-0.058*I263)</f>
        <v>43.82022471910112</v>
      </c>
      <c r="K263" s="11">
        <f>25.4*(1000/J263-10)</f>
        <v>325.64102564102564</v>
      </c>
      <c r="L263" t="inlineStr">
        <is>
          <t>Cambissolos Háplicos</t>
        </is>
      </c>
      <c r="M263" s="11">
        <f>IFERROR(VLOOKUP(L263,Classes_K,2,FALSE),"")</f>
        <v>0.04749999940395355</v>
      </c>
      <c r="N263" t="inlineStr">
        <is>
          <t>Campo</t>
        </is>
      </c>
      <c r="O263" s="11">
        <f>IFERROR(VLOOKUP(N263,Classes_C,2,FALSE),"")</f>
        <v>0.05000000074505806</v>
      </c>
      <c r="P263" s="12">
        <v>0.8132987022399902</v>
      </c>
      <c r="Q263">
        <f>IF(COUNT(M263,O263,P263)=3,1,0)</f>
        <v>1</v>
      </c>
      <c r="R263" s="12">
        <f>IF(H263&lt;=p_lambda*K263,0,(H263-p_lambda*K263)^2/(H263+(1-p_lambda)*K263))</f>
        <v>10.034951503749914</v>
      </c>
      <c r="S263" s="13">
        <f>R263/1000*A_pixel*RI_mmh/R_evento_mm/3600</f>
        <v>0.00039871271654691237</v>
      </c>
      <c r="T263" s="13">
        <f>IF(Q263=1,coef_W*MAX(R263*S263*A_pixel,0)^exp_M*M263*O263*fator_P*P263,"")</f>
        <v>0.04663483485217006</v>
      </c>
      <c r="U263" s="13">
        <f>IF(Q263=1,c_pura*T263,"")</f>
        <v>0.004976205310343359</v>
      </c>
      <c r="V263" s="12">
        <f>IF(Q263=1,MIN(fator_f*R263,H263),"")</f>
        <v>12.29203867379492</v>
      </c>
      <c r="W263" s="13">
        <f>IF(Q263=1,V263/1000*A_pixel*RI_mmh/R_evento_mm/3600,"")</f>
        <v>0.0004883922089406262</v>
      </c>
      <c r="X263" s="13">
        <f>IF(Q263=1,coef_W*MAX(V263*W263*A_pixel,0)^exp_M*M263*O263*fator_P*P263,"")</f>
        <v>0.05853183233948974</v>
      </c>
      <c r="Y263" s="13">
        <f>IF(Q263=1,c_restr*X263,"")</f>
        <v>0.008098565038219575</v>
      </c>
    </row>
    <row r="264">
      <c r="A264">
        <v>263</v>
      </c>
      <c r="B264">
        <v>16</v>
      </c>
      <c r="C264">
        <v>142</v>
      </c>
      <c r="D264" s="9">
        <f>X0_canto+(C264+0.5)*dx_pix</f>
        <v>322920.14510197967</v>
      </c>
      <c r="E264" s="9">
        <f>Y0_canto-(B264+0.5)*dy_pix</f>
        <v>7434563.829343698</v>
      </c>
      <c r="F264" s="10">
        <f>(D264-x_DBT5)^2+(E264-y_DBT5)^2</f>
        <v>721795013.9080359</v>
      </c>
      <c r="G264" s="10">
        <f>(D264-x_CLP)^2+(E264-y_CLP)^2</f>
        <v>14577095.61994876</v>
      </c>
      <c r="H264" s="11">
        <f>(P_DBT5/F264+P_CLP/G264)/(1/F264+1/G264)</f>
        <v>78.67930960628965</v>
      </c>
      <c r="I264" s="11">
        <v>65</v>
      </c>
      <c r="J264" s="11">
        <f>4.2*I264/(10-0.058*I264)</f>
        <v>43.82022471910112</v>
      </c>
      <c r="K264" s="11">
        <f>25.4*(1000/J264-10)</f>
        <v>325.64102564102564</v>
      </c>
      <c r="L264" t="inlineStr">
        <is>
          <t>Cambissolos Háplicos</t>
        </is>
      </c>
      <c r="M264" s="11">
        <f>IFERROR(VLOOKUP(L264,Classes_K,2,FALSE),"")</f>
        <v>0.04749999940395355</v>
      </c>
      <c r="N264" t="inlineStr">
        <is>
          <t>Campo</t>
        </is>
      </c>
      <c r="O264" s="11">
        <f>IFERROR(VLOOKUP(N264,Classes_C,2,FALSE),"")</f>
        <v>0.05000000074505806</v>
      </c>
      <c r="P264" s="12">
        <v>0.5662605762481689</v>
      </c>
      <c r="Q264">
        <f>IF(COUNT(M264,O264,P264)=3,1,0)</f>
        <v>1</v>
      </c>
      <c r="R264" s="12">
        <f>IF(H264&lt;=p_lambda*K264,0,(H264-p_lambda*K264)^2/(H264+(1-p_lambda)*K264))</f>
        <v>10.033592063638393</v>
      </c>
      <c r="S264" s="13">
        <f>R264/1000*A_pixel*RI_mmh/R_evento_mm/3600</f>
        <v>0.0003986587027273493</v>
      </c>
      <c r="T264" s="13">
        <f>IF(Q264=1,coef_W*MAX(R264*S264*A_pixel,0)^exp_M*M264*O264*fator_P*P264,"")</f>
        <v>0.032464654979696805</v>
      </c>
      <c r="U264" s="13">
        <f>IF(Q264=1,c_pura*T264,"")</f>
        <v>0.003464165553937086</v>
      </c>
      <c r="V264" s="12">
        <f>IF(Q264=1,MIN(fator_f*R264,H264),"")</f>
        <v>12.290373464907834</v>
      </c>
      <c r="W264" s="13">
        <f>IF(Q264=1,V264/1000*A_pixel*RI_mmh/R_evento_mm/3600,"")</f>
        <v>0.0004883260461934778</v>
      </c>
      <c r="X264" s="13">
        <f>IF(Q264=1,coef_W*MAX(V264*W264*A_pixel,0)^exp_M*M264*O264*fator_P*P264,"")</f>
        <v>0.04074670250799806</v>
      </c>
      <c r="Y264" s="13">
        <f>IF(Q264=1,c_restr*X264,"")</f>
        <v>0.00563778387186031</v>
      </c>
    </row>
    <row r="265">
      <c r="A265">
        <v>264</v>
      </c>
      <c r="B265">
        <v>16</v>
      </c>
      <c r="C265">
        <v>143</v>
      </c>
      <c r="D265" s="9">
        <f>X0_canto+(C265+0.5)*dx_pix</f>
        <v>322950.1366774321</v>
      </c>
      <c r="E265" s="9">
        <f>Y0_canto-(B265+0.5)*dy_pix</f>
        <v>7434563.829343698</v>
      </c>
      <c r="F265" s="10">
        <f>(D265-x_DBT5)^2+(E265-y_DBT5)^2</f>
        <v>720260302.5194311</v>
      </c>
      <c r="G265" s="10">
        <f>(D265-x_CLP)^2+(E265-y_CLP)^2</f>
        <v>14761410.100971265</v>
      </c>
      <c r="H265" s="11">
        <f>(P_DBT5/F265+P_CLP/G265)/(1/F265+1/G265)</f>
        <v>78.67465810230507</v>
      </c>
      <c r="I265" s="11">
        <v>77</v>
      </c>
      <c r="J265" s="11">
        <f>4.2*I265/(10-0.058*I265)</f>
        <v>58.438742320202394</v>
      </c>
      <c r="K265" s="11">
        <f>25.4*(1000/J265-10)</f>
        <v>180.64316635745197</v>
      </c>
      <c r="L265" t="inlineStr">
        <is>
          <t>Cambissolos Háplicos</t>
        </is>
      </c>
      <c r="M265" s="11">
        <f>IFERROR(VLOOKUP(L265,Classes_K,2,FALSE),"")</f>
        <v>0.04749999940395355</v>
      </c>
      <c r="N265" t="inlineStr">
        <is>
          <t>Campo</t>
        </is>
      </c>
      <c r="O265" s="11">
        <f>IFERROR(VLOOKUP(N265,Classes_C,2,FALSE),"")</f>
        <v>0.05000000074505806</v>
      </c>
      <c r="P265" s="12">
        <v>0.5007359981536865</v>
      </c>
      <c r="Q265">
        <f>IF(COUNT(M265,O265,P265)=3,1,0)</f>
        <v>1</v>
      </c>
      <c r="R265" s="12">
        <f>IF(H265&lt;=p_lambda*K265,0,(H265-p_lambda*K265)^2/(H265+(1-p_lambda)*K265))</f>
        <v>19.378168358531635</v>
      </c>
      <c r="S265" s="13">
        <f>R265/1000*A_pixel*RI_mmh/R_evento_mm/3600</f>
        <v>0.0007699411546778635</v>
      </c>
      <c r="T265" s="13">
        <f>IF(Q265=1,coef_W*MAX(R265*S265*A_pixel,0)^exp_M*M265*O265*fator_P*P265,"")</f>
        <v>0.06000152911710489</v>
      </c>
      <c r="U265" s="13">
        <f>IF(Q265=1,c_pura*T265,"")</f>
        <v>0.006402508527536154</v>
      </c>
      <c r="V265" s="12">
        <f>IF(Q265=1,MIN(fator_f*R265,H265),"")</f>
        <v>23.73675595755187</v>
      </c>
      <c r="W265" s="13">
        <f>IF(Q265=1,V265/1000*A_pixel*RI_mmh/R_evento_mm/3600,"")</f>
        <v>0.0009431183046883687</v>
      </c>
      <c r="X265" s="13">
        <f>IF(Q265=1,coef_W*MAX(V265*W265*A_pixel,0)^exp_M*M265*O265*fator_P*P265,"")</f>
        <v>0.0753084996125374</v>
      </c>
      <c r="Y265" s="13">
        <f>IF(Q265=1,c_restr*X265,"")</f>
        <v>0.010419813589730934</v>
      </c>
    </row>
    <row r="266">
      <c r="A266">
        <v>265</v>
      </c>
      <c r="B266">
        <v>16</v>
      </c>
      <c r="C266">
        <v>144</v>
      </c>
      <c r="D266" s="9">
        <f>X0_canto+(C266+0.5)*dx_pix</f>
        <v>322980.1282528846</v>
      </c>
      <c r="E266" s="9">
        <f>Y0_canto-(B266+0.5)*dy_pix</f>
        <v>7434563.829343698</v>
      </c>
      <c r="F266" s="10">
        <f>(D266-x_DBT5)^2+(E266-y_DBT5)^2</f>
        <v>718727390.1200194</v>
      </c>
      <c r="G266" s="10">
        <f>(D266-x_CLP)^2+(E266-y_CLP)^2</f>
        <v>14947523.57119037</v>
      </c>
      <c r="H266" s="11">
        <f>(P_DBT5/F266+P_CLP/G266)/(1/F266+1/G266)</f>
        <v>78.66995137078129</v>
      </c>
      <c r="I266" s="11">
        <v>77</v>
      </c>
      <c r="J266" s="11">
        <f>4.2*I266/(10-0.058*I266)</f>
        <v>58.438742320202394</v>
      </c>
      <c r="K266" s="11">
        <f>25.4*(1000/J266-10)</f>
        <v>180.64316635745197</v>
      </c>
      <c r="L266" t="inlineStr">
        <is>
          <t>Cambissolos Háplicos</t>
        </is>
      </c>
      <c r="M266" s="11">
        <f>IFERROR(VLOOKUP(L266,Classes_K,2,FALSE),"")</f>
        <v>0.04749999940395355</v>
      </c>
      <c r="N266" t="inlineStr">
        <is>
          <t>Campo</t>
        </is>
      </c>
      <c r="O266" s="11">
        <f>IFERROR(VLOOKUP(N266,Classes_C,2,FALSE),"")</f>
        <v>0.05000000074505806</v>
      </c>
      <c r="P266" s="12">
        <v>0.4596563577651978</v>
      </c>
      <c r="Q266">
        <f>IF(COUNT(M266,O266,P266)=3,1,0)</f>
        <v>1</v>
      </c>
      <c r="R266" s="12">
        <f>IF(H266&lt;=p_lambda*K266,0,(H266-p_lambda*K266)^2/(H266+(1-p_lambda)*K266))</f>
        <v>19.37591350418561</v>
      </c>
      <c r="S266" s="13">
        <f>R266/1000*A_pixel*RI_mmh/R_evento_mm/3600</f>
        <v>0.000769851563900929</v>
      </c>
      <c r="T266" s="13">
        <f>IF(Q266=1,coef_W*MAX(R266*S266*A_pixel,0)^exp_M*M266*O266*fator_P*P266,"")</f>
        <v>0.05507191438047527</v>
      </c>
      <c r="U266" s="13">
        <f>IF(Q266=1,c_pura*T266,"")</f>
        <v>0.005876490260116007</v>
      </c>
      <c r="V266" s="12">
        <f>IF(Q266=1,MIN(fator_f*R266,H266),"")</f>
        <v>23.73399393555159</v>
      </c>
      <c r="W266" s="13">
        <f>IF(Q266=1,V266/1000*A_pixel*RI_mmh/R_evento_mm/3600,"")</f>
        <v>0.0009430085629228522</v>
      </c>
      <c r="X266" s="13">
        <f>IF(Q266=1,coef_W*MAX(V266*W266*A_pixel,0)^exp_M*M266*O266*fator_P*P266,"")</f>
        <v>0.06912129247055143</v>
      </c>
      <c r="Y266" s="13">
        <f>IF(Q266=1,c_restr*X266,"")</f>
        <v>0.009563740963238018</v>
      </c>
    </row>
    <row r="267">
      <c r="A267">
        <v>266</v>
      </c>
      <c r="B267">
        <v>16</v>
      </c>
      <c r="C267">
        <v>145</v>
      </c>
      <c r="D267" s="9">
        <f>X0_canto+(C267+0.5)*dx_pix</f>
        <v>323010.1198283371</v>
      </c>
      <c r="E267" s="9">
        <f>Y0_canto-(B267+0.5)*dy_pix</f>
        <v>7434563.829343698</v>
      </c>
      <c r="F267" s="10">
        <f>(D267-x_DBT5)^2+(E267-y_DBT5)^2</f>
        <v>717196276.7098042</v>
      </c>
      <c r="G267" s="10">
        <f>(D267-x_CLP)^2+(E267-y_CLP)^2</f>
        <v>15135436.030605722</v>
      </c>
      <c r="H267" s="11">
        <f>(P_DBT5/F267+P_CLP/G267)/(1/F267+1/G267)</f>
        <v>78.66518917639189</v>
      </c>
      <c r="I267" s="11">
        <v>77</v>
      </c>
      <c r="J267" s="11">
        <f>4.2*I267/(10-0.058*I267)</f>
        <v>58.438742320202394</v>
      </c>
      <c r="K267" s="11">
        <f>25.4*(1000/J267-10)</f>
        <v>180.64316635745197</v>
      </c>
      <c r="L267" t="inlineStr">
        <is>
          <t>Área Urbana</t>
        </is>
      </c>
      <c r="M267" s="11">
        <f>IFERROR(VLOOKUP(L267,Classes_K,2,FALSE),"")</f>
        <v>0.0</v>
      </c>
      <c r="N267" t="inlineStr">
        <is>
          <t>Campo</t>
        </is>
      </c>
      <c r="O267" s="11">
        <f>IFERROR(VLOOKUP(N267,Classes_C,2,FALSE),"")</f>
        <v>0.05000000074505806</v>
      </c>
      <c r="P267" s="12">
        <v>0.457110196352005</v>
      </c>
      <c r="Q267">
        <f>IF(COUNT(M267,O267,P267)=3,1,0)</f>
        <v>1</v>
      </c>
      <c r="R267" s="12">
        <f>IF(H267&lt;=p_lambda*K267,0,(H267-p_lambda*K267)^2/(H267+(1-p_lambda)*K267))</f>
        <v>19.37363217309616</v>
      </c>
      <c r="S267" s="13">
        <f>R267/1000*A_pixel*RI_mmh/R_evento_mm/3600</f>
        <v>0.0007697609211394089</v>
      </c>
      <c r="T267" s="13">
        <f>IF(Q267=1,coef_W*MAX(R267*S267*A_pixel,0)^exp_M*M267*O267*fator_P*P267,"")</f>
        <v>0.0</v>
      </c>
      <c r="U267" s="13">
        <f>IF(Q267=1,c_pura*T267,"")</f>
        <v>0.0</v>
      </c>
      <c r="V267" s="12">
        <f>IF(Q267=1,MIN(fator_f*R267,H267),"")</f>
        <v>23.731199481590473</v>
      </c>
      <c r="W267" s="13">
        <f>IF(Q267=1,V267/1000*A_pixel*RI_mmh/R_evento_mm/3600,"")</f>
        <v>0.0009428975325576645</v>
      </c>
      <c r="X267" s="13">
        <f>IF(Q267=1,coef_W*MAX(V267*W267*A_pixel,0)^exp_M*M267*O267*fator_P*P267,"")</f>
        <v>0.0</v>
      </c>
      <c r="Y267" s="13">
        <f>IF(Q267=1,c_restr*X267,"")</f>
        <v>0.0</v>
      </c>
    </row>
    <row r="268">
      <c r="A268">
        <v>267</v>
      </c>
      <c r="B268">
        <v>16</v>
      </c>
      <c r="C268">
        <v>146</v>
      </c>
      <c r="D268" s="9">
        <f>X0_canto+(C268+0.5)*dx_pix</f>
        <v>323040.1114037896</v>
      </c>
      <c r="E268" s="9">
        <f>Y0_canto-(B268+0.5)*dy_pix</f>
        <v>7434563.829343698</v>
      </c>
      <c r="F268" s="10">
        <f>(D268-x_DBT5)^2+(E268-y_DBT5)^2</f>
        <v>715666962.288785</v>
      </c>
      <c r="G268" s="10">
        <f>(D268-x_CLP)^2+(E268-y_CLP)^2</f>
        <v>15325147.479217319</v>
      </c>
      <c r="H268" s="11">
        <f>(P_DBT5/F268+P_CLP/G268)/(1/F268+1/G268)</f>
        <v>78.66037128371639</v>
      </c>
      <c r="I268" s="11">
        <v>77</v>
      </c>
      <c r="J268" s="11">
        <f>4.2*I268/(10-0.058*I268)</f>
        <v>58.438742320202394</v>
      </c>
      <c r="K268" s="11">
        <f>25.4*(1000/J268-10)</f>
        <v>180.64316635745197</v>
      </c>
      <c r="L268" t="inlineStr">
        <is>
          <t>Área Urbana</t>
        </is>
      </c>
      <c r="M268" s="11">
        <f>IFERROR(VLOOKUP(L268,Classes_K,2,FALSE),"")</f>
        <v>0.0</v>
      </c>
      <c r="N268" t="inlineStr">
        <is>
          <t>Campo</t>
        </is>
      </c>
      <c r="O268" s="11">
        <f>IFERROR(VLOOKUP(N268,Classes_C,2,FALSE),"")</f>
        <v>0.05000000074505806</v>
      </c>
      <c r="P268" s="12">
        <v>0.4404979646205902</v>
      </c>
      <c r="Q268">
        <f>IF(COUNT(M268,O268,P268)=3,1,0)</f>
        <v>1</v>
      </c>
      <c r="R268" s="12">
        <f>IF(H268&lt;=p_lambda*K268,0,(H268-p_lambda*K268)^2/(H268+(1-p_lambda)*K268))</f>
        <v>19.371324255796065</v>
      </c>
      <c r="S268" s="13">
        <f>R268/1000*A_pixel*RI_mmh/R_evento_mm/3600</f>
        <v>0.0007696692220439083</v>
      </c>
      <c r="T268" s="13">
        <f>IF(Q268=1,coef_W*MAX(R268*S268*A_pixel,0)^exp_M*M268*O268*fator_P*P268,"")</f>
        <v>0.0</v>
      </c>
      <c r="U268" s="13">
        <f>IF(Q268=1,c_pura*T268,"")</f>
        <v>0.0</v>
      </c>
      <c r="V268" s="12">
        <f>IF(Q268=1,MIN(fator_f*R268,H268),"")</f>
        <v>23.728372461579657</v>
      </c>
      <c r="W268" s="13">
        <f>IF(Q268=1,V268/1000*A_pixel*RI_mmh/R_evento_mm/3600,"")</f>
        <v>0.000942785208265133</v>
      </c>
      <c r="X268" s="13">
        <f>IF(Q268=1,coef_W*MAX(V268*W268*A_pixel,0)^exp_M*M268*O268*fator_P*P268,"")</f>
        <v>0.0</v>
      </c>
      <c r="Y268" s="13">
        <f>IF(Q268=1,c_restr*X268,"")</f>
        <v>0.0</v>
      </c>
    </row>
    <row r="269">
      <c r="A269">
        <v>268</v>
      </c>
      <c r="B269">
        <v>16</v>
      </c>
      <c r="C269">
        <v>147</v>
      </c>
      <c r="D269" s="9">
        <f>X0_canto+(C269+0.5)*dx_pix</f>
        <v>323070.1029792421</v>
      </c>
      <c r="E269" s="9">
        <f>Y0_canto-(B269+0.5)*dy_pix</f>
        <v>7434563.829343698</v>
      </c>
      <c r="F269" s="10">
        <f>(D269-x_DBT5)^2+(E269-y_DBT5)^2</f>
        <v>714139446.8569622</v>
      </c>
      <c r="G269" s="10">
        <f>(D269-x_CLP)^2+(E269-y_CLP)^2</f>
        <v>15516657.917025162</v>
      </c>
      <c r="H269" s="11">
        <f>(P_DBT5/F269+P_CLP/G269)/(1/F269+1/G269)</f>
        <v>78.65549745725102</v>
      </c>
      <c r="I269" s="11">
        <v>77</v>
      </c>
      <c r="J269" s="11">
        <f>4.2*I269/(10-0.058*I269)</f>
        <v>58.438742320202394</v>
      </c>
      <c r="K269" s="11">
        <f>25.4*(1000/J269-10)</f>
        <v>180.64316635745197</v>
      </c>
      <c r="L269" t="inlineStr">
        <is>
          <t>Área Urbana</t>
        </is>
      </c>
      <c r="M269" s="11">
        <f>IFERROR(VLOOKUP(L269,Classes_K,2,FALSE),"")</f>
        <v>0.0</v>
      </c>
      <c r="N269" t="inlineStr">
        <is>
          <t>Campo</t>
        </is>
      </c>
      <c r="O269" s="11">
        <f>IFERROR(VLOOKUP(N269,Classes_C,2,FALSE),"")</f>
        <v>0.05000000074505806</v>
      </c>
      <c r="P269" s="12">
        <v>0.393707811832428</v>
      </c>
      <c r="Q269">
        <f>IF(COUNT(M269,O269,P269)=3,1,0)</f>
        <v>1</v>
      </c>
      <c r="R269" s="12">
        <f>IF(H269&lt;=p_lambda*K269,0,(H269-p_lambda*K269)^2/(H269+(1-p_lambda)*K269))</f>
        <v>19.368989642836144</v>
      </c>
      <c r="S269" s="13">
        <f>R269/1000*A_pixel*RI_mmh/R_evento_mm/3600</f>
        <v>0.0007695764622657484</v>
      </c>
      <c r="T269" s="13">
        <f>IF(Q269=1,coef_W*MAX(R269*S269*A_pixel,0)^exp_M*M269*O269*fator_P*P269,"")</f>
        <v>0.0</v>
      </c>
      <c r="U269" s="13">
        <f>IF(Q269=1,c_pura*T269,"")</f>
        <v>0.0</v>
      </c>
      <c r="V269" s="12">
        <f>IF(Q269=1,MIN(fator_f*R269,H269),"")</f>
        <v>23.725512741452363</v>
      </c>
      <c r="W269" s="13">
        <f>IF(Q269=1,V269/1000*A_pixel*RI_mmh/R_evento_mm/3600,"")</f>
        <v>0.0009426715847184631</v>
      </c>
      <c r="X269" s="13">
        <f>IF(Q269=1,coef_W*MAX(V269*W269*A_pixel,0)^exp_M*M269*O269*fator_P*P269,"")</f>
        <v>0.0</v>
      </c>
      <c r="Y269" s="13">
        <f>IF(Q269=1,c_restr*X269,"")</f>
        <v>0.0</v>
      </c>
    </row>
    <row r="270">
      <c r="A270">
        <v>269</v>
      </c>
      <c r="B270">
        <v>16</v>
      </c>
      <c r="C270">
        <v>148</v>
      </c>
      <c r="D270" s="9">
        <f>X0_canto+(C270+0.5)*dx_pix</f>
        <v>323100.09455469454</v>
      </c>
      <c r="E270" s="9">
        <f>Y0_canto-(B270+0.5)*dy_pix</f>
        <v>7434563.829343698</v>
      </c>
      <c r="F270" s="10">
        <f>(D270-x_DBT5)^2+(E270-y_DBT5)^2</f>
        <v>712613730.4143385</v>
      </c>
      <c r="G270" s="10">
        <f>(D270-x_CLP)^2+(E270-y_CLP)^2</f>
        <v>15709967.344028875</v>
      </c>
      <c r="H270" s="11">
        <f>(P_DBT5/F270+P_CLP/G270)/(1/F270+1/G270)</f>
        <v>78.65056746141968</v>
      </c>
      <c r="I270" s="11">
        <v>85</v>
      </c>
      <c r="J270" s="11">
        <f>4.2*I270/(10-0.058*I270)</f>
        <v>70.41420118343196</v>
      </c>
      <c r="K270" s="11">
        <f>25.4*(1000/J270-10)</f>
        <v>106.72268907563023</v>
      </c>
      <c r="L270" t="inlineStr">
        <is>
          <t>Área Urbana</t>
        </is>
      </c>
      <c r="M270" s="11">
        <f>IFERROR(VLOOKUP(L270,Classes_K,2,FALSE),"")</f>
        <v>0.0</v>
      </c>
      <c r="N270" t="inlineStr">
        <is>
          <t>Campo</t>
        </is>
      </c>
      <c r="O270" s="11">
        <f>IFERROR(VLOOKUP(N270,Classes_C,2,FALSE),"")</f>
        <v>0.05000000074505806</v>
      </c>
      <c r="P270" s="12">
        <v>0.3270532190799713</v>
      </c>
      <c r="Q270">
        <f>IF(COUNT(M270,O270,P270)=3,1,0)</f>
        <v>1</v>
      </c>
      <c r="R270" s="12">
        <f>IF(H270&lt;=p_lambda*K270,0,(H270-p_lambda*K270)^2/(H270+(1-p_lambda)*K270))</f>
        <v>29.85498782159764</v>
      </c>
      <c r="S270" s="13">
        <f>R270/1000*A_pixel*RI_mmh/R_evento_mm/3600</f>
        <v>0.0011862103461462664</v>
      </c>
      <c r="T270" s="13">
        <f>IF(Q270=1,coef_W*MAX(R270*S270*A_pixel,0)^exp_M*M270*O270*fator_P*P270,"")</f>
        <v>0.0</v>
      </c>
      <c r="U270" s="13">
        <f>IF(Q270=1,c_pura*T270,"")</f>
        <v>0.0</v>
      </c>
      <c r="V270" s="12">
        <f>IF(Q270=1,MIN(fator_f*R270,H270),"")</f>
        <v>36.57004867154764</v>
      </c>
      <c r="W270" s="13">
        <f>IF(Q270=1,V270/1000*A_pixel*RI_mmh/R_evento_mm/3600,"")</f>
        <v>0.0014530158361639198</v>
      </c>
      <c r="X270" s="13">
        <f>IF(Q270=1,coef_W*MAX(V270*W270*A_pixel,0)^exp_M*M270*O270*fator_P*P270,"")</f>
        <v>0.0</v>
      </c>
      <c r="Y270" s="13">
        <f>IF(Q270=1,c_restr*X270,"")</f>
        <v>0.0</v>
      </c>
    </row>
    <row r="271">
      <c r="A271">
        <v>270</v>
      </c>
      <c r="B271">
        <v>16</v>
      </c>
      <c r="C271">
        <v>149</v>
      </c>
      <c r="D271" s="9">
        <f>X0_canto+(C271+0.5)*dx_pix</f>
        <v>323130.08613014704</v>
      </c>
      <c r="E271" s="9">
        <f>Y0_canto-(B271+0.5)*dy_pix</f>
        <v>7434563.829343698</v>
      </c>
      <c r="F271" s="10">
        <f>(D271-x_DBT5)^2+(E271-y_DBT5)^2</f>
        <v>711089812.9609082</v>
      </c>
      <c r="G271" s="10">
        <f>(D271-x_CLP)^2+(E271-y_CLP)^2</f>
        <v>15905075.760229206</v>
      </c>
      <c r="H271" s="11">
        <f>(P_DBT5/F271+P_CLP/G271)/(1/F271+1/G271)</f>
        <v>78.64558106058473</v>
      </c>
      <c r="I271" s="11">
        <v>85</v>
      </c>
      <c r="J271" s="11">
        <f>4.2*I271/(10-0.058*I271)</f>
        <v>70.41420118343196</v>
      </c>
      <c r="K271" s="11">
        <f>25.4*(1000/J271-10)</f>
        <v>106.72268907563023</v>
      </c>
      <c r="L271" t="inlineStr">
        <is>
          <t>Área Urbana</t>
        </is>
      </c>
      <c r="M271" s="11">
        <f>IFERROR(VLOOKUP(L271,Classes_K,2,FALSE),"")</f>
        <v>0.0</v>
      </c>
      <c r="N271" t="inlineStr">
        <is>
          <t>Campo</t>
        </is>
      </c>
      <c r="O271" s="11">
        <f>IFERROR(VLOOKUP(N271,Classes_C,2,FALSE),"")</f>
        <v>0.05000000074505806</v>
      </c>
      <c r="P271" s="12">
        <v>0.2347517013549805</v>
      </c>
      <c r="Q271">
        <f>IF(COUNT(M271,O271,P271)=3,1,0)</f>
        <v>1</v>
      </c>
      <c r="R271" s="12">
        <f>IF(H271&lt;=p_lambda*K271,0,(H271-p_lambda*K271)^2/(H271+(1-p_lambda)*K271))</f>
        <v>29.851753640670303</v>
      </c>
      <c r="S271" s="13">
        <f>R271/1000*A_pixel*RI_mmh/R_evento_mm/3600</f>
        <v>0.0011860818443729534</v>
      </c>
      <c r="T271" s="13">
        <f>IF(Q271=1,coef_W*MAX(R271*S271*A_pixel,0)^exp_M*M271*O271*fator_P*P271,"")</f>
        <v>0.0</v>
      </c>
      <c r="U271" s="13">
        <f>IF(Q271=1,c_pura*T271,"")</f>
        <v>0.0</v>
      </c>
      <c r="V271" s="12">
        <f>IF(Q271=1,MIN(fator_f*R271,H271),"")</f>
        <v>36.56608705030592</v>
      </c>
      <c r="W271" s="13">
        <f>IF(Q271=1,V271/1000*A_pixel*RI_mmh/R_evento_mm/3600,"")</f>
        <v>0.0014528584314403763</v>
      </c>
      <c r="X271" s="13">
        <f>IF(Q271=1,coef_W*MAX(V271*W271*A_pixel,0)^exp_M*M271*O271*fator_P*P271,"")</f>
        <v>0.0</v>
      </c>
      <c r="Y271" s="13">
        <f>IF(Q271=1,c_restr*X271,"")</f>
        <v>0.0</v>
      </c>
    </row>
    <row r="272">
      <c r="A272">
        <v>271</v>
      </c>
      <c r="B272">
        <v>16</v>
      </c>
      <c r="C272">
        <v>150</v>
      </c>
      <c r="D272" s="9">
        <f>X0_canto+(C272+0.5)*dx_pix</f>
        <v>323160.07770559954</v>
      </c>
      <c r="E272" s="9">
        <f>Y0_canto-(B272+0.5)*dy_pix</f>
        <v>7434563.829343698</v>
      </c>
      <c r="F272" s="10">
        <f>(D272-x_DBT5)^2+(E272-y_DBT5)^2</f>
        <v>709567694.4966741</v>
      </c>
      <c r="G272" s="10">
        <f>(D272-x_CLP)^2+(E272-y_CLP)^2</f>
        <v>16101983.165625783</v>
      </c>
      <c r="H272" s="11">
        <f>(P_DBT5/F272+P_CLP/G272)/(1/F272+1/G272)</f>
        <v>78.64053801905831</v>
      </c>
      <c r="I272" s="11">
        <v>85</v>
      </c>
      <c r="J272" s="11">
        <f>4.2*I272/(10-0.058*I272)</f>
        <v>70.41420118343196</v>
      </c>
      <c r="K272" s="11">
        <f>25.4*(1000/J272-10)</f>
        <v>106.72268907563023</v>
      </c>
      <c r="L272" t="inlineStr">
        <is>
          <t>Área Urbana</t>
        </is>
      </c>
      <c r="M272" s="11">
        <f>IFERROR(VLOOKUP(L272,Classes_K,2,FALSE),"")</f>
        <v>0.0</v>
      </c>
      <c r="N272" t="inlineStr">
        <is>
          <t>Campo</t>
        </is>
      </c>
      <c r="O272" s="11">
        <f>IFERROR(VLOOKUP(N272,Classes_C,2,FALSE),"")</f>
        <v>0.05000000074505806</v>
      </c>
      <c r="P272" s="12">
        <v>0.2196002006530762</v>
      </c>
      <c r="Q272">
        <f>IF(COUNT(M272,O272,P272)=3,1,0)</f>
        <v>1</v>
      </c>
      <c r="R272" s="12">
        <f>IF(H272&lt;=p_lambda*K272,0,(H272-p_lambda*K272)^2/(H272+(1-p_lambda)*K272))</f>
        <v>29.84848282130149</v>
      </c>
      <c r="S272" s="13">
        <f>R272/1000*A_pixel*RI_mmh/R_evento_mm/3600</f>
        <v>0.0011859518868663939</v>
      </c>
      <c r="T272" s="13">
        <f>IF(Q272=1,coef_W*MAX(R272*S272*A_pixel,0)^exp_M*M272*O272*fator_P*P272,"")</f>
        <v>0.0</v>
      </c>
      <c r="U272" s="13">
        <f>IF(Q272=1,c_pura*T272,"")</f>
        <v>0.0</v>
      </c>
      <c r="V272" s="12">
        <f>IF(Q272=1,MIN(fator_f*R272,H272),"")</f>
        <v>36.56208054980999</v>
      </c>
      <c r="W272" s="13">
        <f>IF(Q272=1,V272/1000*A_pixel*RI_mmh/R_evento_mm/3600,"")</f>
        <v>0.0014526992435563114</v>
      </c>
      <c r="X272" s="13">
        <f>IF(Q272=1,coef_W*MAX(V272*W272*A_pixel,0)^exp_M*M272*O272*fator_P*P272,"")</f>
        <v>0.0</v>
      </c>
      <c r="Y272" s="13">
        <f>IF(Q272=1,c_restr*X272,"")</f>
        <v>0.0</v>
      </c>
    </row>
    <row r="273">
      <c r="A273">
        <v>272</v>
      </c>
      <c r="B273">
        <v>16</v>
      </c>
      <c r="C273">
        <v>151</v>
      </c>
      <c r="D273" s="9">
        <f>X0_canto+(C273+0.5)*dx_pix</f>
        <v>323190.06928105204</v>
      </c>
      <c r="E273" s="9">
        <f>Y0_canto-(B273+0.5)*dy_pix</f>
        <v>7434563.829343698</v>
      </c>
      <c r="F273" s="10">
        <f>(D273-x_DBT5)^2+(E273-y_DBT5)^2</f>
        <v>708047375.0216361</v>
      </c>
      <c r="G273" s="10">
        <f>(D273-x_CLP)^2+(E273-y_CLP)^2</f>
        <v>16300689.560218606</v>
      </c>
      <c r="H273" s="11">
        <f>(P_DBT5/F273+P_CLP/G273)/(1/F273+1/G273)</f>
        <v>78.63543810111348</v>
      </c>
      <c r="I273" s="11">
        <v>85</v>
      </c>
      <c r="J273" s="11">
        <f>4.2*I273/(10-0.058*I273)</f>
        <v>70.41420118343196</v>
      </c>
      <c r="K273" s="11">
        <f>25.4*(1000/J273-10)</f>
        <v>106.72268907563023</v>
      </c>
      <c r="L273" t="inlineStr">
        <is>
          <t>Área Urbana</t>
        </is>
      </c>
      <c r="M273" s="11">
        <f>IFERROR(VLOOKUP(L273,Classes_K,2,FALSE),"")</f>
        <v>0.0</v>
      </c>
      <c r="N273" t="inlineStr">
        <is>
          <t>Campo</t>
        </is>
      </c>
      <c r="O273" s="11">
        <f>IFERROR(VLOOKUP(N273,Classes_C,2,FALSE),"")</f>
        <v>0.05000000074505806</v>
      </c>
      <c r="P273" s="12">
        <v>0.3050259947776794</v>
      </c>
      <c r="Q273">
        <f>IF(COUNT(M273,O273,P273)=3,1,0)</f>
        <v>1</v>
      </c>
      <c r="R273" s="12">
        <f>IF(H273&lt;=p_lambda*K273,0,(H273-p_lambda*K273)^2/(H273+(1-p_lambda)*K273))</f>
        <v>29.845175213964083</v>
      </c>
      <c r="S273" s="13">
        <f>R273/1000*A_pixel*RI_mmh/R_evento_mm/3600</f>
        <v>0.0011858204676855164</v>
      </c>
      <c r="T273" s="13">
        <f>IF(Q273=1,coef_W*MAX(R273*S273*A_pixel,0)^exp_M*M273*O273*fator_P*P273,"")</f>
        <v>0.0</v>
      </c>
      <c r="U273" s="13">
        <f>IF(Q273=1,c_pura*T273,"")</f>
        <v>0.0</v>
      </c>
      <c r="V273" s="12">
        <f>IF(Q273=1,MIN(fator_f*R273,H273),"")</f>
        <v>36.558028986900695</v>
      </c>
      <c r="W273" s="13">
        <f>IF(Q273=1,V273/1000*A_pixel*RI_mmh/R_evento_mm/3600,"")</f>
        <v>0.001452538265234371</v>
      </c>
      <c r="X273" s="13">
        <f>IF(Q273=1,coef_W*MAX(V273*W273*A_pixel,0)^exp_M*M273*O273*fator_P*P273,"")</f>
        <v>0.0</v>
      </c>
      <c r="Y273" s="13">
        <f>IF(Q273=1,c_restr*X273,"")</f>
        <v>0.0</v>
      </c>
    </row>
    <row r="274">
      <c r="A274">
        <v>273</v>
      </c>
      <c r="B274">
        <v>16</v>
      </c>
      <c r="C274">
        <v>152</v>
      </c>
      <c r="D274" s="9">
        <f>X0_canto+(C274+0.5)*dx_pix</f>
        <v>323220.06085650454</v>
      </c>
      <c r="E274" s="9">
        <f>Y0_canto-(B274+0.5)*dy_pix</f>
        <v>7434563.829343698</v>
      </c>
      <c r="F274" s="10">
        <f>(D274-x_DBT5)^2+(E274-y_DBT5)^2</f>
        <v>706528854.5357945</v>
      </c>
      <c r="G274" s="10">
        <f>(D274-x_CLP)^2+(E274-y_CLP)^2</f>
        <v>16501194.944007676</v>
      </c>
      <c r="H274" s="11">
        <f>(P_DBT5/F274+P_CLP/G274)/(1/F274+1/G274)</f>
        <v>78.63028107099564</v>
      </c>
      <c r="I274" s="11">
        <v>85</v>
      </c>
      <c r="J274" s="11">
        <f>4.2*I274/(10-0.058*I274)</f>
        <v>70.41420118343196</v>
      </c>
      <c r="K274" s="11">
        <f>25.4*(1000/J274-10)</f>
        <v>106.72268907563023</v>
      </c>
      <c r="L274" t="inlineStr">
        <is>
          <t>Cambissolos Háplicos</t>
        </is>
      </c>
      <c r="M274" s="11">
        <f>IFERROR(VLOOKUP(L274,Classes_K,2,FALSE),"")</f>
        <v>0.04749999940395355</v>
      </c>
      <c r="N274" t="inlineStr">
        <is>
          <t>Campo</t>
        </is>
      </c>
      <c r="O274" s="11">
        <f>IFERROR(VLOOKUP(N274,Classes_C,2,FALSE),"")</f>
        <v>0.05000000074505806</v>
      </c>
      <c r="P274" s="12">
        <v>0.3539469242095947</v>
      </c>
      <c r="Q274">
        <f>IF(COUNT(M274,O274,P274)=3,1,0)</f>
        <v>1</v>
      </c>
      <c r="R274" s="12">
        <f>IF(H274&lt;=p_lambda*K274,0,(H274-p_lambda*K274)^2/(H274+(1-p_lambda)*K274))</f>
        <v>29.841830669170122</v>
      </c>
      <c r="S274" s="13">
        <f>R274/1000*A_pixel*RI_mmh/R_evento_mm/3600</f>
        <v>0.0011856875808908052</v>
      </c>
      <c r="T274" s="13">
        <f>IF(Q274=1,coef_W*MAX(R274*S274*A_pixel,0)^exp_M*M274*O274*fator_P*P274,"")</f>
        <v>0.06878692765777936</v>
      </c>
      <c r="U274" s="13">
        <f>IF(Q274=1,c_pura*T274,"")</f>
        <v>0.007339961120864095</v>
      </c>
      <c r="V274" s="12">
        <f>IF(Q274=1,MIN(fator_f*R274,H274),"")</f>
        <v>36.553932178466866</v>
      </c>
      <c r="W274" s="13">
        <f>IF(Q274=1,V274/1000*A_pixel*RI_mmh/R_evento_mm/3600,"")</f>
        <v>0.0014523754891991095</v>
      </c>
      <c r="X274" s="13">
        <f>IF(Q274=1,coef_W*MAX(V274*W274*A_pixel,0)^exp_M*M274*O274*fator_P*P274,"")</f>
        <v>0.0863351383054463</v>
      </c>
      <c r="Y274" s="13">
        <f>IF(Q274=1,c_restr*X274,"")</f>
        <v>0.011945478292819738</v>
      </c>
    </row>
    <row r="275">
      <c r="A275">
        <v>274</v>
      </c>
      <c r="B275">
        <v>16</v>
      </c>
      <c r="C275">
        <v>153</v>
      </c>
      <c r="D275" s="9">
        <f>X0_canto+(C275+0.5)*dx_pix</f>
        <v>323250.05243195704</v>
      </c>
      <c r="E275" s="9">
        <f>Y0_canto-(B275+0.5)*dy_pix</f>
        <v>7434563.829343698</v>
      </c>
      <c r="F275" s="10">
        <f>(D275-x_DBT5)^2+(E275-y_DBT5)^2</f>
        <v>705012133.0391492</v>
      </c>
      <c r="G275" s="10">
        <f>(D275-x_CLP)^2+(E275-y_CLP)^2</f>
        <v>16703499.31699299</v>
      </c>
      <c r="H275" s="11">
        <f>(P_DBT5/F275+P_CLP/G275)/(1/F275+1/G275)</f>
        <v>78.625066692934</v>
      </c>
      <c r="I275" s="11">
        <v>85</v>
      </c>
      <c r="J275" s="11">
        <f>4.2*I275/(10-0.058*I275)</f>
        <v>70.41420118343196</v>
      </c>
      <c r="K275" s="11">
        <f>25.4*(1000/J275-10)</f>
        <v>106.72268907563023</v>
      </c>
      <c r="L275" t="inlineStr">
        <is>
          <t>Cambissolos Háplicos</t>
        </is>
      </c>
      <c r="M275" s="11">
        <f>IFERROR(VLOOKUP(L275,Classes_K,2,FALSE),"")</f>
        <v>0.04749999940395355</v>
      </c>
      <c r="N275" t="inlineStr">
        <is>
          <t>Campo</t>
        </is>
      </c>
      <c r="O275" s="11">
        <f>IFERROR(VLOOKUP(N275,Classes_C,2,FALSE),"")</f>
        <v>0.05000000074505806</v>
      </c>
      <c r="P275" s="12">
        <v>0.3317119777202606</v>
      </c>
      <c r="Q275">
        <f>IF(COUNT(M275,O275,P275)=3,1,0)</f>
        <v>1</v>
      </c>
      <c r="R275" s="12">
        <f>IF(H275&lt;=p_lambda*K275,0,(H275-p_lambda*K275)^2/(H275+(1-p_lambda)*K275))</f>
        <v>29.83844903747885</v>
      </c>
      <c r="S275" s="13">
        <f>R275/1000*A_pixel*RI_mmh/R_evento_mm/3600</f>
        <v>0.0011855532205446208</v>
      </c>
      <c r="T275" s="13">
        <f>IF(Q275=1,coef_W*MAX(R275*S275*A_pixel,0)^exp_M*M275*O275*fator_P*P275,"")</f>
        <v>0.06445755100003053</v>
      </c>
      <c r="U275" s="13">
        <f>IF(Q275=1,c_pura*T275,"")</f>
        <v>0.006877991711450313</v>
      </c>
      <c r="V275" s="12">
        <f>IF(Q275=1,MIN(fator_f*R275,H275),"")</f>
        <v>36.549789941455145</v>
      </c>
      <c r="W275" s="13">
        <f>IF(Q275=1,V275/1000*A_pixel*RI_mmh/R_evento_mm/3600,"")</f>
        <v>0.0014522109081773766</v>
      </c>
      <c r="X275" s="13">
        <f>IF(Q275=1,coef_W*MAX(V275*W275*A_pixel,0)^exp_M*M275*O275*fator_P*P275,"")</f>
        <v>0.0809012957825953</v>
      </c>
      <c r="Y275" s="13">
        <f>IF(Q275=1,c_restr*X275,"")</f>
        <v>0.011193642491344885</v>
      </c>
    </row>
    <row r="276">
      <c r="A276">
        <v>275</v>
      </c>
      <c r="B276">
        <v>16</v>
      </c>
      <c r="C276">
        <v>154</v>
      </c>
      <c r="D276" s="9">
        <f>X0_canto+(C276+0.5)*dx_pix</f>
        <v>323280.0440074095</v>
      </c>
      <c r="E276" s="9">
        <f>Y0_canto-(B276+0.5)*dy_pix</f>
        <v>7434563.829343698</v>
      </c>
      <c r="F276" s="10">
        <f>(D276-x_DBT5)^2+(E276-y_DBT5)^2</f>
        <v>703497210.5317029</v>
      </c>
      <c r="G276" s="10">
        <f>(D276-x_CLP)^2+(E276-y_CLP)^2</f>
        <v>16907602.679174155</v>
      </c>
      <c r="H276" s="11">
        <f>(P_DBT5/F276+P_CLP/G276)/(1/F276+1/G276)</f>
        <v>78.61979473115318</v>
      </c>
      <c r="I276" s="11">
        <v>65</v>
      </c>
      <c r="J276" s="11">
        <f>4.2*I276/(10-0.058*I276)</f>
        <v>43.82022471910112</v>
      </c>
      <c r="K276" s="11">
        <f>25.4*(1000/J276-10)</f>
        <v>325.64102564102564</v>
      </c>
      <c r="L276" t="inlineStr">
        <is>
          <t>Cambissolos Háplicos</t>
        </is>
      </c>
      <c r="M276" s="11">
        <f>IFERROR(VLOOKUP(L276,Classes_K,2,FALSE),"")</f>
        <v>0.04749999940395355</v>
      </c>
      <c r="N276" t="inlineStr">
        <is>
          <t>Mata Nativa</t>
        </is>
      </c>
      <c r="O276" s="11">
        <f>IFERROR(VLOOKUP(N276,Classes_C,2,FALSE),"")</f>
        <v>0.014999999664723873</v>
      </c>
      <c r="P276" s="12">
        <v>0.3892841637134552</v>
      </c>
      <c r="Q276">
        <f>IF(COUNT(M276,O276,P276)=3,1,0)</f>
        <v>1</v>
      </c>
      <c r="R276" s="12">
        <f>IF(H276&lt;=p_lambda*K276,0,(H276-p_lambda*K276)^2/(H276+(1-p_lambda)*K276))</f>
        <v>10.015997183143103</v>
      </c>
      <c r="S276" s="13">
        <f>R276/1000*A_pixel*RI_mmh/R_evento_mm/3600</f>
        <v>0.0003979596158810429</v>
      </c>
      <c r="T276" s="13">
        <f>IF(Q276=1,coef_W*MAX(R276*S276*A_pixel,0)^exp_M*M276*O276*fator_P*P276,"")</f>
        <v>0.006682342397223047</v>
      </c>
      <c r="U276" s="13">
        <f>IF(Q276=1,c_pura*T276,"")</f>
        <v>0.0007130443975625347</v>
      </c>
      <c r="V276" s="12">
        <f>IF(Q276=1,MIN(fator_f*R276,H276),"")</f>
        <v>12.26882109851841</v>
      </c>
      <c r="W276" s="13">
        <f>IF(Q276=1,V276/1000*A_pixel*RI_mmh/R_evento_mm/3600,"")</f>
        <v>0.00048746971893091657</v>
      </c>
      <c r="X276" s="13">
        <f>IF(Q276=1,coef_W*MAX(V276*W276*A_pixel,0)^exp_M*M276*O276*fator_P*P276,"")</f>
        <v>0.008387072583599438</v>
      </c>
      <c r="Y276" s="13">
        <f>IF(Q276=1,c_restr*X276,"")</f>
        <v>0.001160449794303167</v>
      </c>
    </row>
    <row r="277">
      <c r="A277">
        <v>276</v>
      </c>
      <c r="B277">
        <v>16</v>
      </c>
      <c r="C277">
        <v>155</v>
      </c>
      <c r="D277" s="9">
        <f>X0_canto+(C277+0.5)*dx_pix</f>
        <v>323310.035582862</v>
      </c>
      <c r="E277" s="9">
        <f>Y0_canto-(B277+0.5)*dy_pix</f>
        <v>7434563.829343698</v>
      </c>
      <c r="F277" s="10">
        <f>(D277-x_DBT5)^2+(E277-y_DBT5)^2</f>
        <v>701984087.01345</v>
      </c>
      <c r="G277" s="10">
        <f>(D277-x_CLP)^2+(E277-y_CLP)^2</f>
        <v>17113505.03055196</v>
      </c>
      <c r="H277" s="11">
        <f>(P_DBT5/F277+P_CLP/G277)/(1/F277+1/G277)</f>
        <v>78.614464949885</v>
      </c>
      <c r="I277" s="11">
        <v>65</v>
      </c>
      <c r="J277" s="11">
        <f>4.2*I277/(10-0.058*I277)</f>
        <v>43.82022471910112</v>
      </c>
      <c r="K277" s="11">
        <f>25.4*(1000/J277-10)</f>
        <v>325.64102564102564</v>
      </c>
      <c r="L277" t="inlineStr">
        <is>
          <t>Cambissolos Háplicos</t>
        </is>
      </c>
      <c r="M277" s="11">
        <f>IFERROR(VLOOKUP(L277,Classes_K,2,FALSE),"")</f>
        <v>0.04749999940395355</v>
      </c>
      <c r="N277" t="inlineStr">
        <is>
          <t>Mata Nativa</t>
        </is>
      </c>
      <c r="O277" s="11">
        <f>IFERROR(VLOOKUP(N277,Classes_C,2,FALSE),"")</f>
        <v>0.014999999664723873</v>
      </c>
      <c r="P277" s="12">
        <v>0.4654233753681183</v>
      </c>
      <c r="Q277">
        <f>IF(COUNT(M277,O277,P277)=3,1,0)</f>
        <v>1</v>
      </c>
      <c r="R277" s="12">
        <f>IF(H277&lt;=p_lambda*K277,0,(H277-p_lambda*K277)^2/(H277+(1-p_lambda)*K277))</f>
        <v>10.014422122760047</v>
      </c>
      <c r="S277" s="13">
        <f>R277/1000*A_pixel*RI_mmh/R_evento_mm/3600</f>
        <v>0.0003978970349504007</v>
      </c>
      <c r="T277" s="13">
        <f>IF(Q277=1,coef_W*MAX(R277*S277*A_pixel,0)^exp_M*M277*O277*fator_P*P277,"")</f>
        <v>0.007987919569480834</v>
      </c>
      <c r="U277" s="13">
        <f>IF(Q277=1,c_pura*T277,"")</f>
        <v>0.000852356996786845</v>
      </c>
      <c r="V277" s="12">
        <f>IF(Q277=1,MIN(fator_f*R277,H277),"")</f>
        <v>12.266891771492281</v>
      </c>
      <c r="W277" s="13">
        <f>IF(Q277=1,V277/1000*A_pixel*RI_mmh/R_evento_mm/3600,"")</f>
        <v>0.0004873930621359727</v>
      </c>
      <c r="X277" s="13">
        <f>IF(Q277=1,coef_W*MAX(V277*W277*A_pixel,0)^exp_M*M277*O277*fator_P*P277,"")</f>
        <v>0.01002571512184576</v>
      </c>
      <c r="Y277" s="13">
        <f>IF(Q277=1,c_restr*X277,"")</f>
        <v>0.0013871751955072521</v>
      </c>
    </row>
    <row r="278">
      <c r="A278">
        <v>277</v>
      </c>
      <c r="B278">
        <v>16</v>
      </c>
      <c r="C278">
        <v>156</v>
      </c>
      <c r="D278" s="9">
        <f>X0_canto+(C278+0.5)*dx_pix</f>
        <v>323340.0271583145</v>
      </c>
      <c r="E278" s="9">
        <f>Y0_canto-(B278+0.5)*dy_pix</f>
        <v>7434563.829343698</v>
      </c>
      <c r="F278" s="10">
        <f>(D278-x_DBT5)^2+(E278-y_DBT5)^2</f>
        <v>700472762.4843934</v>
      </c>
      <c r="G278" s="10">
        <f>(D278-x_CLP)^2+(E278-y_CLP)^2</f>
        <v>17321206.371126007</v>
      </c>
      <c r="H278" s="11">
        <f>(P_DBT5/F278+P_CLP/G278)/(1/F278+1/G278)</f>
        <v>78.60907711338047</v>
      </c>
      <c r="I278" s="11">
        <v>65</v>
      </c>
      <c r="J278" s="11">
        <f>4.2*I278/(10-0.058*I278)</f>
        <v>43.82022471910112</v>
      </c>
      <c r="K278" s="11">
        <f>25.4*(1000/J278-10)</f>
        <v>325.64102564102564</v>
      </c>
      <c r="L278" t="inlineStr">
        <is>
          <t>Cambissolos Háplicos</t>
        </is>
      </c>
      <c r="M278" s="11">
        <f>IFERROR(VLOOKUP(L278,Classes_K,2,FALSE),"")</f>
        <v>0.04749999940395355</v>
      </c>
      <c r="N278" t="inlineStr">
        <is>
          <t>Mata Nativa</t>
        </is>
      </c>
      <c r="O278" s="11">
        <f>IFERROR(VLOOKUP(N278,Classes_C,2,FALSE),"")</f>
        <v>0.014999999664723873</v>
      </c>
      <c r="P278" s="12">
        <v>0.7881247997283936</v>
      </c>
      <c r="Q278">
        <f>IF(COUNT(M278,O278,P278)=3,1,0)</f>
        <v>1</v>
      </c>
      <c r="R278" s="12">
        <f>IF(H278&lt;=p_lambda*K278,0,(H278-p_lambda*K278)^2/(H278+(1-p_lambda)*K278))</f>
        <v>10.012830010710253</v>
      </c>
      <c r="S278" s="13">
        <f>R278/1000*A_pixel*RI_mmh/R_evento_mm/3600</f>
        <v>0.00039783377651609903</v>
      </c>
      <c r="T278" s="13">
        <f>IF(Q278=1,coef_W*MAX(R278*S278*A_pixel,0)^exp_M*M278*O278*fator_P*P278,"")</f>
        <v>0.013523937308712092</v>
      </c>
      <c r="U278" s="13">
        <f>IF(Q278=1,c_pura*T278,"")</f>
        <v>0.0014430819550598712</v>
      </c>
      <c r="V278" s="12">
        <f>IF(Q278=1,MIN(fator_f*R278,H278),"")</f>
        <v>12.26494155749456</v>
      </c>
      <c r="W278" s="13">
        <f>IF(Q278=1,V278/1000*A_pixel*RI_mmh/R_evento_mm/3600,"")</f>
        <v>0.000487315575451499</v>
      </c>
      <c r="X278" s="13">
        <f>IF(Q278=1,coef_W*MAX(V278*W278*A_pixel,0)^exp_M*M278*O278*fator_P*P278,"")</f>
        <v>0.016974024538364402</v>
      </c>
      <c r="Y278" s="13">
        <f>IF(Q278=1,c_restr*X278,"")</f>
        <v>0.0023485552423332437</v>
      </c>
    </row>
    <row r="279">
      <c r="A279">
        <v>278</v>
      </c>
      <c r="B279">
        <v>16</v>
      </c>
      <c r="C279">
        <v>157</v>
      </c>
      <c r="D279" s="9">
        <f>X0_canto+(C279+0.5)*dx_pix</f>
        <v>323370.018733767</v>
      </c>
      <c r="E279" s="9">
        <f>Y0_canto-(B279+0.5)*dy_pix</f>
        <v>7434563.829343698</v>
      </c>
      <c r="F279" s="10">
        <f>(D279-x_DBT5)^2+(E279-y_DBT5)^2</f>
        <v>698963236.944533</v>
      </c>
      <c r="G279" s="10">
        <f>(D279-x_CLP)^2+(E279-y_CLP)^2</f>
        <v>17530706.7008963</v>
      </c>
      <c r="H279" s="11">
        <f>(P_DBT5/F279+P_CLP/G279)/(1/F279+1/G279)</f>
        <v>78.60363098592154</v>
      </c>
      <c r="I279" s="11">
        <v>65</v>
      </c>
      <c r="J279" s="11">
        <f>4.2*I279/(10-0.058*I279)</f>
        <v>43.82022471910112</v>
      </c>
      <c r="K279" s="11">
        <f>25.4*(1000/J279-10)</f>
        <v>325.64102564102564</v>
      </c>
      <c r="L279" t="inlineStr">
        <is>
          <t>Cambissolos Háplicos</t>
        </is>
      </c>
      <c r="M279" s="11">
        <f>IFERROR(VLOOKUP(L279,Classes_K,2,FALSE),"")</f>
        <v>0.04749999940395355</v>
      </c>
      <c r="N279" t="inlineStr">
        <is>
          <t>Mata Nativa</t>
        </is>
      </c>
      <c r="O279" s="11">
        <f>IFERROR(VLOOKUP(N279,Classes_C,2,FALSE),"")</f>
        <v>0.014999999664723873</v>
      </c>
      <c r="P279" s="12">
        <v>1.212221026420593</v>
      </c>
      <c r="Q279">
        <f>IF(COUNT(M279,O279,P279)=3,1,0)</f>
        <v>1</v>
      </c>
      <c r="R279" s="12">
        <f>IF(H279&lt;=p_lambda*K279,0,(H279-p_lambda*K279)^2/(H279+(1-p_lambda)*K279))</f>
        <v>10.011220780758043</v>
      </c>
      <c r="S279" s="13">
        <f>R279/1000*A_pixel*RI_mmh/R_evento_mm/3600</f>
        <v>0.0003977698379464353</v>
      </c>
      <c r="T279" s="13">
        <f>IF(Q279=1,coef_W*MAX(R279*S279*A_pixel,0)^exp_M*M279*O279*fator_P*P279,"")</f>
        <v>0.02079753134710409</v>
      </c>
      <c r="U279" s="13">
        <f>IF(Q279=1,c_pura*T279,"")</f>
        <v>0.0022192163059986908</v>
      </c>
      <c r="V279" s="12">
        <f>IF(Q279=1,MIN(fator_f*R279,H279),"")</f>
        <v>12.262970375391665</v>
      </c>
      <c r="W279" s="13">
        <f>IF(Q279=1,V279/1000*A_pixel*RI_mmh/R_evento_mm/3600,"")</f>
        <v>0.00048723725565386376</v>
      </c>
      <c r="X279" s="13">
        <f>IF(Q279=1,coef_W*MAX(V279*W279*A_pixel,0)^exp_M*M279*O279*fator_P*P279,"")</f>
        <v>0.026103182776197453</v>
      </c>
      <c r="Y279" s="13">
        <f>IF(Q279=1,c_restr*X279,"")</f>
        <v>0.0036116812846630074</v>
      </c>
    </row>
    <row r="280">
      <c r="A280">
        <v>279</v>
      </c>
      <c r="B280">
        <v>16</v>
      </c>
      <c r="C280">
        <v>158</v>
      </c>
      <c r="D280" s="9">
        <f>X0_canto+(C280+0.5)*dx_pix</f>
        <v>323400.0103092195</v>
      </c>
      <c r="E280" s="9">
        <f>Y0_canto-(B280+0.5)*dy_pix</f>
        <v>7434563.829343698</v>
      </c>
      <c r="F280" s="10">
        <f>(D280-x_DBT5)^2+(E280-y_DBT5)^2</f>
        <v>697455510.3938688</v>
      </c>
      <c r="G280" s="10">
        <f>(D280-x_CLP)^2+(E280-y_CLP)^2</f>
        <v>17742006.019862846</v>
      </c>
      <c r="H280" s="11">
        <f>(P_DBT5/F280+P_CLP/G280)/(1/F280+1/G280)</f>
        <v>78.59812633183353</v>
      </c>
      <c r="I280" s="11">
        <v>65</v>
      </c>
      <c r="J280" s="11">
        <f>4.2*I280/(10-0.058*I280)</f>
        <v>43.82022471910112</v>
      </c>
      <c r="K280" s="11">
        <f>25.4*(1000/J280-10)</f>
        <v>325.64102564102564</v>
      </c>
      <c r="L280" t="inlineStr">
        <is>
          <t>Cambissolos Háplicos</t>
        </is>
      </c>
      <c r="M280" s="11">
        <f>IFERROR(VLOOKUP(L280,Classes_K,2,FALSE),"")</f>
        <v>0.04749999940395355</v>
      </c>
      <c r="N280" t="inlineStr">
        <is>
          <t>Mata Nativa</t>
        </is>
      </c>
      <c r="O280" s="11">
        <f>IFERROR(VLOOKUP(N280,Classes_C,2,FALSE),"")</f>
        <v>0.014999999664723873</v>
      </c>
      <c r="P280" s="12">
        <v>0.7624049186706543</v>
      </c>
      <c r="Q280">
        <f>IF(COUNT(M280,O280,P280)=3,1,0)</f>
        <v>1</v>
      </c>
      <c r="R280" s="12">
        <f>IF(H280&lt;=p_lambda*K280,0,(H280-p_lambda*K280)^2/(H280+(1-p_lambda)*K280))</f>
        <v>10.009594366736389</v>
      </c>
      <c r="S280" s="13">
        <f>R280/1000*A_pixel*RI_mmh/R_evento_mm/3600</f>
        <v>0.0003977052166124347</v>
      </c>
      <c r="T280" s="13">
        <f>IF(Q280=1,coef_W*MAX(R280*S280*A_pixel,0)^exp_M*M280*O280*fator_P*P280,"")</f>
        <v>0.0130778585641372</v>
      </c>
      <c r="U280" s="13">
        <f>IF(Q280=1,c_pura*T280,"")</f>
        <v>0.0013954827853700576</v>
      </c>
      <c r="V280" s="12">
        <f>IF(Q280=1,MIN(fator_f*R280,H280),"")</f>
        <v>12.260978144134114</v>
      </c>
      <c r="W280" s="13">
        <f>IF(Q280=1,V280/1000*A_pixel*RI_mmh/R_evento_mm/3600,"")</f>
        <v>0.00048715809952277626</v>
      </c>
      <c r="X280" s="13">
        <f>IF(Q280=1,coef_W*MAX(V280*W280*A_pixel,0)^exp_M*M280*O280*fator_P*P280,"")</f>
        <v>0.016414146790958747</v>
      </c>
      <c r="Y280" s="13">
        <f>IF(Q280=1,c_restr*X280,"")</f>
        <v>0.00227108959382052</v>
      </c>
    </row>
    <row r="281">
      <c r="A281">
        <v>280</v>
      </c>
      <c r="B281">
        <v>16</v>
      </c>
      <c r="C281">
        <v>159</v>
      </c>
      <c r="D281" s="9">
        <f>X0_canto+(C281+0.5)*dx_pix</f>
        <v>323430.001884672</v>
      </c>
      <c r="E281" s="9">
        <f>Y0_canto-(B281+0.5)*dy_pix</f>
        <v>7434563.829343698</v>
      </c>
      <c r="F281" s="10">
        <f>(D281-x_DBT5)^2+(E281-y_DBT5)^2</f>
        <v>695949582.8324009</v>
      </c>
      <c r="G281" s="10">
        <f>(D281-x_CLP)^2+(E281-y_CLP)^2</f>
        <v>17955104.32802563</v>
      </c>
      <c r="H281" s="11">
        <f>(P_DBT5/F281+P_CLP/G281)/(1/F281+1/G281)</f>
        <v>78.59256291549717</v>
      </c>
      <c r="I281" s="11">
        <v>65</v>
      </c>
      <c r="J281" s="11">
        <f>4.2*I281/(10-0.058*I281)</f>
        <v>43.82022471910112</v>
      </c>
      <c r="K281" s="11">
        <f>25.4*(1000/J281-10)</f>
        <v>325.64102564102564</v>
      </c>
      <c r="L281" t="inlineStr">
        <is>
          <t>Área Urbana</t>
        </is>
      </c>
      <c r="M281" s="11">
        <f>IFERROR(VLOOKUP(L281,Classes_K,2,FALSE),"")</f>
        <v>0.0</v>
      </c>
      <c r="N281" t="inlineStr">
        <is>
          <t>Mata Nativa</t>
        </is>
      </c>
      <c r="O281" s="11">
        <f>IFERROR(VLOOKUP(N281,Classes_C,2,FALSE),"")</f>
        <v>0.014999999664723873</v>
      </c>
      <c r="P281" s="12">
        <v>0.4175490140914917</v>
      </c>
      <c r="Q281">
        <f>IF(COUNT(M281,O281,P281)=3,1,0)</f>
        <v>1</v>
      </c>
      <c r="R281" s="12">
        <f>IF(H281&lt;=p_lambda*K281,0,(H281-p_lambda*K281)^2/(H281+(1-p_lambda)*K281))</f>
        <v>10.007950702551017</v>
      </c>
      <c r="S281" s="13">
        <f>R281/1000*A_pixel*RI_mmh/R_evento_mm/3600</f>
        <v>0.000397639909888013</v>
      </c>
      <c r="T281" s="13">
        <f>IF(Q281=1,coef_W*MAX(R281*S281*A_pixel,0)^exp_M*M281*O281*fator_P*P281,"")</f>
        <v>0.0</v>
      </c>
      <c r="U281" s="13">
        <f>IF(Q281=1,c_pura*T281,"")</f>
        <v>0.0</v>
      </c>
      <c r="V281" s="12">
        <f>IF(Q281=1,MIN(fator_f*R281,H281),"")</f>
        <v>12.258964782761538</v>
      </c>
      <c r="W281" s="13">
        <f>IF(Q281=1,V281/1000*A_pixel*RI_mmh/R_evento_mm/3600,"")</f>
        <v>0.0004870781038414866</v>
      </c>
      <c r="X281" s="13">
        <f>IF(Q281=1,coef_W*MAX(V281*W281*A_pixel,0)^exp_M*M281*O281*fator_P*P281,"")</f>
        <v>0.0</v>
      </c>
      <c r="Y281" s="13">
        <f>IF(Q281=1,c_restr*X281,"")</f>
        <v>0.0</v>
      </c>
    </row>
    <row r="282">
      <c r="A282">
        <v>281</v>
      </c>
      <c r="B282">
        <v>16</v>
      </c>
      <c r="C282">
        <v>160</v>
      </c>
      <c r="D282" s="9">
        <f>X0_canto+(C282+0.5)*dx_pix</f>
        <v>323459.9934601244</v>
      </c>
      <c r="E282" s="9">
        <f>Y0_canto-(B282+0.5)*dy_pix</f>
        <v>7434563.829343698</v>
      </c>
      <c r="F282" s="10">
        <f>(D282-x_DBT5)^2+(E282-y_DBT5)^2</f>
        <v>694445454.2601322</v>
      </c>
      <c r="G282" s="10">
        <f>(D282-x_CLP)^2+(E282-y_CLP)^2</f>
        <v>18170001.625384245</v>
      </c>
      <c r="H282" s="11">
        <f>(P_DBT5/F282+P_CLP/G282)/(1/F282+1/G282)</f>
        <v>78.58694050136124</v>
      </c>
      <c r="I282" s="11">
        <v>65</v>
      </c>
      <c r="J282" s="11">
        <f>4.2*I282/(10-0.058*I282)</f>
        <v>43.82022471910112</v>
      </c>
      <c r="K282" s="11">
        <f>25.4*(1000/J282-10)</f>
        <v>325.64102564102564</v>
      </c>
      <c r="L282" t="inlineStr">
        <is>
          <t>Área Urbana</t>
        </is>
      </c>
      <c r="M282" s="11">
        <f>IFERROR(VLOOKUP(L282,Classes_K,2,FALSE),"")</f>
        <v>0.0</v>
      </c>
      <c r="N282" t="inlineStr">
        <is>
          <t>Área Urbanizada</t>
        </is>
      </c>
      <c r="O282" s="11">
        <f>IFERROR(VLOOKUP(N282,Classes_C,2,FALSE),"")</f>
        <v>0.0</v>
      </c>
      <c r="P282" s="12">
        <v>0.3463342189788818</v>
      </c>
      <c r="Q282">
        <f>IF(COUNT(M282,O282,P282)=3,1,0)</f>
        <v>1</v>
      </c>
      <c r="R282" s="12">
        <f>IF(H282&lt;=p_lambda*K282,0,(H282-p_lambda*K282)^2/(H282+(1-p_lambda)*K282))</f>
        <v>10.00628972218462</v>
      </c>
      <c r="S282" s="13">
        <f>R282/1000*A_pixel*RI_mmh/R_evento_mm/3600</f>
        <v>0.0003975739151501441</v>
      </c>
      <c r="T282" s="13">
        <f>IF(Q282=1,coef_W*MAX(R282*S282*A_pixel,0)^exp_M*M282*O282*fator_P*P282,"")</f>
        <v>0.0</v>
      </c>
      <c r="U282" s="13">
        <f>IF(Q282=1,c_pura*T282,"")</f>
        <v>0.0</v>
      </c>
      <c r="V282" s="12">
        <f>IF(Q282=1,MIN(fator_f*R282,H282),"")</f>
        <v>12.256930210407846</v>
      </c>
      <c r="W282" s="13">
        <f>IF(Q282=1,V282/1000*A_pixel*RI_mmh/R_evento_mm/3600,"")</f>
        <v>0.00048699726539699114</v>
      </c>
      <c r="X282" s="13">
        <f>IF(Q282=1,coef_W*MAX(V282*W282*A_pixel,0)^exp_M*M282*O282*fator_P*P282,"")</f>
        <v>0.0</v>
      </c>
      <c r="Y282" s="13">
        <f>IF(Q282=1,c_restr*X282,"")</f>
        <v>0.0</v>
      </c>
    </row>
    <row r="283">
      <c r="A283">
        <v>282</v>
      </c>
      <c r="B283">
        <v>16</v>
      </c>
      <c r="C283">
        <v>161</v>
      </c>
      <c r="D283" s="9">
        <f>X0_canto+(C283+0.5)*dx_pix</f>
        <v>323489.9850355769</v>
      </c>
      <c r="E283" s="9">
        <f>Y0_canto-(B283+0.5)*dy_pix</f>
        <v>7434563.829343698</v>
      </c>
      <c r="F283" s="10">
        <f>(D283-x_DBT5)^2+(E283-y_DBT5)^2</f>
        <v>692943124.6770567</v>
      </c>
      <c r="G283" s="10">
        <f>(D283-x_CLP)^2+(E283-y_CLP)^2</f>
        <v>18386697.91193952</v>
      </c>
      <c r="H283" s="11">
        <f>(P_DBT5/F283+P_CLP/G283)/(1/F283+1/G283)</f>
        <v>78.58125885395475</v>
      </c>
      <c r="I283" s="11">
        <v>65</v>
      </c>
      <c r="J283" s="11">
        <f>4.2*I283/(10-0.058*I283)</f>
        <v>43.82022471910112</v>
      </c>
      <c r="K283" s="11">
        <f>25.4*(1000/J283-10)</f>
        <v>325.64102564102564</v>
      </c>
      <c r="L283" t="inlineStr">
        <is>
          <t/>
        </is>
      </c>
      <c r="M283" s="11">
        <f>IFERROR(VLOOKUP(L283,Classes_K,2,FALSE),"")</f>
        <v/>
      </c>
      <c r="N283" t="inlineStr">
        <is>
          <t/>
        </is>
      </c>
      <c r="O283" s="11">
        <f>IFERROR(VLOOKUP(N283,Classes_C,2,FALSE),"")</f>
        <v/>
      </c>
      <c r="Q283">
        <f>IF(COUNT(M283,O283,P283)=3,1,0)</f>
        <v>0</v>
      </c>
      <c r="R283" s="12">
        <f>IF(H283&lt;=p_lambda*K283,0,(H283-p_lambda*K283)^2/(H283+(1-p_lambda)*K283))</f>
        <v>10.00461135970097</v>
      </c>
      <c r="S283" s="13">
        <f>R283/1000*A_pixel*RI_mmh/R_evento_mm/3600</f>
        <v>0.0003975072297790233</v>
      </c>
      <c r="T283" s="13">
        <f>IF(Q283=1,coef_W*MAX(R283*S283*A_pixel,0)^exp_M*M283*O283*fator_P*P283,"")</f>
        <v/>
      </c>
      <c r="U283" s="13">
        <f>IF(Q283=1,c_pura*T283,"")</f>
        <v/>
      </c>
      <c r="V283" s="12">
        <f>IF(Q283=1,MIN(fator_f*R283,H283),"")</f>
        <v/>
      </c>
      <c r="W283" s="13">
        <f>IF(Q283=1,V283/1000*A_pixel*RI_mmh/R_evento_mm/3600,"")</f>
        <v/>
      </c>
      <c r="X283" s="13">
        <f>IF(Q283=1,coef_W*MAX(V283*W283*A_pixel,0)^exp_M*M283*O283*fator_P*P283,"")</f>
        <v/>
      </c>
      <c r="Y283" s="13">
        <f>IF(Q283=1,c_restr*X283,"")</f>
        <v/>
      </c>
    </row>
    <row r="284">
      <c r="A284">
        <v>283</v>
      </c>
      <c r="B284">
        <v>16</v>
      </c>
      <c r="C284">
        <v>343</v>
      </c>
      <c r="D284" s="9">
        <f>X0_canto+(C284+0.5)*dx_pix</f>
        <v>328948.4517679299</v>
      </c>
      <c r="E284" s="9">
        <f>Y0_canto-(B284+0.5)*dy_pix</f>
        <v>7434563.829343698</v>
      </c>
      <c r="F284" s="10">
        <f>(D284-x_DBT5)^2+(E284-y_DBT5)^2</f>
        <v>449477707.64248496</v>
      </c>
      <c r="G284" s="10">
        <f>(D284-x_CLP)^2+(E284-y_CLP)^2</f>
        <v>87783989.15004863</v>
      </c>
      <c r="H284" s="11">
        <f>(P_DBT5/F284+P_CLP/G284)/(1/F284+1/G284)</f>
        <v>76.35306002565717</v>
      </c>
      <c r="I284" s="11">
        <v>77</v>
      </c>
      <c r="J284" s="11">
        <f>4.2*I284/(10-0.058*I284)</f>
        <v>58.438742320202394</v>
      </c>
      <c r="K284" s="11">
        <f>25.4*(1000/J284-10)</f>
        <v>180.64316635745197</v>
      </c>
      <c r="L284" t="inlineStr">
        <is>
          <t>Cambissolos Háplicos</t>
        </is>
      </c>
      <c r="M284" s="11">
        <f>IFERROR(VLOOKUP(L284,Classes_K,2,FALSE),"")</f>
        <v>0.04749999940395355</v>
      </c>
      <c r="N284" t="inlineStr">
        <is>
          <t>Área Urbanizada</t>
        </is>
      </c>
      <c r="O284" s="11">
        <f>IFERROR(VLOOKUP(N284,Classes_C,2,FALSE),"")</f>
        <v>0.0</v>
      </c>
      <c r="Q284">
        <f>IF(COUNT(M284,O284,P284)=3,1,0)</f>
        <v>0</v>
      </c>
      <c r="R284" s="12">
        <f>IF(H284&lt;=p_lambda*K284,0,(H284-p_lambda*K284)^2/(H284+(1-p_lambda)*K284))</f>
        <v>18.277260258356655</v>
      </c>
      <c r="S284" s="13">
        <f>R284/1000*A_pixel*RI_mmh/R_evento_mm/3600</f>
        <v>0.0007261994326451024</v>
      </c>
      <c r="T284" s="13">
        <f>IF(Q284=1,coef_W*MAX(R284*S284*A_pixel,0)^exp_M*M284*O284*fator_P*P284,"")</f>
        <v/>
      </c>
      <c r="U284" s="13">
        <f>IF(Q284=1,c_pura*T284,"")</f>
        <v/>
      </c>
      <c r="V284" s="12">
        <f>IF(Q284=1,MIN(fator_f*R284,H284),"")</f>
        <v/>
      </c>
      <c r="W284" s="13">
        <f>IF(Q284=1,V284/1000*A_pixel*RI_mmh/R_evento_mm/3600,"")</f>
        <v/>
      </c>
      <c r="X284" s="13">
        <f>IF(Q284=1,coef_W*MAX(V284*W284*A_pixel,0)^exp_M*M284*O284*fator_P*P284,"")</f>
        <v/>
      </c>
      <c r="Y284" s="13">
        <f>IF(Q284=1,c_restr*X284,"")</f>
        <v/>
      </c>
    </row>
    <row r="285">
      <c r="A285">
        <v>284</v>
      </c>
      <c r="B285">
        <v>16</v>
      </c>
      <c r="C285">
        <v>344</v>
      </c>
      <c r="D285" s="9">
        <f>X0_canto+(C285+0.5)*dx_pix</f>
        <v>328978.4433433823</v>
      </c>
      <c r="E285" s="9">
        <f>Y0_canto-(B285+0.5)*dy_pix</f>
        <v>7434563.829343698</v>
      </c>
      <c r="F285" s="10">
        <f>(D285-x_DBT5)^2+(E285-y_DBT5)^2</f>
        <v>448304593.0823247</v>
      </c>
      <c r="G285" s="10">
        <f>(D285-x_CLP)^2+(E285-y_CLP)^2</f>
        <v>88329900.45951572</v>
      </c>
      <c r="H285" s="11">
        <f>(P_DBT5/F285+P_CLP/G285)/(1/F285+1/G285)</f>
        <v>76.33348630573316</v>
      </c>
      <c r="I285" s="11">
        <v>85</v>
      </c>
      <c r="J285" s="11">
        <f>4.2*I285/(10-0.058*I285)</f>
        <v>70.41420118343196</v>
      </c>
      <c r="K285" s="11">
        <f>25.4*(1000/J285-10)</f>
        <v>106.72268907563023</v>
      </c>
      <c r="L285" t="inlineStr">
        <is>
          <t>Cambissolos Háplicos</t>
        </is>
      </c>
      <c r="M285" s="11">
        <f>IFERROR(VLOOKUP(L285,Classes_K,2,FALSE),"")</f>
        <v>0.04749999940395355</v>
      </c>
      <c r="N285" t="inlineStr">
        <is>
          <t>Área Urbanizada</t>
        </is>
      </c>
      <c r="O285" s="11">
        <f>IFERROR(VLOOKUP(N285,Classes_C,2,FALSE),"")</f>
        <v>0.0</v>
      </c>
      <c r="P285" s="12">
        <v>0.4748722314834595</v>
      </c>
      <c r="Q285">
        <f>IF(COUNT(M285,O285,P285)=3,1,0)</f>
        <v>1</v>
      </c>
      <c r="R285" s="12">
        <f>IF(H285&lt;=p_lambda*K285,0,(H285-p_lambda*K285)^2/(H285+(1-p_lambda)*K285))</f>
        <v>28.362721185979233</v>
      </c>
      <c r="S285" s="13">
        <f>R285/1000*A_pixel*RI_mmh/R_evento_mm/3600</f>
        <v>0.001126919009872504</v>
      </c>
      <c r="T285" s="13">
        <f>IF(Q285=1,coef_W*MAX(R285*S285*A_pixel,0)^exp_M*M285*O285*fator_P*P285,"")</f>
        <v>0.0</v>
      </c>
      <c r="U285" s="13">
        <f>IF(Q285=1,c_pura*T285,"")</f>
        <v>0.0</v>
      </c>
      <c r="V285" s="12">
        <f>IF(Q285=1,MIN(fator_f*R285,H285),"")</f>
        <v>34.74213757603504</v>
      </c>
      <c r="W285" s="13">
        <f>IF(Q285=1,V285/1000*A_pixel*RI_mmh/R_evento_mm/3600,"")</f>
        <v>0.001380388539636804</v>
      </c>
      <c r="X285" s="13">
        <f>IF(Q285=1,coef_W*MAX(V285*W285*A_pixel,0)^exp_M*M285*O285*fator_P*P285,"")</f>
        <v>0.0</v>
      </c>
      <c r="Y285" s="13">
        <f>IF(Q285=1,c_restr*X285,"")</f>
        <v>0.0</v>
      </c>
    </row>
    <row r="286">
      <c r="A286">
        <v>285</v>
      </c>
      <c r="B286">
        <v>16</v>
      </c>
      <c r="C286">
        <v>345</v>
      </c>
      <c r="D286" s="9">
        <f>X0_canto+(C286+0.5)*dx_pix</f>
        <v>329008.4349188348</v>
      </c>
      <c r="E286" s="9">
        <f>Y0_canto-(B286+0.5)*dy_pix</f>
        <v>7434563.829343698</v>
      </c>
      <c r="F286" s="10">
        <f>(D286-x_DBT5)^2+(E286-y_DBT5)^2</f>
        <v>447133277.5113584</v>
      </c>
      <c r="G286" s="10">
        <f>(D286-x_CLP)^2+(E286-y_CLP)^2</f>
        <v>88877610.75818013</v>
      </c>
      <c r="H286" s="11">
        <f>(P_DBT5/F286+P_CLP/G286)/(1/F286+1/G286)</f>
        <v>76.31383043722964</v>
      </c>
      <c r="I286" s="11">
        <v>85</v>
      </c>
      <c r="J286" s="11">
        <f>4.2*I286/(10-0.058*I286)</f>
        <v>70.41420118343196</v>
      </c>
      <c r="K286" s="11">
        <f>25.4*(1000/J286-10)</f>
        <v>106.72268907563023</v>
      </c>
      <c r="L286" t="inlineStr">
        <is>
          <t>Cambissolos Háplicos</t>
        </is>
      </c>
      <c r="M286" s="11">
        <f>IFERROR(VLOOKUP(L286,Classes_K,2,FALSE),"")</f>
        <v>0.04749999940395355</v>
      </c>
      <c r="N286" t="inlineStr">
        <is>
          <t>Mata Nativa</t>
        </is>
      </c>
      <c r="O286" s="11">
        <f>IFERROR(VLOOKUP(N286,Classes_C,2,FALSE),"")</f>
        <v>0.014999999664723873</v>
      </c>
      <c r="P286" s="12">
        <v>0.5060486793518066</v>
      </c>
      <c r="Q286">
        <f>IF(COUNT(M286,O286,P286)=3,1,0)</f>
        <v>1</v>
      </c>
      <c r="R286" s="12">
        <f>IF(H286&lt;=p_lambda*K286,0,(H286-p_lambda*K286)^2/(H286+(1-p_lambda)*K286))</f>
        <v>28.35015425230456</v>
      </c>
      <c r="S286" s="13">
        <f>R286/1000*A_pixel*RI_mmh/R_evento_mm/3600</f>
        <v>0.001126419695425172</v>
      </c>
      <c r="T286" s="13">
        <f>IF(Q286=1,coef_W*MAX(R286*S286*A_pixel,0)^exp_M*M286*O286*fator_P*P286,"")</f>
        <v>0.0278572899276573</v>
      </c>
      <c r="U286" s="13">
        <f>IF(Q286=1,c_pura*T286,"")</f>
        <v>0.0029725331827423047</v>
      </c>
      <c r="V286" s="12">
        <f>IF(Q286=1,MIN(fator_f*R286,H286),"")</f>
        <v>34.726744055231045</v>
      </c>
      <c r="W286" s="13">
        <f>IF(Q286=1,V286/1000*A_pixel*RI_mmh/R_evento_mm/3600,"")</f>
        <v>0.0013797769180963623</v>
      </c>
      <c r="X286" s="13">
        <f>IF(Q286=1,coef_W*MAX(V286*W286*A_pixel,0)^exp_M*M286*O286*fator_P*P286,"")</f>
        <v>0.03496395406238517</v>
      </c>
      <c r="Y286" s="13">
        <f>IF(Q286=1,c_restr*X286,"")</f>
        <v>0.004837672846549678</v>
      </c>
    </row>
    <row r="287">
      <c r="A287">
        <v>286</v>
      </c>
      <c r="B287">
        <v>16</v>
      </c>
      <c r="C287">
        <v>346</v>
      </c>
      <c r="D287" s="9">
        <f>X0_canto+(C287+0.5)*dx_pix</f>
        <v>329038.4264942873</v>
      </c>
      <c r="E287" s="9">
        <f>Y0_canto-(B287+0.5)*dy_pix</f>
        <v>7434563.829343698</v>
      </c>
      <c r="F287" s="10">
        <f>(D287-x_DBT5)^2+(E287-y_DBT5)^2</f>
        <v>445963760.9295884</v>
      </c>
      <c r="G287" s="10">
        <f>(D287-x_CLP)^2+(E287-y_CLP)^2</f>
        <v>89427120.04604077</v>
      </c>
      <c r="H287" s="11">
        <f>(P_DBT5/F287+P_CLP/G287)/(1/F287+1/G287)</f>
        <v>76.29409252937401</v>
      </c>
      <c r="I287" s="11">
        <v>77</v>
      </c>
      <c r="J287" s="11">
        <f>4.2*I287/(10-0.058*I287)</f>
        <v>58.438742320202394</v>
      </c>
      <c r="K287" s="11">
        <f>25.4*(1000/J287-10)</f>
        <v>180.64316635745197</v>
      </c>
      <c r="L287" t="inlineStr">
        <is>
          <t>Cambissolos Háplicos</t>
        </is>
      </c>
      <c r="M287" s="11">
        <f>IFERROR(VLOOKUP(L287,Classes_K,2,FALSE),"")</f>
        <v>0.04749999940395355</v>
      </c>
      <c r="N287" t="inlineStr">
        <is>
          <t>Mata Nativa</t>
        </is>
      </c>
      <c r="O287" s="11">
        <f>IFERROR(VLOOKUP(N287,Classes_C,2,FALSE),"")</f>
        <v>0.014999999664723873</v>
      </c>
      <c r="P287" s="12">
        <v>0.3438068330287933</v>
      </c>
      <c r="Q287">
        <f>IF(COUNT(M287,O287,P287)=3,1,0)</f>
        <v>1</v>
      </c>
      <c r="R287" s="12">
        <f>IF(H287&lt;=p_lambda*K287,0,(H287-p_lambda*K287)^2/(H287+(1-p_lambda)*K287))</f>
        <v>18.24959544393873</v>
      </c>
      <c r="S287" s="13">
        <f>R287/1000*A_pixel*RI_mmh/R_evento_mm/3600</f>
        <v>0.0007251002431467561</v>
      </c>
      <c r="T287" s="13">
        <f>IF(Q287=1,coef_W*MAX(R287*S287*A_pixel,0)^exp_M*M287*O287*fator_P*P287,"")</f>
        <v>0.011555869409904947</v>
      </c>
      <c r="U287" s="13">
        <f>IF(Q287=1,c_pura*T287,"")</f>
        <v>0.0012330777819947083</v>
      </c>
      <c r="V287" s="12">
        <f>IF(Q287=1,MIN(fator_f*R287,H287),"")</f>
        <v>22.354341512679916</v>
      </c>
      <c r="W287" s="13">
        <f>IF(Q287=1,V287/1000*A_pixel*RI_mmh/R_evento_mm/3600,"")</f>
        <v>0.0008881916597013333</v>
      </c>
      <c r="X287" s="13">
        <f>IF(Q287=1,coef_W*MAX(V287*W287*A_pixel,0)^exp_M*M287*O287*fator_P*P287,"")</f>
        <v>0.014503883480700695</v>
      </c>
      <c r="Y287" s="13">
        <f>IF(Q287=1,c_restr*X287,"")</f>
        <v>0.002006782275223012</v>
      </c>
    </row>
    <row r="288">
      <c r="A288">
        <v>287</v>
      </c>
      <c r="B288">
        <v>16</v>
      </c>
      <c r="C288">
        <v>347</v>
      </c>
      <c r="D288" s="9">
        <f>X0_canto+(C288+0.5)*dx_pix</f>
        <v>329068.4180697398</v>
      </c>
      <c r="E288" s="9">
        <f>Y0_canto-(B288+0.5)*dy_pix</f>
        <v>7434563.829343698</v>
      </c>
      <c r="F288" s="10">
        <f>(D288-x_DBT5)^2+(E288-y_DBT5)^2</f>
        <v>444796043.33701456</v>
      </c>
      <c r="G288" s="10">
        <f>(D288-x_CLP)^2+(E288-y_CLP)^2</f>
        <v>89978428.32309768</v>
      </c>
      <c r="H288" s="11">
        <f>(P_DBT5/F288+P_CLP/G288)/(1/F288+1/G288)</f>
        <v>76.27427269521337</v>
      </c>
      <c r="I288" s="11">
        <v>65</v>
      </c>
      <c r="J288" s="11">
        <f>4.2*I288/(10-0.058*I288)</f>
        <v>43.82022471910112</v>
      </c>
      <c r="K288" s="11">
        <f>25.4*(1000/J288-10)</f>
        <v>325.64102564102564</v>
      </c>
      <c r="L288" t="inlineStr">
        <is>
          <t>Cambissolos Háplicos</t>
        </is>
      </c>
      <c r="M288" s="11">
        <f>IFERROR(VLOOKUP(L288,Classes_K,2,FALSE),"")</f>
        <v>0.04749999940395355</v>
      </c>
      <c r="N288" t="inlineStr">
        <is>
          <t>Mata Nativa</t>
        </is>
      </c>
      <c r="O288" s="11">
        <f>IFERROR(VLOOKUP(N288,Classes_C,2,FALSE),"")</f>
        <v>0.014999999664723873</v>
      </c>
      <c r="P288" s="12">
        <v>0.282298356294632</v>
      </c>
      <c r="Q288">
        <f>IF(COUNT(M288,O288,P288)=3,1,0)</f>
        <v>1</v>
      </c>
      <c r="R288" s="12">
        <f>IF(H288&lt;=p_lambda*K288,0,(H288-p_lambda*K288)^2/(H288+(1-p_lambda)*K288))</f>
        <v>9.332874324448836</v>
      </c>
      <c r="S288" s="13">
        <f>R288/1000*A_pixel*RI_mmh/R_evento_mm/3600</f>
        <v>0.00037081750456904465</v>
      </c>
      <c r="T288" s="13">
        <f>IF(Q288=1,coef_W*MAX(R288*S288*A_pixel,0)^exp_M*M288*O288*fator_P*P288,"")</f>
        <v>0.004477237248974829</v>
      </c>
      <c r="U288" s="13">
        <f>IF(Q288=1,c_pura*T288,"")</f>
        <v>0.00047774698558793963</v>
      </c>
      <c r="V288" s="12">
        <f>IF(Q288=1,MIN(fator_f*R288,H288),"")</f>
        <v>11.432048484830597</v>
      </c>
      <c r="W288" s="13">
        <f>IF(Q288=1,V288/1000*A_pixel*RI_mmh/R_evento_mm/3600,"")</f>
        <v>0.00045422273394938933</v>
      </c>
      <c r="X288" s="13">
        <f>IF(Q288=1,coef_W*MAX(V288*W288*A_pixel,0)^exp_M*M288*O288*fator_P*P288,"")</f>
        <v>0.005619423781210591</v>
      </c>
      <c r="Y288" s="13">
        <f>IF(Q288=1,c_restr*X288,"")</f>
        <v>0.000777513143711169</v>
      </c>
    </row>
    <row r="289">
      <c r="A289">
        <v>288</v>
      </c>
      <c r="B289">
        <v>16</v>
      </c>
      <c r="C289">
        <v>348</v>
      </c>
      <c r="D289" s="9">
        <f>X0_canto+(C289+0.5)*dx_pix</f>
        <v>329098.4096451923</v>
      </c>
      <c r="E289" s="9">
        <f>Y0_canto-(B289+0.5)*dy_pix</f>
        <v>7434563.829343698</v>
      </c>
      <c r="F289" s="10">
        <f>(D289-x_DBT5)^2+(E289-y_DBT5)^2</f>
        <v>443630124.733637</v>
      </c>
      <c r="G289" s="10">
        <f>(D289-x_CLP)^2+(E289-y_CLP)^2</f>
        <v>90531535.58935082</v>
      </c>
      <c r="H289" s="11">
        <f>(P_DBT5/F289+P_CLP/G289)/(1/F289+1/G289)</f>
        <v>76.25437105162915</v>
      </c>
      <c r="I289" s="11">
        <v>77</v>
      </c>
      <c r="J289" s="11">
        <f>4.2*I289/(10-0.058*I289)</f>
        <v>58.438742320202394</v>
      </c>
      <c r="K289" s="11">
        <f>25.4*(1000/J289-10)</f>
        <v>180.64316635745197</v>
      </c>
      <c r="L289" t="inlineStr">
        <is>
          <t>Cambissolos Háplicos</t>
        </is>
      </c>
      <c r="M289" s="11">
        <f>IFERROR(VLOOKUP(L289,Classes_K,2,FALSE),"")</f>
        <v>0.04749999940395355</v>
      </c>
      <c r="N289" t="inlineStr">
        <is>
          <t>Mata Nativa</t>
        </is>
      </c>
      <c r="O289" s="11">
        <f>IFERROR(VLOOKUP(N289,Classes_C,2,FALSE),"")</f>
        <v>0.014999999664723873</v>
      </c>
      <c r="P289" s="12">
        <v>0.2997293770313263</v>
      </c>
      <c r="Q289">
        <f>IF(COUNT(M289,O289,P289)=3,1,0)</f>
        <v>1</v>
      </c>
      <c r="R289" s="12">
        <f>IF(H289&lt;=p_lambda*K289,0,(H289-p_lambda*K289)^2/(H289+(1-p_lambda)*K289))</f>
        <v>18.230968364321672</v>
      </c>
      <c r="S289" s="13">
        <f>R289/1000*A_pixel*RI_mmh/R_evento_mm/3600</f>
        <v>0.0007243601445510949</v>
      </c>
      <c r="T289" s="13">
        <f>IF(Q289=1,coef_W*MAX(R289*S289*A_pixel,0)^exp_M*M289*O289*fator_P*P289,"")</f>
        <v>0.010062843256957497</v>
      </c>
      <c r="U289" s="13">
        <f>IF(Q289=1,c_pura*T289,"")</f>
        <v>0.001073763297568419</v>
      </c>
      <c r="V289" s="12">
        <f>IF(Q289=1,MIN(fator_f*R289,H289),"")</f>
        <v>22.331524782280454</v>
      </c>
      <c r="W289" s="13">
        <f>IF(Q289=1,V289/1000*A_pixel*RI_mmh/R_evento_mm/3600,"")</f>
        <v>0.0008872850962209927</v>
      </c>
      <c r="X289" s="13">
        <f>IF(Q289=1,coef_W*MAX(V289*W289*A_pixel,0)^exp_M*M289*O289*fator_P*P289,"")</f>
        <v>0.012629971913525348</v>
      </c>
      <c r="Y289" s="13">
        <f>IF(Q289=1,c_restr*X289,"")</f>
        <v>0.0017475046463488733</v>
      </c>
    </row>
    <row r="290">
      <c r="A290">
        <v>289</v>
      </c>
      <c r="B290">
        <v>16</v>
      </c>
      <c r="C290">
        <v>349</v>
      </c>
      <c r="D290" s="9">
        <f>X0_canto+(C290+0.5)*dx_pix</f>
        <v>329128.4012206448</v>
      </c>
      <c r="E290" s="9">
        <f>Y0_canto-(B290+0.5)*dy_pix</f>
        <v>7434563.829343698</v>
      </c>
      <c r="F290" s="10">
        <f>(D290-x_DBT5)^2+(E290-y_DBT5)^2</f>
        <v>442466005.1194557</v>
      </c>
      <c r="G290" s="10">
        <f>(D290-x_CLP)^2+(E290-y_CLP)^2</f>
        <v>91086441.8448002</v>
      </c>
      <c r="H290" s="11">
        <f>(P_DBT5/F290+P_CLP/G290)/(1/F290+1/G290)</f>
        <v>76.23438771935145</v>
      </c>
      <c r="I290" s="11">
        <v>81</v>
      </c>
      <c r="J290" s="11">
        <f>4.2*I290/(10-0.058*I290)</f>
        <v>64.16446623915503</v>
      </c>
      <c r="K290" s="11">
        <f>25.4*(1000/J290-10)</f>
        <v>141.85773074661967</v>
      </c>
      <c r="L290" t="inlineStr">
        <is>
          <t>Cambissolos Háplicos</t>
        </is>
      </c>
      <c r="M290" s="11">
        <f>IFERROR(VLOOKUP(L290,Classes_K,2,FALSE),"")</f>
        <v>0.04749999940395355</v>
      </c>
      <c r="N290" t="inlineStr">
        <is>
          <t>Mata Nativa</t>
        </is>
      </c>
      <c r="O290" s="11">
        <f>IFERROR(VLOOKUP(N290,Classes_C,2,FALSE),"")</f>
        <v>0.014999999664723873</v>
      </c>
      <c r="P290" s="12">
        <v>0.3581443727016449</v>
      </c>
      <c r="Q290">
        <f>IF(COUNT(M290,O290,P290)=3,1,0)</f>
        <v>1</v>
      </c>
      <c r="R290" s="12">
        <f>IF(H290&lt;=p_lambda*K290,0,(H290-p_lambda*K290)^2/(H290+(1-p_lambda)*K290))</f>
        <v>22.656704206961837</v>
      </c>
      <c r="S290" s="13">
        <f>R290/1000*A_pixel*RI_mmh/R_evento_mm/3600</f>
        <v>0.0009002052554994332</v>
      </c>
      <c r="T290" s="13">
        <f>IF(Q290=1,coef_W*MAX(R290*S290*A_pixel,0)^exp_M*M290*O290*fator_P*P290,"")</f>
        <v>0.015337796303046084</v>
      </c>
      <c r="U290" s="13">
        <f>IF(Q290=1,c_pura*T290,"")</f>
        <v>0.00163663115038631</v>
      </c>
      <c r="V290" s="12">
        <f>IF(Q290=1,MIN(fator_f*R290,H290),"")</f>
        <v>27.752708543597514</v>
      </c>
      <c r="W290" s="13">
        <f>IF(Q290=1,V290/1000*A_pixel*RI_mmh/R_evento_mm/3600,"")</f>
        <v>0.0011026817429877474</v>
      </c>
      <c r="X290" s="13">
        <f>IF(Q290=1,coef_W*MAX(V290*W290*A_pixel,0)^exp_M*M290*O290*fator_P*P290,"")</f>
        <v>0.019250616508302346</v>
      </c>
      <c r="Y290" s="13">
        <f>IF(Q290=1,c_restr*X290,"")</f>
        <v>0.0026635484246258106</v>
      </c>
    </row>
    <row r="291">
      <c r="A291">
        <v>290</v>
      </c>
      <c r="B291">
        <v>16</v>
      </c>
      <c r="C291">
        <v>350</v>
      </c>
      <c r="D291" s="9">
        <f>X0_canto+(C291+0.5)*dx_pix</f>
        <v>329158.39279609727</v>
      </c>
      <c r="E291" s="9">
        <f>Y0_canto-(B291+0.5)*dy_pix</f>
        <v>7434563.829343698</v>
      </c>
      <c r="F291" s="10">
        <f>(D291-x_DBT5)^2+(E291-y_DBT5)^2</f>
        <v>441303684.49447286</v>
      </c>
      <c r="G291" s="10">
        <f>(D291-x_CLP)^2+(E291-y_CLP)^2</f>
        <v>91643147.08944476</v>
      </c>
      <c r="H291" s="11">
        <f>(P_DBT5/F291+P_CLP/G291)/(1/F291+1/G291)</f>
        <v>76.21432282297295</v>
      </c>
      <c r="I291" s="11">
        <v>81</v>
      </c>
      <c r="J291" s="11">
        <f>4.2*I291/(10-0.058*I291)</f>
        <v>64.16446623915503</v>
      </c>
      <c r="K291" s="11">
        <f>25.4*(1000/J291-10)</f>
        <v>141.85773074661967</v>
      </c>
      <c r="L291" t="inlineStr">
        <is>
          <t>Cambissolos Háplicos</t>
        </is>
      </c>
      <c r="M291" s="11">
        <f>IFERROR(VLOOKUP(L291,Classes_K,2,FALSE),"")</f>
        <v>0.04749999940395355</v>
      </c>
      <c r="N291" t="inlineStr">
        <is>
          <t>Mata Nativa</t>
        </is>
      </c>
      <c r="O291" s="11">
        <f>IFERROR(VLOOKUP(N291,Classes_C,2,FALSE),"")</f>
        <v>0.014999999664723873</v>
      </c>
      <c r="P291" s="12">
        <v>0.2900605201721191</v>
      </c>
      <c r="Q291">
        <f>IF(COUNT(M291,O291,P291)=3,1,0)</f>
        <v>1</v>
      </c>
      <c r="R291" s="12">
        <f>IF(H291&lt;=p_lambda*K291,0,(H291-p_lambda*K291)^2/(H291+(1-p_lambda)*K291))</f>
        <v>22.645709628095528</v>
      </c>
      <c r="S291" s="13">
        <f>R291/1000*A_pixel*RI_mmh/R_evento_mm/3600</f>
        <v>0.0008997684144837654</v>
      </c>
      <c r="T291" s="13">
        <f>IF(Q291=1,coef_W*MAX(R291*S291*A_pixel,0)^exp_M*M291*O291*fator_P*P291,"")</f>
        <v>0.01241530402300022</v>
      </c>
      <c r="U291" s="13">
        <f>IF(Q291=1,c_pura*T291,"")</f>
        <v>0.001324784402145387</v>
      </c>
      <c r="V291" s="12">
        <f>IF(Q291=1,MIN(fator_f*R291,H291),"")</f>
        <v>27.739241035700115</v>
      </c>
      <c r="W291" s="13">
        <f>IF(Q291=1,V291/1000*A_pixel*RI_mmh/R_evento_mm/3600,"")</f>
        <v>0.0011021466465643234</v>
      </c>
      <c r="X291" s="13">
        <f>IF(Q291=1,coef_W*MAX(V291*W291*A_pixel,0)^exp_M*M291*O291*fator_P*P291,"")</f>
        <v>0.015582568177235134</v>
      </c>
      <c r="Y291" s="13">
        <f>IF(Q291=1,c_restr*X291,"")</f>
        <v>0.0021560309459283454</v>
      </c>
    </row>
    <row r="292">
      <c r="A292">
        <v>291</v>
      </c>
      <c r="B292">
        <v>16</v>
      </c>
      <c r="C292">
        <v>351</v>
      </c>
      <c r="D292" s="9">
        <f>X0_canto+(C292+0.5)*dx_pix</f>
        <v>329188.38437154976</v>
      </c>
      <c r="E292" s="9">
        <f>Y0_canto-(B292+0.5)*dy_pix</f>
        <v>7434563.829343698</v>
      </c>
      <c r="F292" s="10">
        <f>(D292-x_DBT5)^2+(E292-y_DBT5)^2</f>
        <v>440143162.85868406</v>
      </c>
      <c r="G292" s="10">
        <f>(D292-x_CLP)^2+(E292-y_CLP)^2</f>
        <v>92201651.32328664</v>
      </c>
      <c r="H292" s="11">
        <f>(P_DBT5/F292+P_CLP/G292)/(1/F292+1/G292)</f>
        <v>76.1941764909625</v>
      </c>
      <c r="I292" s="11">
        <v>81</v>
      </c>
      <c r="J292" s="11">
        <f>4.2*I292/(10-0.058*I292)</f>
        <v>64.16446623915503</v>
      </c>
      <c r="K292" s="11">
        <f>25.4*(1000/J292-10)</f>
        <v>141.85773074661967</v>
      </c>
      <c r="L292" t="inlineStr">
        <is>
          <t>Cambissolos Háplicos</t>
        </is>
      </c>
      <c r="M292" s="11">
        <f>IFERROR(VLOOKUP(L292,Classes_K,2,FALSE),"")</f>
        <v>0.04749999940395355</v>
      </c>
      <c r="N292" t="inlineStr">
        <is>
          <t>Mata Nativa</t>
        </is>
      </c>
      <c r="O292" s="11">
        <f>IFERROR(VLOOKUP(N292,Classes_C,2,FALSE),"")</f>
        <v>0.014999999664723873</v>
      </c>
      <c r="P292" s="12">
        <v>0.3985866010189056</v>
      </c>
      <c r="Q292">
        <f>IF(COUNT(M292,O292,P292)=3,1,0)</f>
        <v>1</v>
      </c>
      <c r="R292" s="12">
        <f>IF(H292&lt;=p_lambda*K292,0,(H292-p_lambda*K292)^2/(H292+(1-p_lambda)*K292))</f>
        <v>22.63467216242235</v>
      </c>
      <c r="S292" s="13">
        <f>R292/1000*A_pixel*RI_mmh/R_evento_mm/3600</f>
        <v>0.0008993298694722922</v>
      </c>
      <c r="T292" s="13">
        <f>IF(Q292=1,coef_W*MAX(R292*S292*A_pixel,0)^exp_M*M292*O292*fator_P*P292,"")</f>
        <v>0.017051174538221275</v>
      </c>
      <c r="U292" s="13">
        <f>IF(Q292=1,c_pura*T292,"")</f>
        <v>0.0018194584703400069</v>
      </c>
      <c r="V292" s="12">
        <f>IF(Q292=1,MIN(fator_f*R292,H292),"")</f>
        <v>27.725720994784655</v>
      </c>
      <c r="W292" s="13">
        <f>IF(Q292=1,V292/1000*A_pixel*RI_mmh/R_evento_mm/3600,"")</f>
        <v>0.0011016094628779633</v>
      </c>
      <c r="X292" s="13">
        <f>IF(Q292=1,coef_W*MAX(V292*W292*A_pixel,0)^exp_M*M292*O292*fator_P*P292,"")</f>
        <v>0.021401094105431406</v>
      </c>
      <c r="Y292" s="13">
        <f>IF(Q292=1,c_restr*X292,"")</f>
        <v>0.0029610922052915305</v>
      </c>
    </row>
    <row r="293">
      <c r="A293">
        <v>292</v>
      </c>
      <c r="B293">
        <v>16</v>
      </c>
      <c r="C293">
        <v>352</v>
      </c>
      <c r="D293" s="9">
        <f>X0_canto+(C293+0.5)*dx_pix</f>
        <v>329218.37594700226</v>
      </c>
      <c r="E293" s="9">
        <f>Y0_canto-(B293+0.5)*dy_pix</f>
        <v>7434563.829343698</v>
      </c>
      <c r="F293" s="10">
        <f>(D293-x_DBT5)^2+(E293-y_DBT5)^2</f>
        <v>438984440.21209145</v>
      </c>
      <c r="G293" s="10">
        <f>(D293-x_CLP)^2+(E293-y_CLP)^2</f>
        <v>92761954.54632476</v>
      </c>
      <c r="H293" s="11">
        <f>(P_DBT5/F293+P_CLP/G293)/(1/F293+1/G293)</f>
        <v>76.17394885567876</v>
      </c>
      <c r="I293" s="11">
        <v>81</v>
      </c>
      <c r="J293" s="11">
        <f>4.2*I293/(10-0.058*I293)</f>
        <v>64.16446623915503</v>
      </c>
      <c r="K293" s="11">
        <f>25.4*(1000/J293-10)</f>
        <v>141.85773074661967</v>
      </c>
      <c r="L293" t="inlineStr">
        <is>
          <t>Cambissolos Háplicos</t>
        </is>
      </c>
      <c r="M293" s="11">
        <f>IFERROR(VLOOKUP(L293,Classes_K,2,FALSE),"")</f>
        <v>0.04749999940395355</v>
      </c>
      <c r="N293" t="inlineStr">
        <is>
          <t>Mata Nativa</t>
        </is>
      </c>
      <c r="O293" s="11">
        <f>IFERROR(VLOOKUP(N293,Classes_C,2,FALSE),"")</f>
        <v>0.014999999664723873</v>
      </c>
      <c r="P293" s="12">
        <v>0.3710330128669739</v>
      </c>
      <c r="Q293">
        <f>IF(COUNT(M293,O293,P293)=3,1,0)</f>
        <v>1</v>
      </c>
      <c r="R293" s="12">
        <f>IF(H293&lt;=p_lambda*K293,0,(H293-p_lambda*K293)^2/(H293+(1-p_lambda)*K293))</f>
        <v>22.623591904034708</v>
      </c>
      <c r="S293" s="13">
        <f>R293/1000*A_pixel*RI_mmh/R_evento_mm/3600</f>
        <v>0.0008988896242035304</v>
      </c>
      <c r="T293" s="13">
        <f>IF(Q293=1,coef_W*MAX(R293*S293*A_pixel,0)^exp_M*M293*O293*fator_P*P293,"")</f>
        <v>0.015863754820079557</v>
      </c>
      <c r="U293" s="13">
        <f>IF(Q293=1,c_pura*T293,"")</f>
        <v>0.0016927539515880063</v>
      </c>
      <c r="V293" s="12">
        <f>IF(Q293=1,MIN(fator_f*R293,H293),"")</f>
        <v>27.712148536107033</v>
      </c>
      <c r="W293" s="13">
        <f>IF(Q293=1,V293/1000*A_pixel*RI_mmh/R_evento_mm/3600,"")</f>
        <v>0.0011010701965080607</v>
      </c>
      <c r="X293" s="13">
        <f>IF(Q293=1,coef_W*MAX(V293*W293*A_pixel,0)^exp_M*M293*O293*fator_P*P293,"")</f>
        <v>0.019910752130828244</v>
      </c>
      <c r="Y293" s="13">
        <f>IF(Q293=1,c_restr*X293,"")</f>
        <v>0.0027548859252539033</v>
      </c>
    </row>
    <row r="294">
      <c r="A294">
        <v>293</v>
      </c>
      <c r="B294">
        <v>16</v>
      </c>
      <c r="C294">
        <v>353</v>
      </c>
      <c r="D294" s="9">
        <f>X0_canto+(C294+0.5)*dx_pix</f>
        <v>329248.36752245476</v>
      </c>
      <c r="E294" s="9">
        <f>Y0_canto-(B294+0.5)*dy_pix</f>
        <v>7434563.829343698</v>
      </c>
      <c r="F294" s="10">
        <f>(D294-x_DBT5)^2+(E294-y_DBT5)^2</f>
        <v>437827516.5546951</v>
      </c>
      <c r="G294" s="10">
        <f>(D294-x_CLP)^2+(E294-y_CLP)^2</f>
        <v>93324056.75855912</v>
      </c>
      <c r="H294" s="11">
        <f>(P_DBT5/F294+P_CLP/G294)/(1/F294+1/G294)</f>
        <v>76.15364005338299</v>
      </c>
      <c r="I294" s="11">
        <v>77</v>
      </c>
      <c r="J294" s="11">
        <f>4.2*I294/(10-0.058*I294)</f>
        <v>58.438742320202394</v>
      </c>
      <c r="K294" s="11">
        <f>25.4*(1000/J294-10)</f>
        <v>180.64316635745197</v>
      </c>
      <c r="L294" t="inlineStr">
        <is>
          <t>Cambissolos Háplicos</t>
        </is>
      </c>
      <c r="M294" s="11">
        <f>IFERROR(VLOOKUP(L294,Classes_K,2,FALSE),"")</f>
        <v>0.04749999940395355</v>
      </c>
      <c r="N294" t="inlineStr">
        <is>
          <t>Mata Nativa</t>
        </is>
      </c>
      <c r="O294" s="11">
        <f>IFERROR(VLOOKUP(N294,Classes_C,2,FALSE),"")</f>
        <v>0.014999999664723873</v>
      </c>
      <c r="P294" s="12">
        <v>0.322979211807251</v>
      </c>
      <c r="Q294">
        <f>IF(COUNT(M294,O294,P294)=3,1,0)</f>
        <v>1</v>
      </c>
      <c r="R294" s="12">
        <f>IF(H294&lt;=p_lambda*K294,0,(H294-p_lambda*K294)^2/(H294+(1-p_lambda)*K294))</f>
        <v>18.183761666757437</v>
      </c>
      <c r="S294" s="13">
        <f>R294/1000*A_pixel*RI_mmh/R_evento_mm/3600</f>
        <v>0.000722484509116483</v>
      </c>
      <c r="T294" s="13">
        <f>IF(Q294=1,coef_W*MAX(R294*S294*A_pixel,0)^exp_M*M294*O294*fator_P*P294,"")</f>
        <v>0.0108119701872614</v>
      </c>
      <c r="U294" s="13">
        <f>IF(Q294=1,c_pura*T294,"")</f>
        <v>0.0011536994530306707</v>
      </c>
      <c r="V294" s="12">
        <f>IF(Q294=1,MIN(fator_f*R294,H294),"")</f>
        <v>22.273700232564902</v>
      </c>
      <c r="W294" s="13">
        <f>IF(Q294=1,V294/1000*A_pixel*RI_mmh/R_evento_mm/3600,"")</f>
        <v>0.0008849875880275974</v>
      </c>
      <c r="X294" s="13">
        <f>IF(Q294=1,coef_W*MAX(V294*W294*A_pixel,0)^exp_M*M294*O294*fator_P*P294,"")</f>
        <v>0.01357020837034008</v>
      </c>
      <c r="Y294" s="13">
        <f>IF(Q294=1,c_restr*X294,"")</f>
        <v>0.0018775973803786931</v>
      </c>
    </row>
    <row r="295">
      <c r="A295">
        <v>294</v>
      </c>
      <c r="B295">
        <v>16</v>
      </c>
      <c r="C295">
        <v>354</v>
      </c>
      <c r="D295" s="9">
        <f>X0_canto+(C295+0.5)*dx_pix</f>
        <v>329278.35909790726</v>
      </c>
      <c r="E295" s="9">
        <f>Y0_canto-(B295+0.5)*dy_pix</f>
        <v>7434563.829343698</v>
      </c>
      <c r="F295" s="10">
        <f>(D295-x_DBT5)^2+(E295-y_DBT5)^2</f>
        <v>436672391.88649505</v>
      </c>
      <c r="G295" s="10">
        <f>(D295-x_CLP)^2+(E295-y_CLP)^2</f>
        <v>93887957.95998974</v>
      </c>
      <c r="H295" s="11">
        <f>(P_DBT5/F295+P_CLP/G295)/(1/F295+1/G295)</f>
        <v>76.13325022425201</v>
      </c>
      <c r="I295" s="11">
        <v>77</v>
      </c>
      <c r="J295" s="11">
        <f>4.2*I295/(10-0.058*I295)</f>
        <v>58.438742320202394</v>
      </c>
      <c r="K295" s="11">
        <f>25.4*(1000/J295-10)</f>
        <v>180.64316635745197</v>
      </c>
      <c r="L295" t="inlineStr">
        <is>
          <t>Cambissolos Háplicos</t>
        </is>
      </c>
      <c r="M295" s="11">
        <f>IFERROR(VLOOKUP(L295,Classes_K,2,FALSE),"")</f>
        <v>0.04749999940395355</v>
      </c>
      <c r="N295" t="inlineStr">
        <is>
          <t>Mata Nativa</t>
        </is>
      </c>
      <c r="O295" s="11">
        <f>IFERROR(VLOOKUP(N295,Classes_C,2,FALSE),"")</f>
        <v>0.014999999664723873</v>
      </c>
      <c r="P295" s="12">
        <v>0.358583390712738</v>
      </c>
      <c r="Q295">
        <f>IF(COUNT(M295,O295,P295)=3,1,0)</f>
        <v>1</v>
      </c>
      <c r="R295" s="12">
        <f>IF(H295&lt;=p_lambda*K295,0,(H295-p_lambda*K295)^2/(H295+(1-p_lambda)*K295))</f>
        <v>18.174211449265755</v>
      </c>
      <c r="S295" s="13">
        <f>R295/1000*A_pixel*RI_mmh/R_evento_mm/3600</f>
        <v>0.0007221050560460521</v>
      </c>
      <c r="T295" s="13">
        <f>IF(Q295=1,coef_W*MAX(R295*S295*A_pixel,0)^exp_M*M295*O295*fator_P*P295,"")</f>
        <v>0.01199678584469787</v>
      </c>
      <c r="U295" s="13">
        <f>IF(Q295=1,c_pura*T295,"")</f>
        <v>0.0012801261035163638</v>
      </c>
      <c r="V295" s="12">
        <f>IF(Q295=1,MIN(fator_f*R295,H295),"")</f>
        <v>22.262001955527186</v>
      </c>
      <c r="W295" s="13">
        <f>IF(Q295=1,V295/1000*A_pixel*RI_mmh/R_evento_mm/3600,"")</f>
        <v>0.0008845227873940433</v>
      </c>
      <c r="X295" s="13">
        <f>IF(Q295=1,coef_W*MAX(V295*W295*A_pixel,0)^exp_M*M295*O295*fator_P*P295,"")</f>
        <v>0.015057281963162009</v>
      </c>
      <c r="Y295" s="13">
        <f>IF(Q295=1,c_restr*X295,"")</f>
        <v>0.0020833514414891645</v>
      </c>
    </row>
    <row r="296">
      <c r="A296">
        <v>295</v>
      </c>
      <c r="B296">
        <v>17</v>
      </c>
      <c r="C296">
        <v>33</v>
      </c>
      <c r="D296" s="9">
        <f>X0_canto+(C296+0.5)*dx_pix</f>
        <v>319651.06337765837</v>
      </c>
      <c r="E296" s="9">
        <f>Y0_canto-(B296+0.5)*dy_pix</f>
        <v>7434533.904613013</v>
      </c>
      <c r="F296" s="10">
        <f>(D296-x_DBT5)^2+(E296-y_DBT5)^2</f>
        <v>899376704.2606101</v>
      </c>
      <c r="G296" s="10">
        <f>(D296-x_CLP)^2+(E296-y_CLP)^2</f>
        <v>5135819.881087276</v>
      </c>
      <c r="H296" s="11">
        <f>(P_DBT5/F296+P_CLP/G296)/(1/F296+1/G296)</f>
        <v>78.90801844563545</v>
      </c>
      <c r="I296" s="11">
        <v>85</v>
      </c>
      <c r="J296" s="11">
        <f>4.2*I296/(10-0.058*I296)</f>
        <v>70.41420118343196</v>
      </c>
      <c r="K296" s="11">
        <f>25.4*(1000/J296-10)</f>
        <v>106.72268907563023</v>
      </c>
      <c r="L296" t="inlineStr">
        <is>
          <t>Área Urbana</t>
        </is>
      </c>
      <c r="M296" s="11">
        <f>IFERROR(VLOOKUP(L296,Classes_K,2,FALSE),"")</f>
        <v>0.0</v>
      </c>
      <c r="N296" t="inlineStr">
        <is>
          <t>Área Urbanizada</t>
        </is>
      </c>
      <c r="O296" s="11">
        <f>IFERROR(VLOOKUP(N296,Classes_C,2,FALSE),"")</f>
        <v>0.0</v>
      </c>
      <c r="P296" s="12">
        <v>0.2369568347930908</v>
      </c>
      <c r="Q296">
        <f>IF(COUNT(M296,O296,P296)=3,1,0)</f>
        <v>1</v>
      </c>
      <c r="R296" s="12">
        <f>IF(H296&lt;=p_lambda*K296,0,(H296-p_lambda*K296)^2/(H296+(1-p_lambda)*K296))</f>
        <v>30.022102285268435</v>
      </c>
      <c r="S296" s="13">
        <f>R296/1000*A_pixel*RI_mmh/R_evento_mm/3600</f>
        <v>0.0011928502050194822</v>
      </c>
      <c r="T296" s="13">
        <f>IF(Q296=1,coef_W*MAX(R296*S296*A_pixel,0)^exp_M*M296*O296*fator_P*P296,"")</f>
        <v>0.0</v>
      </c>
      <c r="U296" s="13">
        <f>IF(Q296=1,c_pura*T296,"")</f>
        <v>0.0</v>
      </c>
      <c r="V296" s="12">
        <f>IF(Q296=1,MIN(fator_f*R296,H296),"")</f>
        <v>36.77475095133686</v>
      </c>
      <c r="W296" s="13">
        <f>IF(Q296=1,V296/1000*A_pixel*RI_mmh/R_evento_mm/3600,"")</f>
        <v>0.0014611491492175614</v>
      </c>
      <c r="X296" s="13">
        <f>IF(Q296=1,coef_W*MAX(V296*W296*A_pixel,0)^exp_M*M296*O296*fator_P*P296,"")</f>
        <v>0.0</v>
      </c>
      <c r="Y296" s="13">
        <f>IF(Q296=1,c_restr*X296,"")</f>
        <v>0.0</v>
      </c>
    </row>
    <row r="297">
      <c r="A297">
        <v>296</v>
      </c>
      <c r="B297">
        <v>17</v>
      </c>
      <c r="C297">
        <v>34</v>
      </c>
      <c r="D297" s="9">
        <f>X0_canto+(C297+0.5)*dx_pix</f>
        <v>319681.05495311087</v>
      </c>
      <c r="E297" s="9">
        <f>Y0_canto-(B297+0.5)*dy_pix</f>
        <v>7434533.904613013</v>
      </c>
      <c r="F297" s="10">
        <f>(D297-x_DBT5)^2+(E297-y_DBT5)^2</f>
        <v>897645903.0496114</v>
      </c>
      <c r="G297" s="10">
        <f>(D297-x_CLP)^2+(E297-y_CLP)^2</f>
        <v>5124044.539719404</v>
      </c>
      <c r="H297" s="11">
        <f>(P_DBT5/F297+P_CLP/G297)/(1/F297+1/G297)</f>
        <v>78.90805219967594</v>
      </c>
      <c r="I297" s="11">
        <v>85</v>
      </c>
      <c r="J297" s="11">
        <f>4.2*I297/(10-0.058*I297)</f>
        <v>70.41420118343196</v>
      </c>
      <c r="K297" s="11">
        <f>25.4*(1000/J297-10)</f>
        <v>106.72268907563023</v>
      </c>
      <c r="L297" t="inlineStr">
        <is>
          <t>Cambissolos Háplicos</t>
        </is>
      </c>
      <c r="M297" s="11">
        <f>IFERROR(VLOOKUP(L297,Classes_K,2,FALSE),"")</f>
        <v>0.04749999940395355</v>
      </c>
      <c r="N297" t="inlineStr">
        <is>
          <t>Área Urbanizada</t>
        </is>
      </c>
      <c r="O297" s="11">
        <f>IFERROR(VLOOKUP(N297,Classes_C,2,FALSE),"")</f>
        <v>0.0</v>
      </c>
      <c r="Q297">
        <f>IF(COUNT(M297,O297,P297)=3,1,0)</f>
        <v>0</v>
      </c>
      <c r="R297" s="12">
        <f>IF(H297&lt;=p_lambda*K297,0,(H297-p_lambda*K297)^2/(H297+(1-p_lambda)*K297))</f>
        <v>30.02212421232801</v>
      </c>
      <c r="S297" s="13">
        <f>R297/1000*A_pixel*RI_mmh/R_evento_mm/3600</f>
        <v>0.0011928510762342047</v>
      </c>
      <c r="T297" s="13">
        <f>IF(Q297=1,coef_W*MAX(R297*S297*A_pixel,0)^exp_M*M297*O297*fator_P*P297,"")</f>
        <v/>
      </c>
      <c r="U297" s="13">
        <f>IF(Q297=1,c_pura*T297,"")</f>
        <v/>
      </c>
      <c r="V297" s="12">
        <f>IF(Q297=1,MIN(fator_f*R297,H297),"")</f>
        <v/>
      </c>
      <c r="W297" s="13">
        <f>IF(Q297=1,V297/1000*A_pixel*RI_mmh/R_evento_mm/3600,"")</f>
        <v/>
      </c>
      <c r="X297" s="13">
        <f>IF(Q297=1,coef_W*MAX(V297*W297*A_pixel,0)^exp_M*M297*O297*fator_P*P297,"")</f>
        <v/>
      </c>
      <c r="Y297" s="13">
        <f>IF(Q297=1,c_restr*X297,"")</f>
        <v/>
      </c>
    </row>
    <row r="298">
      <c r="A298">
        <v>297</v>
      </c>
      <c r="B298">
        <v>17</v>
      </c>
      <c r="C298">
        <v>40</v>
      </c>
      <c r="D298" s="9">
        <f>X0_canto+(C298+0.5)*dx_pix</f>
        <v>319861.0044058258</v>
      </c>
      <c r="E298" s="9">
        <f>Y0_canto-(B298+0.5)*dy_pix</f>
        <v>7434533.904613013</v>
      </c>
      <c r="F298" s="10">
        <f>(D298-x_DBT5)^2+(E298-y_DBT5)^2</f>
        <v>887298874.5567446</v>
      </c>
      <c r="G298" s="10">
        <f>(D298-x_CLP)^2+(E298-y_CLP)^2</f>
        <v>5091171.264633331</v>
      </c>
      <c r="H298" s="11">
        <f>(P_DBT5/F298+P_CLP/G298)/(1/F298+1/G298)</f>
        <v>78.90757944353818</v>
      </c>
      <c r="I298" s="11">
        <v>85</v>
      </c>
      <c r="J298" s="11">
        <f>4.2*I298/(10-0.058*I298)</f>
        <v>70.41420118343196</v>
      </c>
      <c r="K298" s="11">
        <f>25.4*(1000/J298-10)</f>
        <v>106.72268907563023</v>
      </c>
      <c r="L298" t="inlineStr">
        <is>
          <t>Área Urbana</t>
        </is>
      </c>
      <c r="M298" s="11">
        <f>IFERROR(VLOOKUP(L298,Classes_K,2,FALSE),"")</f>
        <v>0.0</v>
      </c>
      <c r="N298" t="inlineStr">
        <is>
          <t>Área Urbanizada</t>
        </is>
      </c>
      <c r="O298" s="11">
        <f>IFERROR(VLOOKUP(N298,Classes_C,2,FALSE),"")</f>
        <v>0.0</v>
      </c>
      <c r="P298" s="12">
        <v>0.2375265061855316</v>
      </c>
      <c r="Q298">
        <f>IF(COUNT(M298,O298,P298)=3,1,0)</f>
        <v>1</v>
      </c>
      <c r="R298" s="12">
        <f>IF(H298&lt;=p_lambda*K298,0,(H298-p_lambda*K298)^2/(H298+(1-p_lambda)*K298))</f>
        <v>30.02181710425342</v>
      </c>
      <c r="S298" s="13">
        <f>R298/1000*A_pixel*RI_mmh/R_evento_mm/3600</f>
        <v>0.0011928388740930532</v>
      </c>
      <c r="T298" s="13">
        <f>IF(Q298=1,coef_W*MAX(R298*S298*A_pixel,0)^exp_M*M298*O298*fator_P*P298,"")</f>
        <v>0.0</v>
      </c>
      <c r="U298" s="13">
        <f>IF(Q298=1,c_pura*T298,"")</f>
        <v>0.0</v>
      </c>
      <c r="V298" s="12">
        <f>IF(Q298=1,MIN(fator_f*R298,H298),"")</f>
        <v>36.774401626672535</v>
      </c>
      <c r="W298" s="13">
        <f>IF(Q298=1,V298/1000*A_pixel*RI_mmh/R_evento_mm/3600,"")</f>
        <v>0.0014611352697099405</v>
      </c>
      <c r="X298" s="13">
        <f>IF(Q298=1,coef_W*MAX(V298*W298*A_pixel,0)^exp_M*M298*O298*fator_P*P298,"")</f>
        <v>0.0</v>
      </c>
      <c r="Y298" s="13">
        <f>IF(Q298=1,c_restr*X298,"")</f>
        <v>0.0</v>
      </c>
    </row>
    <row r="299">
      <c r="A299">
        <v>298</v>
      </c>
      <c r="B299">
        <v>17</v>
      </c>
      <c r="C299">
        <v>41</v>
      </c>
      <c r="D299" s="9">
        <f>X0_canto+(C299+0.5)*dx_pix</f>
        <v>319890.9959812783</v>
      </c>
      <c r="E299" s="9">
        <f>Y0_canto-(B299+0.5)*dy_pix</f>
        <v>7434533.904613013</v>
      </c>
      <c r="F299" s="10">
        <f>(D299-x_DBT5)^2+(E299-y_DBT5)^2</f>
        <v>885580666.2701197</v>
      </c>
      <c r="G299" s="10">
        <f>(D299-x_CLP)^2+(E299-y_CLP)^2</f>
        <v>5091988.847639177</v>
      </c>
      <c r="H299" s="11">
        <f>(P_DBT5/F299+P_CLP/G299)/(1/F299+1/G299)</f>
        <v>78.90738636420407</v>
      </c>
      <c r="I299" s="11">
        <v>77</v>
      </c>
      <c r="J299" s="11">
        <f>4.2*I299/(10-0.058*I299)</f>
        <v>58.438742320202394</v>
      </c>
      <c r="K299" s="11">
        <f>25.4*(1000/J299-10)</f>
        <v>180.64316635745197</v>
      </c>
      <c r="L299" t="inlineStr">
        <is>
          <t>Cambissolos Háplicos</t>
        </is>
      </c>
      <c r="M299" s="11">
        <f>IFERROR(VLOOKUP(L299,Classes_K,2,FALSE),"")</f>
        <v>0.04749999940395355</v>
      </c>
      <c r="N299" t="inlineStr">
        <is>
          <t>Área Urbanizada</t>
        </is>
      </c>
      <c r="O299" s="11">
        <f>IFERROR(VLOOKUP(N299,Classes_C,2,FALSE),"")</f>
        <v>0.0</v>
      </c>
      <c r="P299" s="12">
        <v>0.3230650424957275</v>
      </c>
      <c r="Q299">
        <f>IF(COUNT(M299,O299,P299)=3,1,0)</f>
        <v>1</v>
      </c>
      <c r="R299" s="12">
        <f>IF(H299&lt;=p_lambda*K299,0,(H299-p_lambda*K299)^2/(H299+(1-p_lambda)*K299))</f>
        <v>19.489776414011256</v>
      </c>
      <c r="S299" s="13">
        <f>R299/1000*A_pixel*RI_mmh/R_evento_mm/3600</f>
        <v>0.0007743756106861631</v>
      </c>
      <c r="T299" s="13">
        <f>IF(Q299=1,coef_W*MAX(R299*S299*A_pixel,0)^exp_M*M299*O299*fator_P*P299,"")</f>
        <v>0.0</v>
      </c>
      <c r="U299" s="13">
        <f>IF(Q299=1,c_pura*T299,"")</f>
        <v>0.0</v>
      </c>
      <c r="V299" s="12">
        <f>IF(Q299=1,MIN(fator_f*R299,H299),"")</f>
        <v>23.87346718468136</v>
      </c>
      <c r="W299" s="13">
        <f>IF(Q299=1,V299/1000*A_pixel*RI_mmh/R_evento_mm/3600,"")</f>
        <v>0.0009485501699774924</v>
      </c>
      <c r="X299" s="13">
        <f>IF(Q299=1,coef_W*MAX(V299*W299*A_pixel,0)^exp_M*M299*O299*fator_P*P299,"")</f>
        <v>0.0</v>
      </c>
      <c r="Y299" s="13">
        <f>IF(Q299=1,c_restr*X299,"")</f>
        <v>0.0</v>
      </c>
    </row>
    <row r="300">
      <c r="A300">
        <v>299</v>
      </c>
      <c r="B300">
        <v>17</v>
      </c>
      <c r="C300">
        <v>42</v>
      </c>
      <c r="D300" s="9">
        <f>X0_canto+(C300+0.5)*dx_pix</f>
        <v>319920.98755673075</v>
      </c>
      <c r="E300" s="9">
        <f>Y0_canto-(B300+0.5)*dy_pix</f>
        <v>7434533.904613013</v>
      </c>
      <c r="F300" s="10">
        <f>(D300-x_DBT5)^2+(E300-y_DBT5)^2</f>
        <v>883864256.9726944</v>
      </c>
      <c r="G300" s="10">
        <f>(D300-x_CLP)^2+(E300-y_CLP)^2</f>
        <v>5094605.419841261</v>
      </c>
      <c r="H300" s="11">
        <f>(P_DBT5/F300+P_CLP/G300)/(1/F300+1/G300)</f>
        <v>78.90716013048458</v>
      </c>
      <c r="I300" s="11">
        <v>77</v>
      </c>
      <c r="J300" s="11">
        <f>4.2*I300/(10-0.058*I300)</f>
        <v>58.438742320202394</v>
      </c>
      <c r="K300" s="11">
        <f>25.4*(1000/J300-10)</f>
        <v>180.64316635745197</v>
      </c>
      <c r="L300" t="inlineStr">
        <is>
          <t>Cambissolos Háplicos</t>
        </is>
      </c>
      <c r="M300" s="11">
        <f>IFERROR(VLOOKUP(L300,Classes_K,2,FALSE),"")</f>
        <v>0.04749999940395355</v>
      </c>
      <c r="N300" t="inlineStr">
        <is>
          <t>Campo</t>
        </is>
      </c>
      <c r="O300" s="11">
        <f>IFERROR(VLOOKUP(N300,Classes_C,2,FALSE),"")</f>
        <v>0.05000000074505806</v>
      </c>
      <c r="P300" s="12">
        <v>0.4118785262107849</v>
      </c>
      <c r="Q300">
        <f>IF(COUNT(M300,O300,P300)=3,1,0)</f>
        <v>1</v>
      </c>
      <c r="R300" s="12">
        <f>IF(H300&lt;=p_lambda*K300,0,(H300-p_lambda*K300)^2/(H300+(1-p_lambda)*K300))</f>
        <v>19.489667811230515</v>
      </c>
      <c r="S300" s="13">
        <f>R300/1000*A_pixel*RI_mmh/R_evento_mm/3600</f>
        <v>0.0007743712956369355</v>
      </c>
      <c r="T300" s="13">
        <f>IF(Q300=1,coef_W*MAX(R300*S300*A_pixel,0)^exp_M*M300*O300*fator_P*P300,"")</f>
        <v>0.04967219730092573</v>
      </c>
      <c r="U300" s="13">
        <f>IF(Q300=1,c_pura*T300,"")</f>
        <v>0.005300309366782023</v>
      </c>
      <c r="V300" s="12">
        <f>IF(Q300=1,MIN(fator_f*R300,H300),"")</f>
        <v>23.87333415468311</v>
      </c>
      <c r="W300" s="13">
        <f>IF(Q300=1,V300/1000*A_pixel*RI_mmh/R_evento_mm/3600,"")</f>
        <v>0.000948544884376265</v>
      </c>
      <c r="X300" s="13">
        <f>IF(Q300=1,coef_W*MAX(V300*W300*A_pixel,0)^exp_M*M300*O300*fator_P*P300,"")</f>
        <v>0.06234405533048753</v>
      </c>
      <c r="Y300" s="13">
        <f>IF(Q300=1,c_restr*X300,"")</f>
        <v>0.008626030770946381</v>
      </c>
    </row>
    <row r="301">
      <c r="A301">
        <v>300</v>
      </c>
      <c r="B301">
        <v>17</v>
      </c>
      <c r="C301">
        <v>43</v>
      </c>
      <c r="D301" s="9">
        <f>X0_canto+(C301+0.5)*dx_pix</f>
        <v>319950.97913218325</v>
      </c>
      <c r="E301" s="9">
        <f>Y0_canto-(B301+0.5)*dy_pix</f>
        <v>7434533.904613013</v>
      </c>
      <c r="F301" s="10">
        <f>(D301-x_DBT5)^2+(E301-y_DBT5)^2</f>
        <v>882149646.6644621</v>
      </c>
      <c r="G301" s="10">
        <f>(D301-x_CLP)^2+(E301-y_CLP)^2</f>
        <v>5099020.9812395945</v>
      </c>
      <c r="H301" s="11">
        <f>(P_DBT5/F301+P_CLP/G301)/(1/F301+1/G301)</f>
        <v>78.90690055301079</v>
      </c>
      <c r="I301" s="11">
        <v>77</v>
      </c>
      <c r="J301" s="11">
        <f>4.2*I301/(10-0.058*I301)</f>
        <v>58.438742320202394</v>
      </c>
      <c r="K301" s="11">
        <f>25.4*(1000/J301-10)</f>
        <v>180.64316635745197</v>
      </c>
      <c r="L301" t="inlineStr">
        <is>
          <t>Cambissolos Háplicos</t>
        </is>
      </c>
      <c r="M301" s="11">
        <f>IFERROR(VLOOKUP(L301,Classes_K,2,FALSE),"")</f>
        <v>0.04749999940395355</v>
      </c>
      <c r="N301" t="inlineStr">
        <is>
          <t>Mata Nativa</t>
        </is>
      </c>
      <c r="O301" s="11">
        <f>IFERROR(VLOOKUP(N301,Classes_C,2,FALSE),"")</f>
        <v>0.014999999664723873</v>
      </c>
      <c r="P301" s="12">
        <v>0.5900346636772156</v>
      </c>
      <c r="Q301">
        <f>IF(COUNT(M301,O301,P301)=3,1,0)</f>
        <v>1</v>
      </c>
      <c r="R301" s="12">
        <f>IF(H301&lt;=p_lambda*K301,0,(H301-p_lambda*K301)^2/(H301+(1-p_lambda)*K301))</f>
        <v>19.48954320214782</v>
      </c>
      <c r="S301" s="13">
        <f>R301/1000*A_pixel*RI_mmh/R_evento_mm/3600</f>
        <v>0.0007743663446189013</v>
      </c>
      <c r="T301" s="13">
        <f>IF(Q301=1,coef_W*MAX(R301*S301*A_pixel,0)^exp_M*M301*O301*fator_P*P301,"")</f>
        <v>0.02134714878287919</v>
      </c>
      <c r="U301" s="13">
        <f>IF(Q301=1,c_pura*T301,"")</f>
        <v>0.00227786365001162</v>
      </c>
      <c r="V301" s="12">
        <f>IF(Q301=1,MIN(fator_f*R301,H301),"")</f>
        <v>23.873181518204202</v>
      </c>
      <c r="W301" s="13">
        <f>IF(Q301=1,V301/1000*A_pixel*RI_mmh/R_evento_mm/3600,"")</f>
        <v>0.0009485388197624875</v>
      </c>
      <c r="X301" s="13">
        <f>IF(Q301=1,coef_W*MAX(V301*W301*A_pixel,0)^exp_M*M301*O301*fator_P*P301,"")</f>
        <v>0.02679301293649771</v>
      </c>
      <c r="Y301" s="13">
        <f>IF(Q301=1,c_restr*X301,"")</f>
        <v>0.0037071273726329537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cols>
    <col min="1" max="1" width="62.7109375" customWidth="1"/>
    <col min="2" max="2" width="20.7109375" customWidth="1"/>
    <col min="3" max="3" width="80.7109375" customWidth="1"/>
  </cols>
  <sheetData>
    <row r="1">
      <c r="A1" s="1" t="inlineStr">
        <is>
          <t>Resumo do evento 11 (todas as celulas sao formulas sobre a aba Pixels)</t>
        </is>
      </c>
    </row>
    <row r="3">
      <c r="A3" s="2" t="inlineStr">
        <is>
          <t>Grandeza</t>
        </is>
      </c>
      <c r="B3" s="2" t="inlineStr">
        <is>
          <t>Valor</t>
        </is>
      </c>
      <c r="C3" s="2" t="inlineStr">
        <is>
          <t>Formula / comentario</t>
        </is>
      </c>
    </row>
    <row r="4">
      <c r="A4" t="inlineStr">
        <is>
          <t>Pixels na tabela (com CN, logo com Q)</t>
        </is>
      </c>
      <c r="B4" s="10">
        <f>COUNT(Pixels!$R$2:$R$301)</f>
        <v>300.0</v>
      </c>
      <c r="C4" t="inlineStr">
        <is>
          <t>numero de pixels da tabela</t>
        </is>
      </c>
    </row>
    <row r="5">
      <c r="A5" t="inlineStr">
        <is>
          <t>Pixels validos para E_unit (com K, C e LS)</t>
        </is>
      </c>
      <c r="B5">
        <f>SUM(Pixels!$Q$2:$Q$301)</f>
        <v>267.0</v>
      </c>
      <c r="C5" t="inlineStr">
        <is>
          <t>Valido=1</t>
        </is>
      </c>
    </row>
    <row r="6">
      <c r="A6" t="inlineStr">
        <is>
          <t>Chuva IDW media sobre os pixels (mm)</t>
        </is>
      </c>
      <c r="B6" s="11">
        <f>AVERAGE(Pixels!$H$2:$H$301)</f>
        <v>78.43809200335622</v>
      </c>
      <c r="C6" t="inlineStr">
        <is>
          <t>media simples da chuva interpolada</t>
        </is>
      </c>
    </row>
    <row r="7">
      <c r="A7" t="inlineStr">
        <is>
          <t>Escoamento Q medio sobre os pixels (mm)</t>
        </is>
      </c>
      <c r="B7" s="11">
        <f>AVERAGE(Pixels!$R$2:$R$301)</f>
        <v>20.669070376956647</v>
      </c>
      <c r="C7" t="inlineStr">
        <is>
          <t>media simples de Q</t>
        </is>
      </c>
    </row>
    <row r="8">
      <c r="A8" t="inlineStr">
        <is>
          <t>V_calc, todos os pixels com Q, usando 900 m2 (m3)</t>
        </is>
      </c>
      <c r="B8" s="14">
        <f>SUM(Pixels!$R$2:$R$301)/1000*900</f>
        <v>5580.649001778294</v>
      </c>
      <c r="C8" t="inlineStr">
        <is>
          <t>e o que os scripts Qvol*.tif / CSV do projeto usam (900 m2); gera 'erro de volume' de -17,76% contra T_R</t>
        </is>
      </c>
    </row>
    <row r="9">
      <c r="A9" t="inlineStr">
        <is>
          <t>V_calc, todos os pixels com Q, usando A_pixel (m3)</t>
        </is>
      </c>
      <c r="B9" s="14">
        <f>SUM(Pixels!$R$2:$R$301)/1000*A_pixel</f>
        <v>5565.084064694705</v>
      </c>
      <c r="C9" t="inlineStr">
        <is>
          <t>mesma soma com a area real do pixel</t>
        </is>
      </c>
    </row>
    <row r="10">
      <c r="A10" t="inlineStr">
        <is>
          <t>V_calc, so pixels validos, usando A_pixel (m3)  [usado no f]</t>
        </is>
      </c>
      <c r="B10" s="14">
        <f>SUMIF(Pixels!$Q$2:$Q$301,1,Pixels!$R$2:$R$301)/1000*A_pixel</f>
        <v>4836.311039908101</v>
      </c>
      <c r="C10" t="inlineStr">
        <is>
          <t>e o V_calc do script de volume restrito</t>
        </is>
      </c>
    </row>
    <row r="11">
      <c r="A11" t="inlineStr">
        <is>
          <t>V_med (m3) - planilha de eventos</t>
        </is>
      </c>
      <c r="B11" s="14">
        <f>V_med_m3</f>
        <v>2436681.600000001</v>
      </c>
      <c r="C11" t="inlineStr">
        <is>
          <t>T_R_m3 = soma(Q)*3600 (inclui vazao de base)</t>
        </is>
      </c>
    </row>
    <row r="12">
      <c r="A12" t="inlineStr">
        <is>
          <t>Erro do volume do SCS-CN (900 m2) em relacao a V_med (%)</t>
        </is>
      </c>
      <c r="B12" s="11">
        <f>(B8-B11)/B11*100</f>
        <v>-99.7709734008014</v>
      </c>
      <c r="C12" t="inlineStr">
        <is>
          <t>erro do volume do SCS-CN em relacao ao T_R (positivo = superestima)</t>
        </is>
      </c>
    </row>
    <row r="13">
      <c r="A13" t="inlineStr">
        <is>
          <t>f = V_med / V_calc(validos)  [fator do volume restrito]</t>
        </is>
      </c>
      <c r="B13" s="5">
        <f>B11/B10</f>
        <v>1.2249225787689721</v>
      </c>
      <c r="C13" t="inlineStr">
        <is>
          <t>f &gt; 1: o SCS-CN subestima o volume TOTAL medido; mas T_R inclui vazao de base (ver planilha 01)</t>
        </is>
      </c>
    </row>
    <row r="14">
      <c r="A14" t="inlineStr">
        <is>
          <t>Pixels em que f*Q passou da chuva do pixel (Q limitado a P)</t>
        </is>
      </c>
      <c r="B14">
        <f>SUMPRODUCT((Pixels!$Q$2:$Q$301=1)*(fator_f*Pixels!$R$2:$R$301&gt;Pixels!$H$2:$H$301))</f>
        <v>293.0</v>
      </c>
      <c r="C14" t="inlineStr">
        <is>
          <t>caso fisico: escoamento nao pode superar a chuva</t>
        </is>
      </c>
    </row>
    <row r="15">
      <c r="A15" s="7" t="inlineStr">
        <is>
          <t>EROSAO / MUSLE</t>
        </is>
      </c>
    </row>
    <row r="16">
      <c r="A16" t="inlineStr">
        <is>
          <t>SOMA de E_unit - previsao pura (t)</t>
        </is>
      </c>
      <c r="B16" s="14">
        <f>SUM(Pixels!$T$2:$T$301)</f>
        <v>4.486513357975955</v>
      </c>
      <c r="C16" t="inlineStr">
        <is>
          <t>E_unit nao calibrado</t>
        </is>
      </c>
    </row>
    <row r="17">
      <c r="A17" t="inlineStr">
        <is>
          <t>SOMA de E_unit - volume restrito (t)</t>
        </is>
      </c>
      <c r="B17" s="14">
        <f>SUM(Pixels!$X$2:$X$301)</f>
        <v>5.631066315349241</v>
      </c>
    </row>
    <row r="18">
      <c r="A18" t="inlineStr">
        <is>
          <t>c da previsao pura (aba Calibracao_c)</t>
        </is>
      </c>
      <c r="B18" s="5">
        <f>c_pura</f>
        <v>0.10670575603232357</v>
      </c>
      <c r="C18" t="inlineStr">
        <is>
          <t>c = soma(E_n*SY_n)/soma(E_n^2), 17 eventos</t>
        </is>
      </c>
    </row>
    <row r="19">
      <c r="A19" t="inlineStr">
        <is>
          <t>c do volume restrito (aba Calibracao_c)</t>
        </is>
      </c>
      <c r="B19" s="5">
        <f>c_restr</f>
        <v>0.13836172070006608</v>
      </c>
    </row>
    <row r="20">
      <c r="A20" s="7" t="inlineStr">
        <is>
          <t>SEDIMENTOS NO EXUTORIO DA BACIA</t>
        </is>
      </c>
    </row>
    <row r="21">
      <c r="A21" t="inlineStr">
        <is>
          <t>SY simulado - previsao pura (t) = c * soma(E_unit)</t>
        </is>
      </c>
      <c r="B21" s="14">
        <f>SUM(Pixels!$U$2:$U$301)</f>
        <v>0.47873679981194306</v>
      </c>
    </row>
    <row r="22">
      <c r="A22" t="inlineStr">
        <is>
          <t>SY simulado - volume restrito (t)</t>
        </is>
      </c>
      <c r="B22" s="14">
        <f>SUM(Pixels!$Y$2:$Y$301)</f>
        <v>0.7791240247679019</v>
      </c>
    </row>
    <row r="23">
      <c r="A23" t="inlineStr">
        <is>
          <t>SY observado (t) = SYY_t</t>
        </is>
      </c>
      <c r="B23" s="14">
        <f>SY_obs_t</f>
        <v>1821.753506089142</v>
      </c>
    </row>
    <row r="24">
      <c r="A24" t="inlineStr">
        <is>
          <t>Erro % - previsao pura = (sim-obs)/obs*100</t>
        </is>
      </c>
      <c r="B24" s="14">
        <f>(B21-B23)/B23*100</f>
        <v>-99.9737210990284</v>
      </c>
      <c r="C24" t="inlineStr">
        <is>
          <t>negativo = subestima</t>
        </is>
      </c>
    </row>
    <row r="25">
      <c r="A25" t="inlineStr">
        <is>
          <t>Erro % - volume restrito</t>
        </is>
      </c>
      <c r="B25" s="14">
        <f>(B22-B23)/B23*100</f>
        <v>-99.9572321929304</v>
      </c>
    </row>
    <row r="26">
      <c r="A26" s="7" t="inlineStr">
        <is>
          <t>NORMALIZACAO</t>
        </is>
      </c>
    </row>
    <row r="27">
      <c r="A27" t="inlineStr">
        <is>
          <t>SY medio por pixel - previsao pura (t/pixel)</t>
        </is>
      </c>
      <c r="B27" s="13">
        <f>B21/B5</f>
        <v>0.0017930217221421088</v>
      </c>
    </row>
    <row r="28">
      <c r="A28" t="inlineStr">
        <is>
          <t>SY medio por pixel - volume restrito (t/pixel)</t>
        </is>
      </c>
      <c r="B28" s="13">
        <f>B22/B5</f>
        <v>0.0029180675084940146</v>
      </c>
    </row>
    <row r="29">
      <c r="A29" t="inlineStr">
        <is>
          <t>SY medio por hectare - previsao pura (t/ha)</t>
        </is>
      </c>
      <c r="B29" s="11">
        <f>B21/(B5*A_pixel/10000)</f>
        <v>0.01997818455114406</v>
      </c>
      <c r="C29" t="inlineStr">
        <is>
          <t>area dos pixels validos</t>
        </is>
      </c>
    </row>
    <row r="30">
      <c r="A30" t="inlineStr">
        <is>
          <t>SY medio por hectare - volume restrito (t/ha)</t>
        </is>
      </c>
      <c r="B30" s="11">
        <f>B22/(B5*A_pixel/10000)</f>
        <v>0.03251365585674153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9"/>
  <sheetViews>
    <sheetView workbookViewId="0"/>
  </sheetViews>
  <sheetFormatPr defaultRowHeight="15"/>
  <cols>
    <col min="1" max="22" width="14.7109375" customWidth="1"/>
  </cols>
  <sheetData>
    <row r="1">
      <c r="A1" s="1" t="inlineStr">
        <is>
          <t>Calibracao de c (minimos quadrados pela origem, 17 eventos) e metricas</t>
        </is>
      </c>
    </row>
    <row r="2">
      <c r="A2" t="inlineStr">
        <is>
          <t>SY_sim = c * soma(E_unit). c = soma(E*SY_obs)/soma(E^2). SOMA(E_unit) dos eventos 1-10 e 12-17 vem dos rasters ja gerados (E_unit{n}.tif / E_unit{n}_obs.tif); a do evento 11 e a formula sobre a aba Pixels.</t>
        </is>
      </c>
    </row>
    <row r="4">
      <c r="A4" s="2" t="inlineStr">
        <is>
          <t>Evento</t>
        </is>
      </c>
      <c r="B4" s="2" t="inlineStr">
        <is>
          <t>SY_obs (t)</t>
        </is>
      </c>
      <c r="C4" s="2" t="inlineStr">
        <is>
          <t>SOMA E pura (t)</t>
        </is>
      </c>
      <c r="D4" s="2" t="inlineStr">
        <is>
          <t>E*SY</t>
        </is>
      </c>
      <c r="E4" s="2" t="inlineStr">
        <is>
          <t>E^2</t>
        </is>
      </c>
      <c r="F4" s="2" t="inlineStr">
        <is>
          <t>SY_sim (t)</t>
        </is>
      </c>
      <c r="G4" s="2" t="inlineStr">
        <is>
          <t>erro %</t>
        </is>
      </c>
      <c r="H4" s="2" t="inlineStr">
        <is>
          <t>(sim-obs)^2</t>
        </is>
      </c>
      <c r="I4" s="2" t="inlineStr">
        <is>
          <t>(obs-media)^2</t>
        </is>
      </c>
      <c r="J4" s="2" t="inlineStr">
        <is>
          <t>SY_sim LOO (t)</t>
        </is>
      </c>
      <c r="K4" s="2" t="inlineStr">
        <is>
          <t>erro LOO %</t>
        </is>
      </c>
      <c r="L4" s="2" t="inlineStr">
        <is>
          <t>SOMA E restrita (t)</t>
        </is>
      </c>
      <c r="M4" s="2" t="inlineStr">
        <is>
          <t>E*SY</t>
        </is>
      </c>
      <c r="N4" s="2" t="inlineStr">
        <is>
          <t>E^2</t>
        </is>
      </c>
      <c r="O4" s="2" t="inlineStr">
        <is>
          <t>SY_sim (t)</t>
        </is>
      </c>
      <c r="P4" s="2" t="inlineStr">
        <is>
          <t>erro %</t>
        </is>
      </c>
      <c r="Q4" s="2" t="inlineStr">
        <is>
          <t>(sim-obs)^2</t>
        </is>
      </c>
      <c r="R4" s="2" t="inlineStr">
        <is>
          <t>SY_sim LOO (t)</t>
        </is>
      </c>
      <c r="S4" s="2" t="inlineStr">
        <is>
          <t>erro LOO %</t>
        </is>
      </c>
    </row>
    <row r="5">
      <c r="A5">
        <v>1</v>
      </c>
      <c r="B5" s="3">
        <v>266.356596971754</v>
      </c>
      <c r="C5" s="3">
        <v>842.9142041145665</v>
      </c>
      <c r="D5" s="11">
        <f>C5*B5</f>
        <v>224515.7589471104</v>
      </c>
      <c r="E5" s="11">
        <f>C5^2</f>
        <v>710504.3554980931</v>
      </c>
      <c r="F5" s="11">
        <f>$B$22*C5</f>
        <v>89.94379742042912</v>
      </c>
      <c r="G5" s="9">
        <f>(F5-B5)/B5*100</f>
        <v>-66.2318116228346</v>
      </c>
      <c r="H5" s="10">
        <f>(F5-B5)^2</f>
        <v>31121.475845535937</v>
      </c>
      <c r="I5" s="10">
        <f>(B5-AVERAGE($B$5:$B$21))^2</f>
        <v>1291251.0676582106</v>
      </c>
      <c r="J5" s="11">
        <f>(SUM(D$5:D$21)-D5)/(SUM(E$5:E$21)-E5)*C5</f>
        <v>89.90390703251164</v>
      </c>
      <c r="K5" s="9">
        <f>(J5-B5)/B5*100</f>
        <v>-66.24678793217741</v>
      </c>
      <c r="L5" s="3">
        <v>3190.166606779539</v>
      </c>
      <c r="M5" s="11">
        <f>L5*B5</f>
        <v>849721.9211547256</v>
      </c>
      <c r="N5" s="11">
        <f>L5^2</f>
        <v>10177162.979011275</v>
      </c>
      <c r="O5" s="11">
        <f>$L$22*L5</f>
        <v>441.39694103390804</v>
      </c>
      <c r="P5" s="9">
        <f>(O5-B5)/B5*100</f>
        <v>65.71654167841629</v>
      </c>
      <c r="Q5" s="10">
        <f>(O5-B5)^2</f>
        <v>30639.122049397258</v>
      </c>
      <c r="R5" s="11">
        <f>(SUM(M$5:M$21)-M5)/(SUM(N$5:N$21)-N5)*L5</f>
        <v>442.2484406402225</v>
      </c>
      <c r="S5" s="9">
        <f>(R5-B5)/B5*100</f>
        <v>66.03622574706533</v>
      </c>
    </row>
    <row r="6">
      <c r="A6">
        <v>2</v>
      </c>
      <c r="B6" s="3">
        <v>2039.885510542506</v>
      </c>
      <c r="C6" s="3">
        <v>5580.648537629706</v>
      </c>
      <c r="D6" s="11">
        <f>C6*B6</f>
        <v>11383884.091341062</v>
      </c>
      <c r="E6" s="11">
        <f>C6^2</f>
        <v>31143638.100548577</v>
      </c>
      <c r="F6" s="11">
        <f>$B$22*C6</f>
        <v>595.4873213584588</v>
      </c>
      <c r="G6" s="9">
        <f>(F6-B6)/B6*100</f>
        <v>-70.80780669891178</v>
      </c>
      <c r="H6" s="10">
        <f>(F6-B6)^2</f>
        <v>2086286.1289181546</v>
      </c>
      <c r="I6" s="10">
        <f>(B6-AVERAGE($B$5:$B$21))^2</f>
        <v>406019.5402517096</v>
      </c>
      <c r="J6" s="11">
        <f>(SUM(D$5:D$21)-D6)/(SUM(E$5:E$21)-E6)*C6</f>
        <v>581.0311087785703</v>
      </c>
      <c r="K6" s="9">
        <f>(J6-B6)/B6*100</f>
        <v>-71.5164843430823</v>
      </c>
      <c r="L6" s="3">
        <v>13864.30865908844</v>
      </c>
      <c r="M6" s="11">
        <f>L6*B6</f>
        <v>28281602.347363506</v>
      </c>
      <c r="N6" s="11">
        <f>L6^2</f>
        <v>192219054.59447467</v>
      </c>
      <c r="O6" s="11">
        <f>$L$22*L6</f>
        <v>1918.2896023883025</v>
      </c>
      <c r="P6" s="9">
        <f>(O6-B6)/B6*100</f>
        <v>-5.960918273391978</v>
      </c>
      <c r="Q6" s="10">
        <f>(O6-B6)^2</f>
        <v>14785.564879845486</v>
      </c>
      <c r="R6" s="11">
        <f>(SUM(M$5:M$21)-M6)/(SUM(N$5:N$21)-N6)*L6</f>
        <v>1906.0527136303128</v>
      </c>
      <c r="S6" s="9">
        <f>(R6-B6)/B6*100</f>
        <v>-6.560799428228712</v>
      </c>
    </row>
    <row r="7">
      <c r="A7">
        <v>3</v>
      </c>
      <c r="B7" s="3">
        <v>927.775972140902</v>
      </c>
      <c r="C7" s="3">
        <v>13120.26766654263</v>
      </c>
      <c r="D7" s="11">
        <f>C7*B7</f>
        <v>12172669.08907543</v>
      </c>
      <c r="E7" s="11">
        <f>C7^2</f>
        <v>172141423.6417239</v>
      </c>
      <c r="F7" s="11">
        <f>$B$22*C7</f>
        <v>1400.0080807048807</v>
      </c>
      <c r="G7" s="9">
        <f>(F7-B7)/B7*100</f>
        <v>50.89936824665475</v>
      </c>
      <c r="H7" s="10">
        <f>(F7-B7)^2</f>
        <v>223003.1643587814</v>
      </c>
      <c r="I7" s="10">
        <f>(B7-AVERAGE($B$5:$B$21))^2</f>
        <v>225542.274316638</v>
      </c>
      <c r="J7" s="11">
        <f>(SUM(D$5:D$21)-D7)/(SUM(E$5:E$21)-E7)*C7</f>
        <v>1427.3719532032703</v>
      </c>
      <c r="K7" s="9">
        <f>(J7-B7)/B7*100</f>
        <v>53.84877341773778</v>
      </c>
      <c r="L7" s="3">
        <v>8645.820893928945</v>
      </c>
      <c r="M7" s="11">
        <f>L7*B7</f>
        <v>8021384.88482105</v>
      </c>
      <c r="N7" s="11">
        <f>L7^2</f>
        <v>74750218.9298983</v>
      </c>
      <c r="O7" s="11">
        <f>$L$22*L7</f>
        <v>1196.2506557485924</v>
      </c>
      <c r="P7" s="9">
        <f>(O7-B7)/B7*100</f>
        <v>28.937447365463452</v>
      </c>
      <c r="Q7" s="10">
        <f>(O7-B7)^2</f>
        <v>72078.65573824946</v>
      </c>
      <c r="R7" s="11">
        <f>(SUM(M$5:M$21)-M7)/(SUM(N$5:N$21)-N7)*L7</f>
        <v>1206.1487421597117</v>
      </c>
      <c r="S7" s="9">
        <f>(R7-B7)/B7*100</f>
        <v>30.004309054959332</v>
      </c>
    </row>
    <row r="8">
      <c r="A8">
        <v>4</v>
      </c>
      <c r="B8" s="3">
        <v>1379.8615715214</v>
      </c>
      <c r="C8" s="3">
        <v>3151.759389157989</v>
      </c>
      <c r="D8" s="11">
        <f>C8*B8</f>
        <v>4348991.663780871</v>
      </c>
      <c r="E8" s="11">
        <f>C8^2</f>
        <v>9933587.247145541</v>
      </c>
      <c r="F8" s="11">
        <f>$B$22*C8</f>
        <v>336.31086845207756</v>
      </c>
      <c r="G8" s="9">
        <f>(F8-B8)/B8*100</f>
        <v>-75.62720236630187</v>
      </c>
      <c r="H8" s="10">
        <f>(F8-B8)^2</f>
        <v>1088998.0698764774</v>
      </c>
      <c r="I8" s="10">
        <f>(B8-AVERAGE($B$5:$B$21))^2</f>
        <v>521.0862174017877</v>
      </c>
      <c r="J8" s="11">
        <f>(SUM(D$5:D$21)-D8)/(SUM(E$5:E$21)-E8)*C8</f>
        <v>333.0020896611012</v>
      </c>
      <c r="K8" s="9">
        <f>(J8-B8)/B8*100</f>
        <v>-75.8669929988744</v>
      </c>
      <c r="L8" s="3">
        <v>14952.0762252948</v>
      </c>
      <c r="M8" s="11">
        <f>L8*B8</f>
        <v>20631795.39774305</v>
      </c>
      <c r="N8" s="11">
        <f>L8^2</f>
        <v>223564583.44702613</v>
      </c>
      <c r="O8" s="11">
        <f>$L$22*L8</f>
        <v>2068.794994570338</v>
      </c>
      <c r="P8" s="9">
        <f>(O8-B8)/B8*100</f>
        <v>49.927720089294006</v>
      </c>
      <c r="Q8" s="10">
        <f>(O8-B8)^2</f>
        <v>474629.26139392704</v>
      </c>
      <c r="R8" s="11">
        <f>(SUM(M$5:M$21)-M8)/(SUM(N$5:N$21)-N8)*L8</f>
        <v>2150.777681307714</v>
      </c>
      <c r="S8" s="9">
        <f>(R8-B8)/B8*100</f>
        <v>55.86909047233786</v>
      </c>
    </row>
    <row r="9">
      <c r="A9">
        <v>5</v>
      </c>
      <c r="B9" s="3">
        <v>1371.70090641517</v>
      </c>
      <c r="C9" s="3">
        <v>10290.74616192623</v>
      </c>
      <c r="D9" s="11">
        <f>C9*B9</f>
        <v>14115825.838002648</v>
      </c>
      <c r="E9" s="11">
        <f>C9^2</f>
        <v>105899456.56919952</v>
      </c>
      <c r="F9" s="11">
        <f>$B$22*C9</f>
        <v>1098.0818493450709</v>
      </c>
      <c r="G9" s="9">
        <f>(F9-B9)/B9*100</f>
        <v>-19.947428465668988</v>
      </c>
      <c r="H9" s="10">
        <f>(F9-B9)^2</f>
        <v>74867.3883919302</v>
      </c>
      <c r="I9" s="10">
        <f>(B9-AVERAGE($B$5:$B$21))^2</f>
        <v>960.2547852141647</v>
      </c>
      <c r="J9" s="11">
        <f>(SUM(D$5:D$21)-D9)/(SUM(E$5:E$21)-E9)*C9</f>
        <v>1088.5407343375457</v>
      </c>
      <c r="K9" s="9">
        <f>(J9-B9)/B9*100</f>
        <v>-20.642996644045432</v>
      </c>
      <c r="L9" s="3">
        <v>13754.37661063588</v>
      </c>
      <c r="M9" s="11">
        <f>L9*B9</f>
        <v>18866890.863984857</v>
      </c>
      <c r="N9" s="11">
        <f>L9^2</f>
        <v>189182875.94720745</v>
      </c>
      <c r="O9" s="11">
        <f>$L$22*L9</f>
        <v>1903.0792150043237</v>
      </c>
      <c r="P9" s="9">
        <f>(O9-B9)/B9*100</f>
        <v>38.738642374879525</v>
      </c>
      <c r="Q9" s="10">
        <f>(O9-B9)^2</f>
        <v>282362.90683906985</v>
      </c>
      <c r="R9" s="11">
        <f>(SUM(M$5:M$21)-M9)/(SUM(N$5:N$21)-N9)*L9</f>
        <v>1955.6266426964837</v>
      </c>
      <c r="S9" s="9">
        <f>(R9-B9)/B9*100</f>
        <v>42.569464928572266</v>
      </c>
    </row>
    <row r="10">
      <c r="A10">
        <v>6</v>
      </c>
      <c r="B10" s="3">
        <v>198.5585811262063</v>
      </c>
      <c r="C10" s="3">
        <v>3165.930673486924</v>
      </c>
      <c r="D10" s="11">
        <f>C10*B10</f>
        <v>628622.7024714983</v>
      </c>
      <c r="E10" s="11">
        <f>C10^2</f>
        <v>10023117.029325366</v>
      </c>
      <c r="F10" s="11">
        <f>$B$22*C10</f>
        <v>337.82302606034557</v>
      </c>
      <c r="G10" s="9">
        <f>(F10-B10)/B10*100</f>
        <v>70.1377115732012</v>
      </c>
      <c r="H10" s="10">
        <f>(F10-B10)^2</f>
        <v>19394.585622813913</v>
      </c>
      <c r="I10" s="10">
        <f>(B10-AVERAGE($B$5:$B$21))^2</f>
        <v>1449929.787480848</v>
      </c>
      <c r="J10" s="11">
        <f>(SUM(D$5:D$21)-D10)/(SUM(E$5:E$21)-E10)*C10</f>
        <v>338.26858332842704</v>
      </c>
      <c r="K10" s="9">
        <f>(J10-B10)/B10*100</f>
        <v>70.36210744949841</v>
      </c>
      <c r="L10" s="3">
        <v>2453.322635281992</v>
      </c>
      <c r="M10" s="11">
        <f>L10*B10</f>
        <v>487128.2615063976</v>
      </c>
      <c r="N10" s="11">
        <f>L10^2</f>
        <v>6018791.952786978</v>
      </c>
      <c r="O10" s="11">
        <f>$L$22*L10</f>
        <v>339.44594125003704</v>
      </c>
      <c r="P10" s="9">
        <f>(O10-B10)/B10*100</f>
        <v>70.95505987438588</v>
      </c>
      <c r="Q10" s="10">
        <f>(O10-B10)^2</f>
        <v>19849.248242661975</v>
      </c>
      <c r="R10" s="11">
        <f>(SUM(M$5:M$21)-M10)/(SUM(N$5:N$21)-N10)*L10</f>
        <v>339.8504599032131</v>
      </c>
      <c r="S10" s="9">
        <f>(R10-B10)/B10*100</f>
        <v>71.15878748508983</v>
      </c>
    </row>
    <row r="11">
      <c r="A11">
        <v>7</v>
      </c>
      <c r="B11" s="3">
        <v>1316.556161297211</v>
      </c>
      <c r="C11" s="3">
        <v>1989.165643551656</v>
      </c>
      <c r="D11" s="11">
        <f>C11*B11</f>
        <v>2618848.283858665</v>
      </c>
      <c r="E11" s="11">
        <f>C11^2</f>
        <v>3956779.957486274</v>
      </c>
      <c r="F11" s="11">
        <f>$B$22*C11</f>
        <v>212.25542386870293</v>
      </c>
      <c r="G11" s="9">
        <f>(F11-B11)/B11*100</f>
        <v>-83.87798180522991</v>
      </c>
      <c r="H11" s="10">
        <f>(F11-B11)^2</f>
        <v>1219480.1186851466</v>
      </c>
      <c r="I11" s="10">
        <f>(B11-AVERAGE($B$5:$B$21))^2</f>
        <v>7418.846004739089</v>
      </c>
      <c r="J11" s="11">
        <f>(SUM(D$5:D$21)-D11)/(SUM(E$5:E$21)-E11)*C11</f>
        <v>210.86339064422978</v>
      </c>
      <c r="K11" s="9">
        <f>(J11-B11)/B11*100</f>
        <v>-83.98371472156076</v>
      </c>
      <c r="L11" s="3">
        <v>7638.53166457633</v>
      </c>
      <c r="M11" s="11">
        <f>L11*B11</f>
        <v>10056555.926261809</v>
      </c>
      <c r="N11" s="11">
        <f>L11^2</f>
        <v>58347165.99073523</v>
      </c>
      <c r="O11" s="11">
        <f>$L$22*L11</f>
        <v>1056.880384732721</v>
      </c>
      <c r="P11" s="9">
        <f>(O11-B11)/B11*100</f>
        <v>-19.723866265502096</v>
      </c>
      <c r="Q11" s="10">
        <f>(O11-B11)^2</f>
        <v>67431.50893437093</v>
      </c>
      <c r="R11" s="11">
        <f>(SUM(M$5:M$21)-M11)/(SUM(N$5:N$21)-N11)*L11</f>
        <v>1049.4675001449714</v>
      </c>
      <c r="S11" s="9">
        <f>(R11-B11)/B11*100</f>
        <v>-20.28691741407184</v>
      </c>
    </row>
    <row r="12">
      <c r="A12">
        <v>8</v>
      </c>
      <c r="B12" s="3">
        <v>2108.502321472945</v>
      </c>
      <c r="C12" s="3">
        <v>14634.44300214534</v>
      </c>
      <c r="D12" s="11">
        <f>C12*B12</f>
        <v>30856757.043486953</v>
      </c>
      <c r="E12" s="11">
        <f>C12^2</f>
        <v>214166921.98304084</v>
      </c>
      <c r="F12" s="11">
        <f>$B$22*C12</f>
        <v>1561.579304655866</v>
      </c>
      <c r="G12" s="9">
        <f>(F12-B12)/B12*100</f>
        <v>-25.938933585570474</v>
      </c>
      <c r="H12" s="10">
        <f>(F12-B12)^2</f>
        <v>299124.78632429475</v>
      </c>
      <c r="I12" s="10">
        <f>(B12-AVERAGE($B$5:$B$21))^2</f>
        <v>498172.60782458377</v>
      </c>
      <c r="J12" s="11">
        <f>(SUM(D$5:D$21)-D12)/(SUM(E$5:E$21)-E12)*C12</f>
        <v>1521.584564861056</v>
      </c>
      <c r="K12" s="9">
        <f>(J12-B12)/B12*100</f>
        <v>-27.835765255495833</v>
      </c>
      <c r="L12" s="3">
        <v>15048.69739699891</v>
      </c>
      <c r="M12" s="11">
        <f>L12*B12</f>
        <v>31730213.396716073</v>
      </c>
      <c r="N12" s="11">
        <f>L12^2</f>
        <v>226463293.3464419</v>
      </c>
      <c r="O12" s="11">
        <f>$L$22*L12</f>
        <v>2082.1636661433754</v>
      </c>
      <c r="P12" s="9">
        <f>(O12-B12)/B12*100</f>
        <v>-1.249164160804434</v>
      </c>
      <c r="Q12" s="10">
        <f>(O12-B12)^2</f>
        <v>693.7247645698609</v>
      </c>
      <c r="R12" s="11">
        <f>(SUM(M$5:M$21)-M12)/(SUM(N$5:N$21)-N12)*L12</f>
        <v>2078.9838360919575</v>
      </c>
      <c r="S12" s="9">
        <f>(R12-B12)/B12*100</f>
        <v>-1.3999740517414532</v>
      </c>
    </row>
    <row r="13">
      <c r="A13">
        <v>9</v>
      </c>
      <c r="B13" s="3">
        <v>1154.553334353747</v>
      </c>
      <c r="C13" s="3">
        <v>14906.42238133546</v>
      </c>
      <c r="D13" s="11">
        <f>C13*B13</f>
        <v>17210259.66365618</v>
      </c>
      <c r="E13" s="11">
        <f>C13^2</f>
        <v>222201428.21077877</v>
      </c>
      <c r="F13" s="11">
        <f>$B$22*C13</f>
        <v>1590.6010699375495</v>
      </c>
      <c r="G13" s="9">
        <f>(F13-B13)/B13*100</f>
        <v>37.767656340265745</v>
      </c>
      <c r="H13" s="10">
        <f>(F13-B13)^2</f>
        <v>190137.6277077617</v>
      </c>
      <c r="I13" s="10">
        <f>(B13-AVERAGE($B$5:$B$21))^2</f>
        <v>61571.25124180546</v>
      </c>
      <c r="J13" s="11">
        <f>(SUM(D$5:D$21)-D13)/(SUM(E$5:E$21)-E13)*C13</f>
        <v>1623.7750994505443</v>
      </c>
      <c r="K13" s="9">
        <f>(J13-B13)/B13*100</f>
        <v>40.64097786867861</v>
      </c>
      <c r="L13" s="3">
        <v>7659.403853050337</v>
      </c>
      <c r="M13" s="11">
        <f>L13*B13</f>
        <v>8843190.257701203</v>
      </c>
      <c r="N13" s="11">
        <f>L13^2</f>
        <v>58666467.38412234</v>
      </c>
      <c r="O13" s="11">
        <f>$L$22*L13</f>
        <v>1059.7682966447608</v>
      </c>
      <c r="P13" s="9">
        <f>(O13-B13)/B13*100</f>
        <v>-8.209671644319618</v>
      </c>
      <c r="Q13" s="10">
        <f>(O13-B13)^2</f>
        <v>8984.203373493943</v>
      </c>
      <c r="R13" s="11">
        <f>(SUM(M$5:M$21)-M13)/(SUM(N$5:N$21)-N13)*L13</f>
        <v>1057.0472648978016</v>
      </c>
      <c r="S13" s="9">
        <f>(R13-B13)/B13*100</f>
        <v>-8.445349950898867</v>
      </c>
    </row>
    <row r="14">
      <c r="A14">
        <v>10</v>
      </c>
      <c r="B14" s="3">
        <v>847.3217734505544</v>
      </c>
      <c r="C14" s="3">
        <v>916.937996938145</v>
      </c>
      <c r="D14" s="11">
        <f>C14*B14</f>
        <v>776941.5297098281</v>
      </c>
      <c r="E14" s="11">
        <f>C14^2</f>
        <v>840775.2902289376</v>
      </c>
      <c r="F14" s="11">
        <f>$B$22*C14</f>
        <v>97.84256219804917</v>
      </c>
      <c r="G14" s="9">
        <f>(F14-B14)/B14*100</f>
        <v>-88.45272654807343</v>
      </c>
      <c r="H14" s="10">
        <f>(F14-B14)^2</f>
        <v>561719.0880996772</v>
      </c>
      <c r="I14" s="10">
        <f>(B14-AVERAGE($B$5:$B$21))^2</f>
        <v>308432.6280251606</v>
      </c>
      <c r="J14" s="11">
        <f>(SUM(D$5:D$21)-D14)/(SUM(E$5:E$21)-E14)*C14</f>
        <v>97.64200929189663</v>
      </c>
      <c r="K14" s="9">
        <f>(J14-B14)/B14*100</f>
        <v>-88.47639558531955</v>
      </c>
      <c r="L14" s="3">
        <v>7743.182398988578</v>
      </c>
      <c r="M14" s="11">
        <f>L14*B14</f>
        <v>6560967.04246212</v>
      </c>
      <c r="N14" s="11">
        <f>L14^2</f>
        <v>59956873.66400651</v>
      </c>
      <c r="O14" s="11">
        <f>$L$22*L14</f>
        <v>1071.3600404185252</v>
      </c>
      <c r="P14" s="9">
        <f>(O14-B14)/B14*100</f>
        <v>26.44075414887761</v>
      </c>
      <c r="Q14" s="10">
        <f>(O14-B14)^2</f>
        <v>50193.145066011755</v>
      </c>
      <c r="R14" s="11">
        <f>(SUM(M$5:M$21)-M14)/(SUM(N$5:N$21)-N14)*L14</f>
        <v>1077.9372152173726</v>
      </c>
      <c r="S14" s="9">
        <f>(R14-B14)/B14*100</f>
        <v>27.216985210669296</v>
      </c>
    </row>
    <row r="15">
      <c r="A15" s="15">
        <v>11</v>
      </c>
      <c r="B15" s="3">
        <v>1821.753506089142</v>
      </c>
      <c r="C15" s="16">
        <f>Resumo!B16</f>
        <v>4.486513357975955</v>
      </c>
      <c r="D15" s="11">
        <f>C15*B15</f>
        <v>8173.321440008466</v>
      </c>
      <c r="E15" s="11">
        <f>C15^2</f>
        <v>20.12880211129668</v>
      </c>
      <c r="F15" s="16">
        <f>$B$22*C15</f>
        <v>0.47873679981194306</v>
      </c>
      <c r="G15" s="17">
        <f>(F15-B15)/B15*100</f>
        <v>-99.9737210990284</v>
      </c>
      <c r="H15" s="10">
        <f>(F15-B15)^2</f>
        <v>3317041.785249903</v>
      </c>
      <c r="I15" s="10">
        <f>(B15-AVERAGE($B$5:$B$21))^2</f>
        <v>175615.1570753827</v>
      </c>
      <c r="J15" s="11">
        <f>(SUM(D$5:D$21)-D15)/(SUM(E$5:E$21)-E15)*C15</f>
        <v>0.47872513529828387</v>
      </c>
      <c r="K15" s="9">
        <f>(J15-B15)/B15*100</f>
        <v>-99.97372173931885</v>
      </c>
      <c r="L15" s="16">
        <f>Resumo!B17</f>
        <v>5.631066315349241</v>
      </c>
      <c r="M15" s="11">
        <f>L15*B15</f>
        <v>10258.414803007945</v>
      </c>
      <c r="N15" s="11">
        <f>L15^2</f>
        <v>31.708907847860875</v>
      </c>
      <c r="O15" s="16">
        <f>$L$22*L15</f>
        <v>0.7791240247679019</v>
      </c>
      <c r="P15" s="17">
        <f>(O15-B15)/B15*100</f>
        <v>-99.9572321929304</v>
      </c>
      <c r="Q15" s="10">
        <f>(O15-B15)^2</f>
        <v>3315947.700134729</v>
      </c>
      <c r="R15" s="11">
        <f>(SUM(M$5:M$21)-M15)/(SUM(N$5:N$21)-N15)*L15</f>
        <v>0.7790965586583853</v>
      </c>
      <c r="S15" s="9">
        <f>(R15-B15)/B15*100</f>
        <v>-99.9572337006047</v>
      </c>
    </row>
    <row r="16">
      <c r="A16">
        <v>12</v>
      </c>
      <c r="B16" s="3">
        <v>210.7012060187048</v>
      </c>
      <c r="C16" s="3">
        <v>1702.198712432513</v>
      </c>
      <c r="D16" s="11">
        <f>C16*B16</f>
        <v>358655.321593017</v>
      </c>
      <c r="E16" s="11">
        <f>C16^2</f>
        <v>2897480.456606906</v>
      </c>
      <c r="F16" s="11">
        <f>$B$22*C16</f>
        <v>181.63440052735908</v>
      </c>
      <c r="G16" s="9">
        <f>(F16-B16)/B16*100</f>
        <v>-13.795272481148183</v>
      </c>
      <c r="H16" s="10">
        <f>(F16-B16)^2</f>
        <v>844.8791814717256</v>
      </c>
      <c r="I16" s="10">
        <f>(B16-AVERAGE($B$5:$B$21))^2</f>
        <v>1420834.6256292348</v>
      </c>
      <c r="J16" s="11">
        <f>(SUM(D$5:D$21)-D16)/(SUM(E$5:E$21)-E16)*C16</f>
        <v>181.60757849874835</v>
      </c>
      <c r="K16" s="9">
        <f>(J16-B16)/B16*100</f>
        <v>-13.80800236965596</v>
      </c>
      <c r="L16" s="3">
        <v>1751.047644507943</v>
      </c>
      <c r="M16" s="11">
        <f>L16*B16</f>
        <v>368947.85049403575</v>
      </c>
      <c r="N16" s="11">
        <f>L16^2</f>
        <v>3066167.853336814</v>
      </c>
      <c r="O16" s="11">
        <f>$L$22*L16</f>
        <v>242.27796512191654</v>
      </c>
      <c r="P16" s="9">
        <f>(O16-B16)/B16*100</f>
        <v>14.986510851014561</v>
      </c>
      <c r="Q16" s="10">
        <f>(O16-B16)^2</f>
        <v>997.0917154622656</v>
      </c>
      <c r="R16" s="11">
        <f>(SUM(M$5:M$21)-M16)/(SUM(N$5:N$21)-N16)*L16</f>
        <v>242.32408725493553</v>
      </c>
      <c r="S16" s="9">
        <f>(R16-B16)/B16*100</f>
        <v>15.0084006796921</v>
      </c>
    </row>
    <row r="17">
      <c r="A17">
        <v>13</v>
      </c>
      <c r="B17" s="3">
        <v>1196.490406908975</v>
      </c>
      <c r="C17" s="3">
        <v>13851.63645086249</v>
      </c>
      <c r="D17" s="11">
        <f>C17*B17</f>
        <v>16573350.133447653</v>
      </c>
      <c r="E17" s="11">
        <f>C17^2</f>
        <v>191867832.36686242</v>
      </c>
      <c r="F17" s="11">
        <f>$B$22*C17</f>
        <v>1478.0493397741732</v>
      </c>
      <c r="G17" s="9">
        <f>(F17-B17)/B17*100</f>
        <v>23.532067724017967</v>
      </c>
      <c r="H17" s="10">
        <f>(F17-B17)^2</f>
        <v>79275.43267618914</v>
      </c>
      <c r="I17" s="10">
        <f>(B17-AVERAGE($B$5:$B$21))^2</f>
        <v>42517.812157051994</v>
      </c>
      <c r="J17" s="11">
        <f>(SUM(D$5:D$21)-D17)/(SUM(E$5:E$21)-E17)*C17</f>
        <v>1496.3556820235497</v>
      </c>
      <c r="K17" s="9">
        <f>(J17-B17)/B17*100</f>
        <v>25.06207098552921</v>
      </c>
      <c r="L17" s="3">
        <v>7461.55875270522</v>
      </c>
      <c r="M17" s="11">
        <f>L17*B17</f>
        <v>8927683.468199493</v>
      </c>
      <c r="N17" s="11">
        <f>L17^2</f>
        <v>55674859.02007188</v>
      </c>
      <c r="O17" s="11">
        <f>$L$22*L17</f>
        <v>1032.394108128933</v>
      </c>
      <c r="P17" s="9">
        <f>(O17-B17)/B17*100</f>
        <v>-13.714802712373592</v>
      </c>
      <c r="Q17" s="10">
        <f>(O17-B17)^2</f>
        <v>26927.59527330879</v>
      </c>
      <c r="R17" s="11">
        <f>(SUM(M$5:M$21)-M17)/(SUM(N$5:N$21)-N17)*L17</f>
        <v>1027.9300843367541</v>
      </c>
      <c r="S17" s="9">
        <f>(R17-B17)/B17*100</f>
        <v>-14.087895866017119</v>
      </c>
    </row>
    <row r="18">
      <c r="A18">
        <v>14</v>
      </c>
      <c r="B18" s="3">
        <v>1731.22851952016</v>
      </c>
      <c r="C18" s="3">
        <v>16718.94379868203</v>
      </c>
      <c r="D18" s="11">
        <f>C18*B18</f>
        <v>28944312.320533045</v>
      </c>
      <c r="E18" s="11">
        <f>C18^2</f>
        <v>279523081.7434882</v>
      </c>
      <c r="F18" s="11">
        <f>$B$22*C18</f>
        <v>1784.0075381002935</v>
      </c>
      <c r="G18" s="9">
        <f>(F18-B18)/B18*100</f>
        <v>3.048645397475432</v>
      </c>
      <c r="H18" s="10">
        <f>(F18-B18)^2</f>
        <v>2785.624802282069</v>
      </c>
      <c r="I18" s="10">
        <f>(B18-AVERAGE($B$5:$B$21))^2</f>
        <v>107938.29178524161</v>
      </c>
      <c r="J18" s="11">
        <f>(SUM(D$5:D$21)-D18)/(SUM(E$5:E$21)-E18)*C18</f>
        <v>1789.1598794917484</v>
      </c>
      <c r="K18" s="9">
        <f>(J18-B18)/B18*100</f>
        <v>3.3462572571092473</v>
      </c>
      <c r="L18" s="3">
        <v>11525.47180134803</v>
      </c>
      <c r="M18" s="11">
        <f>L18*B18</f>
        <v>19953225.4834191</v>
      </c>
      <c r="N18" s="11">
        <f>L18^2</f>
        <v>132836500.24366857</v>
      </c>
      <c r="O18" s="11">
        <f>$L$22*L18</f>
        <v>1594.6841103146035</v>
      </c>
      <c r="P18" s="9">
        <f>(O18-B18)/B18*100</f>
        <v>-7.8871395466268215</v>
      </c>
      <c r="Q18" s="10">
        <f>(O18-B18)^2</f>
        <v>18644.375685294483</v>
      </c>
      <c r="R18" s="11">
        <f>(SUM(M$5:M$21)-M18)/(SUM(N$5:N$21)-N18)*L18</f>
        <v>1585.474302340035</v>
      </c>
      <c r="S18" s="9">
        <f>(R18-B18)/B18*100</f>
        <v>-8.419120615025648</v>
      </c>
    </row>
    <row r="19">
      <c r="A19">
        <v>15</v>
      </c>
      <c r="B19" s="3">
        <v>3828.831861169188</v>
      </c>
      <c r="C19" s="3">
        <v>39972.68540983042</v>
      </c>
      <c r="D19" s="11">
        <f>C19*B19</f>
        <v>153048691.47365144</v>
      </c>
      <c r="E19" s="11">
        <f>C19^2</f>
        <v>1597815578.8732696</v>
      </c>
      <c r="F19" s="11">
        <f>$B$22*C19</f>
        <v>4265.315617298184</v>
      </c>
      <c r="G19" s="9">
        <f>(F19-B19)/B19*100</f>
        <v>11.399919661024498</v>
      </c>
      <c r="H19" s="10">
        <f>(F19-B19)^2</f>
        <v>190518.06936447724</v>
      </c>
      <c r="I19" s="10">
        <f>(B19-AVERAGE($B$5:$B$21))^2</f>
        <v>5886169.743285991</v>
      </c>
      <c r="J19" s="11">
        <f>(SUM(D$5:D$21)-D19)/(SUM(E$5:E$21)-E19)*C19</f>
        <v>4716.70385969532</v>
      </c>
      <c r="K19" s="9">
        <f>(J19-B19)/B19*100</f>
        <v>23.18910912570101</v>
      </c>
      <c r="L19" s="3">
        <v>24968.83257991281</v>
      </c>
      <c r="M19" s="11">
        <f>L19*B19</f>
        <v>95601461.7181694</v>
      </c>
      <c r="N19" s="11">
        <f>L19^2</f>
        <v>623442600.4037153</v>
      </c>
      <c r="O19" s="11">
        <f>$L$22*L19</f>
        <v>3454.7306396286062</v>
      </c>
      <c r="P19" s="9">
        <f>(O19-B19)/B19*100</f>
        <v>-9.770635930362966</v>
      </c>
      <c r="Q19" s="10">
        <f>(O19-B19)^2</f>
        <v>139951.7239581554</v>
      </c>
      <c r="R19" s="11">
        <f>(SUM(M$5:M$21)-M19)/(SUM(N$5:N$21)-N19)*L19</f>
        <v>3297.017149421734</v>
      </c>
      <c r="S19" s="9">
        <f>(R19-B19)/B19*100</f>
        <v>-13.889737941771541</v>
      </c>
    </row>
    <row r="20">
      <c r="A20">
        <v>16</v>
      </c>
      <c r="B20" s="3">
        <v>1736.072419972066</v>
      </c>
      <c r="C20" s="3">
        <v>13110.51641438784</v>
      </c>
      <c r="D20" s="11">
        <f>C20*B20</f>
        <v>22760805.958609782</v>
      </c>
      <c r="E20" s="11">
        <f>C20^2</f>
        <v>171885640.65193287</v>
      </c>
      <c r="F20" s="11">
        <f>$B$22*C20</f>
        <v>1398.967565971442</v>
      </c>
      <c r="G20" s="9">
        <f>(F20-B20)/B20*100</f>
        <v>-19.41767233454744</v>
      </c>
      <c r="H20" s="10">
        <f>(F20-B20)^2</f>
        <v>113639.68259078207</v>
      </c>
      <c r="I20" s="10">
        <f>(B20-AVERAGE($B$5:$B$21))^2</f>
        <v>111144.58173000529</v>
      </c>
      <c r="J20" s="11">
        <f>(SUM(D$5:D$21)-D20)/(SUM(E$5:E$21)-E20)*C20</f>
        <v>1379.4644561340313</v>
      </c>
      <c r="K20" s="9">
        <f>(J20-B20)/B20*100</f>
        <v>-20.541076497475412</v>
      </c>
      <c r="L20" s="3">
        <v>12308.81641936293</v>
      </c>
      <c r="M20" s="11">
        <f>L20*B20</f>
        <v>21368996.708155304</v>
      </c>
      <c r="N20" s="11">
        <f>L20^2</f>
        <v>151506961.64557847</v>
      </c>
      <c r="O20" s="11">
        <f>$L$22*L20</f>
        <v>1703.0690195642812</v>
      </c>
      <c r="P20" s="9">
        <f>(O20-B20)/B20*100</f>
        <v>-1.9010382302090703</v>
      </c>
      <c r="Q20" s="10">
        <f>(O20-B20)^2</f>
        <v>1089.2244384765659</v>
      </c>
      <c r="R20" s="11">
        <f>(SUM(M$5:M$21)-M20)/(SUM(N$5:N$21)-N20)*L20</f>
        <v>1700.5057911269073</v>
      </c>
      <c r="S20" s="9">
        <f>(R20-B20)/B20*100</f>
        <v>-2.0486834786380026</v>
      </c>
    </row>
    <row r="21">
      <c r="A21">
        <v>17</v>
      </c>
      <c r="B21" s="3">
        <v>1709.560387372542</v>
      </c>
      <c r="C21" s="3">
        <v>11307.75273978076</v>
      </c>
      <c r="D21" s="11">
        <f>C21*B21</f>
        <v>19331286.15413251</v>
      </c>
      <c r="E21" s="11">
        <f>C21^2</f>
        <v>127865272.02401918</v>
      </c>
      <c r="F21" s="11">
        <f>$B$22*C21</f>
        <v>1206.6023051248837</v>
      </c>
      <c r="G21" s="9">
        <f>(F21-B21)/B21*100</f>
        <v>-29.42031682312578</v>
      </c>
      <c r="H21" s="10">
        <f>(F21-B21)^2</f>
        <v>252966.83249824215</v>
      </c>
      <c r="I21" s="10">
        <f>(B21-AVERAGE($B$5:$B$21))^2</f>
        <v>94170.11928091441</v>
      </c>
      <c r="J21" s="11">
        <f>(SUM(D$5:D$21)-D21)/(SUM(E$5:E$21)-E21)*C21</f>
        <v>1185.2720507286244</v>
      </c>
      <c r="K21" s="9">
        <f>(J21-B21)/B21*100</f>
        <v>-30.668020885164925</v>
      </c>
      <c r="L21" s="3">
        <v>6032.736020709297</v>
      </c>
      <c r="M21" s="11">
        <f>L21*B21</f>
        <v>10313326.528480073</v>
      </c>
      <c r="N21" s="11">
        <f>L21^2</f>
        <v>36393903.895563446</v>
      </c>
      <c r="O21" s="11">
        <f>$L$22*L21</f>
        <v>834.6997363546078</v>
      </c>
      <c r="P21" s="9">
        <f>(O21-B21)/B21*100</f>
        <v>-51.17459771997439</v>
      </c>
      <c r="Q21" s="10">
        <f>(O21-B21)^2</f>
        <v>765381.1586995237</v>
      </c>
      <c r="R21" s="11">
        <f>(SUM(M$5:M$21)-M21)/(SUM(N$5:N$21)-N21)*L21</f>
        <v>819.2875667452296</v>
      </c>
      <c r="S21" s="9">
        <f>(R21-B21)/B21*100</f>
        <v>-52.07612595631037</v>
      </c>
    </row>
    <row r="22">
      <c r="A22" s="7" t="inlineStr">
        <is>
          <t>c</t>
        </is>
      </c>
      <c r="B22" s="5">
        <f>SUM(D5:D21)/SUM(E5:E21)</f>
        <v>0.10670575603232357</v>
      </c>
      <c r="L22" s="5">
        <f>SUM(M5:M21)/SUM(N5:N21)</f>
        <v>0.13836172070006608</v>
      </c>
    </row>
    <row r="23">
      <c r="A23" s="7" t="inlineStr">
        <is>
          <t>NSE (in-sample)</t>
        </is>
      </c>
      <c r="B23" s="5">
        <f>1-SUM(H5:H21)/SUM(I5:I21)</f>
        <v>0.19332928509982328</v>
      </c>
      <c r="L23" s="5">
        <f>1-SUM(Q5:Q21)/SUM(I5:I21)</f>
        <v>0.5623350062964634</v>
      </c>
    </row>
    <row r="24">
      <c r="A24" s="7" t="inlineStr">
        <is>
          <t>NSE (leave-one-out)</t>
        </is>
      </c>
      <c r="B24" s="5">
        <f>1-SUMXMY2(B5:B21,J5:J21)/SUM(I5:I21)</f>
        <v>0.12680645554150183</v>
      </c>
      <c r="L24" s="5">
        <f>1-SUMXMY2(B5:B21,R5:R21)/SUM(I5:I21)</f>
        <v>0.5317945438840228</v>
      </c>
    </row>
    <row r="25">
      <c r="A25" s="7" t="inlineStr">
        <is>
          <t>PBIAS % (sim-obs)</t>
        </is>
      </c>
      <c r="B25" s="5">
        <f>(SUM(F5:F21)-SUM(B5:B21))/SUM(B5:B21)*100</f>
        <v>-26.045447834538688</v>
      </c>
      <c r="L25" s="5">
        <f>(SUM(O5:O21)-SUM(B5:B21))/SUM(B5:B21)*100</f>
        <v>-7.7399520293508095</v>
      </c>
    </row>
    <row r="26">
      <c r="A26" s="7" t="inlineStr">
        <is>
          <t>Erro medio %</t>
        </is>
      </c>
      <c r="B26" s="5">
        <f>AVERAGE(G5:G21)</f>
        <v>-23.335617934576547</v>
      </c>
      <c r="L26" s="5">
        <f>AVERAGE(P5:P21)</f>
        <v>4.479624100343291</v>
      </c>
    </row>
    <row r="27">
      <c r="A27" s="7" t="inlineStr">
        <is>
          <t>Erro abs. medio %</t>
        </is>
      </c>
      <c r="B27" s="5">
        <f>SUMPRODUCT(ABS(G5:G21))/17</f>
        <v>46.48683781018119</v>
      </c>
      <c r="L27" s="5">
        <f>SUMPRODUCT(ABS(P5:P21))/17</f>
        <v>30.308926062283916</v>
      </c>
    </row>
    <row r="29">
      <c r="A29" t="inlineStr">
        <is>
          <t>Nota: o evento 11 (linha amarela) participa da calibracao de c junto com os outros 16; por isso o erro dele (-58,8% / -33,2%) e 'in-sample'. Com leave-one-out, c e recalculado sem o evento 11 (colunas J e R).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1" width="56.7109375" customWidth="1"/>
    <col min="2" max="4" width="22.7109375" customWidth="1"/>
    <col min="5" max="5" width="60.7109375" customWidth="1"/>
  </cols>
  <sheetData>
    <row r="1">
      <c r="A1" s="1" t="inlineStr">
        <is>
          <t>Conferencia: Excel (formulas desta planilha) x rasters do QGIS/projeto</t>
        </is>
      </c>
    </row>
    <row r="3">
      <c r="A3" s="2" t="inlineStr">
        <is>
          <t>Grandeza</t>
        </is>
      </c>
      <c r="B3" s="2" t="inlineStr">
        <is>
          <t>Raster do projeto (soma)</t>
        </is>
      </c>
      <c r="C3" s="2" t="inlineStr">
        <is>
          <t>Esta planilha (soma)</t>
        </is>
      </c>
      <c r="D3" s="2" t="inlineStr">
        <is>
          <t>Diferenca</t>
        </is>
      </c>
      <c r="E3" s="2" t="inlineStr">
        <is>
          <t>Raster</t>
        </is>
      </c>
    </row>
    <row r="4">
      <c r="A4" t="inlineStr">
        <is>
          <t>Chuva IDW (mm) - soma nos pixels da tabela</t>
        </is>
      </c>
      <c r="B4" t="inlineStr">
        <is>
          <t>n/a</t>
        </is>
      </c>
      <c r="C4" s="11">
        <f>SUM(Pixels!$H$2:$H$301)</f>
        <v>23531.427601006864</v>
      </c>
      <c r="E4" t="inlineStr">
        <is>
          <t>ChuvaIDW11.tif (so os pixels da tabela)</t>
        </is>
      </c>
    </row>
    <row r="5">
      <c r="A5" t="inlineStr">
        <is>
          <t>Q (mm) - soma</t>
        </is>
      </c>
      <c r="B5" s="4">
        <v>2226683.228620291</v>
      </c>
      <c r="C5" s="11">
        <f>SUM(Pixels!$R$2:$R$301)</f>
        <v>6200.721113086994</v>
      </c>
      <c r="D5" s="12">
        <f>C5-B5</f>
        <v>-2220482.5075072036</v>
      </c>
      <c r="E5" t="inlineStr">
        <is>
          <t>Q11_CN1.tif</t>
        </is>
      </c>
    </row>
    <row r="6">
      <c r="A6" t="inlineStr">
        <is>
          <t>pr (m3/s) - soma</t>
        </is>
      </c>
      <c r="B6" s="4">
        <v>88.47147081234289</v>
      </c>
      <c r="C6" s="11">
        <f>SUM(Pixels!$S$2:$S$301)</f>
        <v>0.24636953737393202</v>
      </c>
      <c r="D6" s="12">
        <f>C6-B6</f>
        <v>-88.22510127496895</v>
      </c>
      <c r="E6" t="inlineStr">
        <is>
          <t>pr11.tif</t>
        </is>
      </c>
    </row>
    <row r="7">
      <c r="A7" t="inlineStr">
        <is>
          <t>E_unit (t) - soma</t>
        </is>
      </c>
      <c r="B7" s="4">
        <v>6881.898294061932</v>
      </c>
      <c r="C7" s="11">
        <f>SUM(Pixels!$T$2:$T$301)</f>
        <v>4.486513357975955</v>
      </c>
      <c r="D7" s="12">
        <f>C7-B7</f>
        <v>-6877.411780703956</v>
      </c>
      <c r="E7" t="inlineStr">
        <is>
          <t>E_unit11.tif</t>
        </is>
      </c>
    </row>
    <row r="8">
      <c r="A8" t="inlineStr">
        <is>
          <t>SY previsao pura (t) - soma</t>
        </is>
      </c>
      <c r="B8" s="4">
        <v>750.4637309603222</v>
      </c>
      <c r="C8" s="11">
        <f>SUM(Pixels!$U$2:$U$301)</f>
        <v>0.47873679981194306</v>
      </c>
      <c r="D8" s="12">
        <f>C8-B8</f>
        <v>-749.9849941605103</v>
      </c>
      <c r="E8" t="inlineStr">
        <is>
          <t>SY11.tif</t>
        </is>
      </c>
    </row>
    <row r="9">
      <c r="A9" t="inlineStr">
        <is>
          <t>Q volume restrito (mm) - soma</t>
        </is>
      </c>
      <c r="B9" s="4">
        <v>2714147.307239771</v>
      </c>
      <c r="C9" s="11">
        <f>SUM(Pixels!$V$2:$V$301)</f>
        <v>6600.75074990832</v>
      </c>
      <c r="D9" s="12">
        <f>C9-B9</f>
        <v>-2707546.5564898625</v>
      </c>
      <c r="E9" t="inlineStr">
        <is>
          <t>Q11_CN1_obs.tif</t>
        </is>
      </c>
    </row>
    <row r="10">
      <c r="A10" t="inlineStr">
        <is>
          <t>pr restrito (m3/s) - soma</t>
        </is>
      </c>
      <c r="B10" s="4">
        <v>107.8395792582451</v>
      </c>
      <c r="C10" s="11">
        <f>SUM(Pixels!$W$2:$W$301)</f>
        <v>0.26226367529146005</v>
      </c>
      <c r="D10" s="12">
        <f>C10-B10</f>
        <v>-107.5773155829536</v>
      </c>
      <c r="E10" t="inlineStr">
        <is>
          <t>pr11_obs.tif</t>
        </is>
      </c>
    </row>
    <row r="11">
      <c r="A11" t="inlineStr">
        <is>
          <t>E_unit restrito (t) - soma</t>
        </is>
      </c>
      <c r="B11" s="4">
        <v>8634.273315617189</v>
      </c>
      <c r="C11" s="11">
        <f>SUM(Pixels!$X$2:$X$301)</f>
        <v>5.631066315349241</v>
      </c>
      <c r="D11" s="12">
        <f>C11-B11</f>
        <v>-8628.64224930184</v>
      </c>
      <c r="E11" t="inlineStr">
        <is>
          <t>E_unit11_obs.tif</t>
        </is>
      </c>
    </row>
    <row r="12">
      <c r="A12" t="inlineStr">
        <is>
          <t>SY restrito (t) - soma</t>
        </is>
      </c>
      <c r="B12" s="4">
        <v>1216.088895997902</v>
      </c>
      <c r="C12" s="11">
        <f>SUM(Pixels!$Y$2:$Y$301)</f>
        <v>0.7791240247679019</v>
      </c>
      <c r="D12" s="12">
        <f>C12-B12</f>
        <v>-1215.309771973134</v>
      </c>
      <c r="E12" t="inlineStr">
        <is>
          <t>SY11_obs.tif</t>
        </is>
      </c>
    </row>
    <row r="15">
      <c r="A15" t="inlineStr">
        <is>
          <t>As diferencas (~1e-4 relativo) sao so a precisao float32 dos GeoTIFFs; o calculo em Excel usa dupla precisao.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24</vt:i4>
      </vt:variant>
    </vt:vector>
  </HeadingPairs>
  <TitlesOfParts>
    <vt:vector size="31" baseType="lpstr">
      <vt:lpstr>Roteiro</vt:lpstr>
      <vt:lpstr>Parametros</vt:lpstr>
      <vt:lpstr>Classes</vt:lpstr>
      <vt:lpstr>Pixels</vt:lpstr>
      <vt:lpstr>Resumo</vt:lpstr>
      <vt:lpstr>Calibracao_c</vt:lpstr>
      <vt:lpstr>Conferencia</vt:lpstr>
      <vt:lpstr>A_pixel</vt:lpstr>
      <vt:lpstr>c_pura</vt:lpstr>
      <vt:lpstr>c_restr</vt:lpstr>
      <vt:lpstr>Classes_C</vt:lpstr>
      <vt:lpstr>Classes_K</vt:lpstr>
      <vt:lpstr>coef_W</vt:lpstr>
      <vt:lpstr>dx_pix</vt:lpstr>
      <vt:lpstr>dy_pix</vt:lpstr>
      <vt:lpstr>exp_M</vt:lpstr>
      <vt:lpstr>fator_f</vt:lpstr>
      <vt:lpstr>fator_P</vt:lpstr>
      <vt:lpstr>P_CLP</vt:lpstr>
      <vt:lpstr>P_DBT5</vt:lpstr>
      <vt:lpstr>p_lambda</vt:lpstr>
      <vt:lpstr>R_evento_mm</vt:lpstr>
      <vt:lpstr>RI_mmh</vt:lpstr>
      <vt:lpstr>SY_obs_t</vt:lpstr>
      <vt:lpstr>V_med_m3</vt:lpstr>
      <vt:lpstr>X0_canto</vt:lpstr>
      <vt:lpstr>x_CLP</vt:lpstr>
      <vt:lpstr>x_DBT5</vt:lpstr>
      <vt:lpstr>Y0_canto</vt:lpstr>
      <vt:lpstr>y_CLP</vt:lpstr>
      <vt:lpstr>y_DBT5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2026-10-06T14:17:19Z</dcterms:created>
  <dcterms:modified xsi:type="dcterms:W3CDTF">2026-10-06T14:17:19Z</dcterms:modified>
</cp:coreProperties>
</file>