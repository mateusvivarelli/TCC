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ntradas" sheetId="1" state="visible" r:id="rId1"/>
    <sheet xmlns:r="http://schemas.openxmlformats.org/officeDocument/2006/relationships" name="2_Escalares" sheetId="2" state="visible" r:id="rId2"/>
    <sheet xmlns:r="http://schemas.openxmlformats.org/officeDocument/2006/relationships" name="3_Pixels_amostra" sheetId="3" state="visible" r:id="rId3"/>
    <sheet xmlns:r="http://schemas.openxmlformats.org/officeDocument/2006/relationships" name="4_Totais_QGIS" sheetId="4" state="visible" r:id="rId4"/>
    <sheet xmlns:r="http://schemas.openxmlformats.org/officeDocument/2006/relationships" name="5_Calibracao_1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90" customWidth="1" min="4" max="4"/>
    <col width="22" customWidth="1" min="5" max="5"/>
  </cols>
  <sheetData>
    <row r="1">
      <c r="A1" s="1" t="inlineStr">
        <is>
          <t>Evento 11 — dados de entrada e de onde vêm (amarelo = digitado; não editar fórmulas das outras abas)</t>
        </is>
      </c>
    </row>
    <row r="3">
      <c r="A3" s="2" t="inlineStr">
        <is>
          <t>Nome</t>
        </is>
      </c>
      <c r="B3" s="2" t="inlineStr">
        <is>
          <t>Valor</t>
        </is>
      </c>
      <c r="C3" s="2" t="inlineStr">
        <is>
          <t>Unidade</t>
        </is>
      </c>
      <c r="D3" s="2" t="inlineStr">
        <is>
          <t>Origem (arquivo / coluna)</t>
        </is>
      </c>
      <c r="E3" s="2" t="inlineStr">
        <is>
          <t>Onde entra</t>
        </is>
      </c>
    </row>
    <row r="4">
      <c r="A4" t="inlineStr">
        <is>
          <t>P posto DBT5</t>
        </is>
      </c>
      <c r="B4" s="3" t="n">
        <v>62.800003</v>
      </c>
      <c r="C4" t="inlineStr">
        <is>
          <t>mm</t>
        </is>
      </c>
      <c r="D4" s="4" t="inlineStr">
        <is>
          <t>eventos_processados_manuais.xlsx, Sheet1, linha de índice 11, coluna chuva_p1_mm (virou ESTPLUV_11.csv via excelReader.py)</t>
        </is>
      </c>
      <c r="E4" t="inlineStr">
        <is>
          <t>IDW (QGIS)</t>
        </is>
      </c>
    </row>
    <row r="5">
      <c r="A5" t="inlineStr">
        <is>
          <t>P posto Campo Paulista</t>
        </is>
      </c>
      <c r="B5" s="3" t="n">
        <v>79.00000199999999</v>
      </c>
      <c r="C5" t="inlineStr">
        <is>
          <t>mm</t>
        </is>
      </c>
      <c r="D5" s="4" t="inlineStr">
        <is>
          <t>idem, coluna chuva_p2_mm</t>
        </is>
      </c>
      <c r="E5" t="inlineStr">
        <is>
          <t>IDW (QGIS)</t>
        </is>
      </c>
    </row>
    <row r="6">
      <c r="A6" t="inlineStr">
        <is>
          <t>X posto DBT5</t>
        </is>
      </c>
      <c r="B6" s="3" t="n">
        <v>348520.8489669379</v>
      </c>
      <c r="C6" t="inlineStr">
        <is>
          <t>m UTM 23S</t>
        </is>
      </c>
      <c r="D6" s="4" t="inlineStr">
        <is>
          <t>Evento 11/EstPluv11.shp (reprojetado do CSV, lon −46,4809 / lat −23,2646)</t>
        </is>
      </c>
      <c r="E6" t="inlineStr">
        <is>
          <t>IDW por pixel (aba 3)</t>
        </is>
      </c>
    </row>
    <row r="7">
      <c r="A7" t="inlineStr">
        <is>
          <t>Y posto DBT5</t>
        </is>
      </c>
      <c r="B7" s="3" t="n">
        <v>7426415.272690723</v>
      </c>
      <c r="C7" t="inlineStr">
        <is>
          <t>m UTM 23S</t>
        </is>
      </c>
      <c r="D7" s="4" t="inlineStr">
        <is>
          <t>idem</t>
        </is>
      </c>
      <c r="E7" t="inlineStr">
        <is>
          <t>IDW por pixel (aba 3)</t>
        </is>
      </c>
    </row>
    <row r="8">
      <c r="A8" t="inlineStr">
        <is>
          <t>X posto Campo Paulista</t>
        </is>
      </c>
      <c r="B8" s="3" t="n">
        <v>319862.3699825093</v>
      </c>
      <c r="C8" t="inlineStr">
        <is>
          <t>m UTM 23S</t>
        </is>
      </c>
      <c r="D8" s="4" t="inlineStr">
        <is>
          <t>EstPluv11.shp (lon −46,760284 / lat −23,208778)</t>
        </is>
      </c>
      <c r="E8" t="inlineStr">
        <is>
          <t>IDW por pixel (aba 3)</t>
        </is>
      </c>
    </row>
    <row r="9">
      <c r="A9" t="inlineStr">
        <is>
          <t>Y posto Campo Paulista</t>
        </is>
      </c>
      <c r="B9" s="3" t="n">
        <v>7432277.54262968</v>
      </c>
      <c r="C9" t="inlineStr">
        <is>
          <t>m UTM 23S</t>
        </is>
      </c>
      <c r="D9" s="4" t="inlineStr">
        <is>
          <t>idem</t>
        </is>
      </c>
      <c r="E9" t="inlineStr">
        <is>
          <t>IDW por pixel (aba 3)</t>
        </is>
      </c>
    </row>
    <row r="10">
      <c r="A10" t="inlineStr">
        <is>
          <t>R (lâmina do evento)</t>
        </is>
      </c>
      <c r="B10" s="3" t="n">
        <v>74.03962799999999</v>
      </c>
      <c r="C10" t="inlineStr">
        <is>
          <t>mm</t>
        </is>
      </c>
      <c r="D10" s="4" t="inlineStr">
        <is>
          <t>coluna Chuva_evento_mm = média dos 2 postos ponderada w1=0,307 (DBT5) / 0,693 (Campo Paulista), peso ajustado por mínimos quadrados nos 17 eventos</t>
        </is>
      </c>
      <c r="E10" t="inlineStr">
        <is>
          <t>razão RI/R</t>
        </is>
      </c>
    </row>
    <row r="11">
      <c r="A11" t="inlineStr">
        <is>
          <t>RI (intensidade máx. 60 min)</t>
        </is>
      </c>
      <c r="B11" s="3" t="n">
        <v>11.8</v>
      </c>
      <c r="C11" t="inlineStr">
        <is>
          <t>mm/h</t>
        </is>
      </c>
      <c r="D11" s="4" t="inlineStr">
        <is>
          <t>coluna Intensidade_60min_mm/h = máximo entre i60_p1 (11,8) e i60_p2 (9,4), do hietograma horário</t>
        </is>
      </c>
      <c r="E11" t="inlineStr">
        <is>
          <t>razão RI/R</t>
        </is>
      </c>
    </row>
    <row r="12">
      <c r="A12" t="inlineStr">
        <is>
          <t>T_R_m3 (volume medido)</t>
        </is>
      </c>
      <c r="B12" s="3" t="n">
        <v>2436681.6</v>
      </c>
      <c r="C12" t="inlineStr">
        <is>
          <t>m³</t>
        </is>
      </c>
      <c r="D12" s="4" t="inlineStr">
        <is>
          <t>coluna T_R_m3 = Ris_R_m3 + Fall_R_m3 (escoamento direto medido no exutório, vazão com separação do fluxo de base)</t>
        </is>
      </c>
      <c r="E12" t="inlineStr">
        <is>
          <t>fator f (Q forçado)</t>
        </is>
      </c>
    </row>
    <row r="13">
      <c r="A13" t="inlineStr">
        <is>
          <t>SY_obs</t>
        </is>
      </c>
      <c r="B13" s="3" t="n">
        <v>1821.753506089142</v>
      </c>
      <c r="C13" t="inlineStr">
        <is>
          <t>t</t>
        </is>
      </c>
      <c r="D13" s="4" t="inlineStr">
        <is>
          <t>coluna SYY_t = SSY_Ris_t + SSY_Fall_t (sedimento suspenso medido via turbidez)</t>
        </is>
      </c>
      <c r="E13" t="inlineStr">
        <is>
          <t>erro final</t>
        </is>
      </c>
    </row>
    <row r="14">
      <c r="A14" t="inlineStr">
        <is>
          <t>Área do pixel</t>
        </is>
      </c>
      <c r="B14" s="3" t="n">
        <v>900</v>
      </c>
      <c r="C14" t="inlineStr">
        <is>
          <t>m²</t>
        </is>
      </c>
      <c r="D14" s="4" t="inlineStr">
        <is>
          <t>grade 30 m × 30 m (CN TCC.tif / ChuvaIDW11.tif)</t>
        </is>
      </c>
      <c r="E14" t="inlineStr">
        <is>
          <t>volume, pr, E_unit</t>
        </is>
      </c>
    </row>
    <row r="15">
      <c r="A15" t="inlineStr">
        <is>
          <t>λ</t>
        </is>
      </c>
      <c r="B15" s="3" t="n">
        <v>0.05</v>
      </c>
      <c r="C15" t="inlineStr">
        <is>
          <t>–</t>
        </is>
      </c>
      <c r="D15" s="4" t="inlineStr">
        <is>
          <t>calibrado na Fase 1 (padrão SCS = 0,2); fixo em todos os eventos</t>
        </is>
      </c>
      <c r="E15" t="inlineStr">
        <is>
          <t>Q (SCS-CN)</t>
        </is>
      </c>
    </row>
    <row r="16">
      <c r="A16" t="inlineStr">
        <is>
          <t>P (fator MUSLE)</t>
        </is>
      </c>
      <c r="B16" s="3" t="n">
        <v>1</v>
      </c>
      <c r="C16" t="inlineStr">
        <is>
          <t>–</t>
        </is>
      </c>
      <c r="D16" s="4" t="inlineStr">
        <is>
          <t>constante: sem áreas de conservação ativa</t>
        </is>
      </c>
      <c r="E16" t="inlineStr">
        <is>
          <t>E_unit</t>
        </is>
      </c>
    </row>
    <row r="17">
      <c r="A17" t="inlineStr">
        <is>
          <t>α (Williams)</t>
        </is>
      </c>
      <c r="B17" s="3" t="n">
        <v>11.8</v>
      </c>
      <c r="C17" t="inlineStr">
        <is>
          <t>–</t>
        </is>
      </c>
      <c r="D17" s="4" t="inlineStr">
        <is>
          <t>Hao et al. (2022), fixo</t>
        </is>
      </c>
      <c r="E17" t="inlineStr">
        <is>
          <t>E_unit</t>
        </is>
      </c>
    </row>
    <row r="18">
      <c r="A18" t="inlineStr">
        <is>
          <t>β (Williams)</t>
        </is>
      </c>
      <c r="B18" s="3" t="n">
        <v>0.5600000000000001</v>
      </c>
      <c r="C18" t="inlineStr">
        <is>
          <t>–</t>
        </is>
      </c>
      <c r="D18" s="4" t="inlineStr">
        <is>
          <t>Hao et al. (2022), fixo</t>
        </is>
      </c>
      <c r="E18" t="inlineStr">
        <is>
          <t>E_unit</t>
        </is>
      </c>
    </row>
    <row r="19">
      <c r="A19" t="inlineStr">
        <is>
          <t>c simulado</t>
        </is>
      </c>
      <c r="B19" s="3" t="n">
        <v>0.1090489424199398</v>
      </c>
      <c r="C19" t="inlineStr">
        <is>
          <t>t/t</t>
        </is>
      </c>
      <c r="D19" s="4" t="inlineStr">
        <is>
          <t>regressão pela origem nos 17 eventos (aba 5)</t>
        </is>
      </c>
      <c r="E19" t="inlineStr">
        <is>
          <t>SY simulado</t>
        </is>
      </c>
    </row>
    <row r="20">
      <c r="A20" t="inlineStr">
        <is>
          <t>c forçado</t>
        </is>
      </c>
      <c r="B20" s="3" t="n">
        <v>0.1408443827785943</v>
      </c>
      <c r="C20" t="inlineStr">
        <is>
          <t>t/t</t>
        </is>
      </c>
      <c r="D20" s="4" t="inlineStr">
        <is>
          <t>idem, com E_unit do Q forçado (aba 5)</t>
        </is>
      </c>
      <c r="E20" t="inlineStr">
        <is>
          <t>SY forçado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00" customWidth="1" min="4" max="4"/>
  </cols>
  <sheetData>
    <row r="1">
      <c r="A1" s="1" t="inlineStr">
        <is>
          <t>Valores gerais do evento (tudo em planilha)</t>
        </is>
      </c>
    </row>
    <row r="3">
      <c r="A3" s="2" t="inlineStr">
        <is>
          <t>Grandeza</t>
        </is>
      </c>
      <c r="B3" s="2" t="inlineStr">
        <is>
          <t>Valor</t>
        </is>
      </c>
      <c r="C3" s="2" t="inlineStr">
        <is>
          <t>Unidade</t>
        </is>
      </c>
      <c r="D3" s="2" t="inlineStr">
        <is>
          <t>Fórmula / significado</t>
        </is>
      </c>
    </row>
    <row r="4">
      <c r="A4" t="inlineStr">
        <is>
          <t>RI / R</t>
        </is>
      </c>
      <c r="B4">
        <f>'1_Entradas'!$B$11/'1_Entradas'!$B$10</f>
        <v/>
      </c>
      <c r="C4" t="inlineStr">
        <is>
          <t>1/h</t>
        </is>
      </c>
      <c r="D4" t="inlineStr">
        <is>
          <t>fração da lâmina do evento que cai na hora mais intensa; escalar do evento, igual para todos os pixels (Hao et al., 2022, Eq. 4)</t>
        </is>
      </c>
    </row>
    <row r="5">
      <c r="A5" t="inlineStr">
        <is>
          <t>R conferido (w1·p1 + w2·p2)</t>
        </is>
      </c>
      <c r="B5">
        <f>0.307*'1_Entradas'!$B$4+0.693*'1_Entradas'!$B$5</f>
        <v/>
      </c>
      <c r="C5" t="inlineStr">
        <is>
          <t>mm</t>
        </is>
      </c>
      <c r="D5" t="inlineStr">
        <is>
          <t>confere com R da aba 1 (diferença pequena: pesos arredondados)</t>
        </is>
      </c>
    </row>
    <row r="6">
      <c r="A6" t="inlineStr">
        <is>
          <t>Conversão pr</t>
        </is>
      </c>
      <c r="B6">
        <f>'1_Entradas'!$B$14/1000/3600</f>
        <v/>
      </c>
      <c r="C6" t="inlineStr">
        <is>
          <t>m²·(m/mm)/(s/h)</t>
        </is>
      </c>
      <c r="D6" t="inlineStr">
        <is>
          <t>pr = Q × este fator × RI/R  (Q em mm → m³/s)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Conferência pixel a pixel: no QGIS use Identify (ou Ferramenta de amostragem) em 6 pixels e digite X, Y, S, K, C, LS (amarelo) + os valores lidos nos rasters do QGIS (verde). As colunas calculadas comparam.</t>
        </is>
      </c>
    </row>
    <row r="2">
      <c r="A2" t="inlineStr">
        <is>
          <t>Fator f do evento vem da aba 4 (depois de rodar o QGIS para o volume total).</t>
        </is>
      </c>
    </row>
    <row r="4" ht="60" customHeight="1">
      <c r="A4" s="2" t="inlineStr">
        <is>
          <t>Pixel</t>
        </is>
      </c>
      <c r="B4" s="2" t="inlineStr">
        <is>
          <t>X centro (m)</t>
        </is>
      </c>
      <c r="C4" s="2" t="inlineStr">
        <is>
          <t>Y centro (m)</t>
        </is>
      </c>
      <c r="D4" s="2" t="inlineStr">
        <is>
          <t>S (mm) de S - Seco.tif</t>
        </is>
      </c>
      <c r="E4" s="2" t="inlineStr">
        <is>
          <t>K</t>
        </is>
      </c>
      <c r="F4" s="2" t="inlineStr">
        <is>
          <t>C</t>
        </is>
      </c>
      <c r="G4" s="2" t="inlineStr">
        <is>
          <t>LS</t>
        </is>
      </c>
      <c r="H4" s="2" t="inlineStr">
        <is>
          <t>d até DBT5 (m)</t>
        </is>
      </c>
      <c r="I4" s="2" t="inlineStr">
        <is>
          <t>d até Campo (m)</t>
        </is>
      </c>
      <c r="J4" s="2" t="inlineStr">
        <is>
          <t>P IDW (mm)</t>
        </is>
      </c>
      <c r="K4" s="2" t="inlineStr">
        <is>
          <t>Ia = λ·S (mm)</t>
        </is>
      </c>
      <c r="L4" s="2" t="inlineStr">
        <is>
          <t>Q sim (mm)</t>
        </is>
      </c>
      <c r="M4" s="2" t="inlineStr">
        <is>
          <t>pr sim (m³/s)</t>
        </is>
      </c>
      <c r="N4" s="2" t="inlineStr">
        <is>
          <t>E_unit sim (t)</t>
        </is>
      </c>
      <c r="O4" s="2" t="inlineStr">
        <is>
          <t>Q·f (mm)</t>
        </is>
      </c>
      <c r="P4" s="2" t="inlineStr">
        <is>
          <t>Q forçado = mín(Q·f, P)</t>
        </is>
      </c>
      <c r="Q4" s="2" t="inlineStr">
        <is>
          <t>pr forçado (m³/s)</t>
        </is>
      </c>
      <c r="R4" s="2" t="inlineStr">
        <is>
          <t>E_unit forçado (t)</t>
        </is>
      </c>
      <c r="S4" s="2" t="inlineStr">
        <is>
          <t>QGIS: ChuvaIDW11</t>
        </is>
      </c>
      <c r="T4" s="2" t="inlineStr">
        <is>
          <t>QGIS: Q11_CN1</t>
        </is>
      </c>
      <c r="U4" s="2" t="inlineStr">
        <is>
          <t>QGIS: E_unit11</t>
        </is>
      </c>
      <c r="V4" s="2" t="inlineStr">
        <is>
          <t>QGIS: Q11_CN1_obs</t>
        </is>
      </c>
      <c r="W4" s="2" t="inlineStr">
        <is>
          <t>QGIS: E_unit11_obs</t>
        </is>
      </c>
      <c r="X4" s="2" t="inlineStr">
        <is>
          <t>Δ P</t>
        </is>
      </c>
      <c r="Y4" s="2" t="inlineStr">
        <is>
          <t>Δ Q sim</t>
        </is>
      </c>
      <c r="Z4" s="2" t="inlineStr">
        <is>
          <t>Δ E sim</t>
        </is>
      </c>
      <c r="AA4" s="2" t="inlineStr">
        <is>
          <t>Δ Q forçado</t>
        </is>
      </c>
      <c r="AB4" s="2" t="inlineStr">
        <is>
          <t>Δ E forçado</t>
        </is>
      </c>
    </row>
    <row r="5">
      <c r="A5" t="n">
        <v>1</v>
      </c>
      <c r="B5" s="3" t="n"/>
      <c r="C5" s="3" t="n"/>
      <c r="D5" s="3" t="n"/>
      <c r="E5" s="3" t="n"/>
      <c r="F5" s="3" t="n"/>
      <c r="G5" s="3" t="n"/>
      <c r="H5">
        <f>IF(B5="","",SQRT((B5-'1_Entradas'!$B$6)^2+(C5-'1_Entradas'!$B$7)^2))</f>
        <v/>
      </c>
      <c r="I5">
        <f>IF(B5="","",SQRT((B5-'1_Entradas'!$B$8)^2+(C5-'1_Entradas'!$B$9)^2))</f>
        <v/>
      </c>
      <c r="J5">
        <f>IF(B5="","",('1_Entradas'!$B$4/H5^2+'1_Entradas'!$B$5/I5^2)/(1/H5^2+1/I5^2))</f>
        <v/>
      </c>
      <c r="K5">
        <f>IF(D5="","",'1_Entradas'!$B$15*D5)</f>
        <v/>
      </c>
      <c r="L5">
        <f>IF(OR(D5="",J5=""),"",IF(J5&lt;=K5,0,(J5-K5)^2/(J5+(1-'1_Entradas'!$B$15)*D5)))</f>
        <v/>
      </c>
      <c r="M5">
        <f>IF(L5="","",L5/1000*'1_Entradas'!$B$14*'2_Escalares'!$B$4/3600)</f>
        <v/>
      </c>
      <c r="N5">
        <f>IF(OR(L5="",E5=""),"",'1_Entradas'!$B$17*MAX(L5*M5*'1_Entradas'!$B$14,0)^'1_Entradas'!$B$18*E5*F5*'1_Entradas'!$B$16*G5)</f>
        <v/>
      </c>
      <c r="O5">
        <f>IF(OR(L5="",'4_Totais_QGIS'!$B$12=""),"",L5*'4_Totais_QGIS'!$B$12)</f>
        <v/>
      </c>
      <c r="P5">
        <f>IF(O5="","",MIN(O5,J5))</f>
        <v/>
      </c>
      <c r="Q5">
        <f>IF(P5="","",P5/1000*'1_Entradas'!$B$14*'2_Escalares'!$B$4/3600)</f>
        <v/>
      </c>
      <c r="R5">
        <f>IF(OR(P5="",E5=""),"",'1_Entradas'!$B$17*MAX(P5*Q5*'1_Entradas'!$B$14,0)^'1_Entradas'!$B$18*E5*F5*'1_Entradas'!$B$16*G5)</f>
        <v/>
      </c>
      <c r="S5" s="5" t="n"/>
      <c r="T5" s="5" t="n"/>
      <c r="U5" s="5" t="n"/>
      <c r="V5" s="5" t="n"/>
      <c r="W5" s="5" t="n"/>
      <c r="X5">
        <f>IF(OR(J5="",S5=""),"",J5-S5)</f>
        <v/>
      </c>
      <c r="Y5">
        <f>IF(OR(L5="",T5=""),"",L5-T5)</f>
        <v/>
      </c>
      <c r="Z5">
        <f>IF(OR(N5="",U5=""),"",N5-U5)</f>
        <v/>
      </c>
      <c r="AA5">
        <f>IF(OR(P5="",V5=""),"",P5-V5)</f>
        <v/>
      </c>
      <c r="AB5">
        <f>IF(OR(R5="",W5=""),"",R5-W5)</f>
        <v/>
      </c>
    </row>
    <row r="6">
      <c r="A6" t="n">
        <v>2</v>
      </c>
      <c r="B6" s="3" t="n"/>
      <c r="C6" s="3" t="n"/>
      <c r="D6" s="3" t="n"/>
      <c r="E6" s="3" t="n"/>
      <c r="F6" s="3" t="n"/>
      <c r="G6" s="3" t="n"/>
      <c r="H6">
        <f>IF(B6="","",SQRT((B6-'1_Entradas'!$B$6)^2+(C6-'1_Entradas'!$B$7)^2))</f>
        <v/>
      </c>
      <c r="I6">
        <f>IF(B6="","",SQRT((B6-'1_Entradas'!$B$8)^2+(C6-'1_Entradas'!$B$9)^2))</f>
        <v/>
      </c>
      <c r="J6">
        <f>IF(B6="","",('1_Entradas'!$B$4/H6^2+'1_Entradas'!$B$5/I6^2)/(1/H6^2+1/I6^2))</f>
        <v/>
      </c>
      <c r="K6">
        <f>IF(D6="","",'1_Entradas'!$B$15*D6)</f>
        <v/>
      </c>
      <c r="L6">
        <f>IF(OR(D6="",J6=""),"",IF(J6&lt;=K6,0,(J6-K6)^2/(J6+(1-'1_Entradas'!$B$15)*D6)))</f>
        <v/>
      </c>
      <c r="M6">
        <f>IF(L6="","",L6/1000*'1_Entradas'!$B$14*'2_Escalares'!$B$4/3600)</f>
        <v/>
      </c>
      <c r="N6">
        <f>IF(OR(L6="",E6=""),"",'1_Entradas'!$B$17*MAX(L6*M6*'1_Entradas'!$B$14,0)^'1_Entradas'!$B$18*E6*F6*'1_Entradas'!$B$16*G6)</f>
        <v/>
      </c>
      <c r="O6">
        <f>IF(OR(L6="",'4_Totais_QGIS'!$B$12=""),"",L6*'4_Totais_QGIS'!$B$12)</f>
        <v/>
      </c>
      <c r="P6">
        <f>IF(O6="","",MIN(O6,J6))</f>
        <v/>
      </c>
      <c r="Q6">
        <f>IF(P6="","",P6/1000*'1_Entradas'!$B$14*'2_Escalares'!$B$4/3600)</f>
        <v/>
      </c>
      <c r="R6">
        <f>IF(OR(P6="",E6=""),"",'1_Entradas'!$B$17*MAX(P6*Q6*'1_Entradas'!$B$14,0)^'1_Entradas'!$B$18*E6*F6*'1_Entradas'!$B$16*G6)</f>
        <v/>
      </c>
      <c r="S6" s="5" t="n"/>
      <c r="T6" s="5" t="n"/>
      <c r="U6" s="5" t="n"/>
      <c r="V6" s="5" t="n"/>
      <c r="W6" s="5" t="n"/>
      <c r="X6">
        <f>IF(OR(J6="",S6=""),"",J6-S6)</f>
        <v/>
      </c>
      <c r="Y6">
        <f>IF(OR(L6="",T6=""),"",L6-T6)</f>
        <v/>
      </c>
      <c r="Z6">
        <f>IF(OR(N6="",U6=""),"",N6-U6)</f>
        <v/>
      </c>
      <c r="AA6">
        <f>IF(OR(P6="",V6=""),"",P6-V6)</f>
        <v/>
      </c>
      <c r="AB6">
        <f>IF(OR(R6="",W6=""),"",R6-W6)</f>
        <v/>
      </c>
    </row>
    <row r="7">
      <c r="A7" t="n">
        <v>3</v>
      </c>
      <c r="B7" s="3" t="n"/>
      <c r="C7" s="3" t="n"/>
      <c r="D7" s="3" t="n"/>
      <c r="E7" s="3" t="n"/>
      <c r="F7" s="3" t="n"/>
      <c r="G7" s="3" t="n"/>
      <c r="H7">
        <f>IF(B7="","",SQRT((B7-'1_Entradas'!$B$6)^2+(C7-'1_Entradas'!$B$7)^2))</f>
        <v/>
      </c>
      <c r="I7">
        <f>IF(B7="","",SQRT((B7-'1_Entradas'!$B$8)^2+(C7-'1_Entradas'!$B$9)^2))</f>
        <v/>
      </c>
      <c r="J7">
        <f>IF(B7="","",('1_Entradas'!$B$4/H7^2+'1_Entradas'!$B$5/I7^2)/(1/H7^2+1/I7^2))</f>
        <v/>
      </c>
      <c r="K7">
        <f>IF(D7="","",'1_Entradas'!$B$15*D7)</f>
        <v/>
      </c>
      <c r="L7">
        <f>IF(OR(D7="",J7=""),"",IF(J7&lt;=K7,0,(J7-K7)^2/(J7+(1-'1_Entradas'!$B$15)*D7)))</f>
        <v/>
      </c>
      <c r="M7">
        <f>IF(L7="","",L7/1000*'1_Entradas'!$B$14*'2_Escalares'!$B$4/3600)</f>
        <v/>
      </c>
      <c r="N7">
        <f>IF(OR(L7="",E7=""),"",'1_Entradas'!$B$17*MAX(L7*M7*'1_Entradas'!$B$14,0)^'1_Entradas'!$B$18*E7*F7*'1_Entradas'!$B$16*G7)</f>
        <v/>
      </c>
      <c r="O7">
        <f>IF(OR(L7="",'4_Totais_QGIS'!$B$12=""),"",L7*'4_Totais_QGIS'!$B$12)</f>
        <v/>
      </c>
      <c r="P7">
        <f>IF(O7="","",MIN(O7,J7))</f>
        <v/>
      </c>
      <c r="Q7">
        <f>IF(P7="","",P7/1000*'1_Entradas'!$B$14*'2_Escalares'!$B$4/3600)</f>
        <v/>
      </c>
      <c r="R7">
        <f>IF(OR(P7="",E7=""),"",'1_Entradas'!$B$17*MAX(P7*Q7*'1_Entradas'!$B$14,0)^'1_Entradas'!$B$18*E7*F7*'1_Entradas'!$B$16*G7)</f>
        <v/>
      </c>
      <c r="S7" s="5" t="n"/>
      <c r="T7" s="5" t="n"/>
      <c r="U7" s="5" t="n"/>
      <c r="V7" s="5" t="n"/>
      <c r="W7" s="5" t="n"/>
      <c r="X7">
        <f>IF(OR(J7="",S7=""),"",J7-S7)</f>
        <v/>
      </c>
      <c r="Y7">
        <f>IF(OR(L7="",T7=""),"",L7-T7)</f>
        <v/>
      </c>
      <c r="Z7">
        <f>IF(OR(N7="",U7=""),"",N7-U7)</f>
        <v/>
      </c>
      <c r="AA7">
        <f>IF(OR(P7="",V7=""),"",P7-V7)</f>
        <v/>
      </c>
      <c r="AB7">
        <f>IF(OR(R7="",W7=""),"",R7-W7)</f>
        <v/>
      </c>
    </row>
    <row r="8">
      <c r="A8" t="n">
        <v>4</v>
      </c>
      <c r="B8" s="3" t="n"/>
      <c r="C8" s="3" t="n"/>
      <c r="D8" s="3" t="n"/>
      <c r="E8" s="3" t="n"/>
      <c r="F8" s="3" t="n"/>
      <c r="G8" s="3" t="n"/>
      <c r="H8">
        <f>IF(B8="","",SQRT((B8-'1_Entradas'!$B$6)^2+(C8-'1_Entradas'!$B$7)^2))</f>
        <v/>
      </c>
      <c r="I8">
        <f>IF(B8="","",SQRT((B8-'1_Entradas'!$B$8)^2+(C8-'1_Entradas'!$B$9)^2))</f>
        <v/>
      </c>
      <c r="J8">
        <f>IF(B8="","",('1_Entradas'!$B$4/H8^2+'1_Entradas'!$B$5/I8^2)/(1/H8^2+1/I8^2))</f>
        <v/>
      </c>
      <c r="K8">
        <f>IF(D8="","",'1_Entradas'!$B$15*D8)</f>
        <v/>
      </c>
      <c r="L8">
        <f>IF(OR(D8="",J8=""),"",IF(J8&lt;=K8,0,(J8-K8)^2/(J8+(1-'1_Entradas'!$B$15)*D8)))</f>
        <v/>
      </c>
      <c r="M8">
        <f>IF(L8="","",L8/1000*'1_Entradas'!$B$14*'2_Escalares'!$B$4/3600)</f>
        <v/>
      </c>
      <c r="N8">
        <f>IF(OR(L8="",E8=""),"",'1_Entradas'!$B$17*MAX(L8*M8*'1_Entradas'!$B$14,0)^'1_Entradas'!$B$18*E8*F8*'1_Entradas'!$B$16*G8)</f>
        <v/>
      </c>
      <c r="O8">
        <f>IF(OR(L8="",'4_Totais_QGIS'!$B$12=""),"",L8*'4_Totais_QGIS'!$B$12)</f>
        <v/>
      </c>
      <c r="P8">
        <f>IF(O8="","",MIN(O8,J8))</f>
        <v/>
      </c>
      <c r="Q8">
        <f>IF(P8="","",P8/1000*'1_Entradas'!$B$14*'2_Escalares'!$B$4/3600)</f>
        <v/>
      </c>
      <c r="R8">
        <f>IF(OR(P8="",E8=""),"",'1_Entradas'!$B$17*MAX(P8*Q8*'1_Entradas'!$B$14,0)^'1_Entradas'!$B$18*E8*F8*'1_Entradas'!$B$16*G8)</f>
        <v/>
      </c>
      <c r="S8" s="5" t="n"/>
      <c r="T8" s="5" t="n"/>
      <c r="U8" s="5" t="n"/>
      <c r="V8" s="5" t="n"/>
      <c r="W8" s="5" t="n"/>
      <c r="X8">
        <f>IF(OR(J8="",S8=""),"",J8-S8)</f>
        <v/>
      </c>
      <c r="Y8">
        <f>IF(OR(L8="",T8=""),"",L8-T8)</f>
        <v/>
      </c>
      <c r="Z8">
        <f>IF(OR(N8="",U8=""),"",N8-U8)</f>
        <v/>
      </c>
      <c r="AA8">
        <f>IF(OR(P8="",V8=""),"",P8-V8)</f>
        <v/>
      </c>
      <c r="AB8">
        <f>IF(OR(R8="",W8=""),"",R8-W8)</f>
        <v/>
      </c>
    </row>
    <row r="9">
      <c r="A9" t="n">
        <v>5</v>
      </c>
      <c r="B9" s="3" t="n"/>
      <c r="C9" s="3" t="n"/>
      <c r="D9" s="3" t="n"/>
      <c r="E9" s="3" t="n"/>
      <c r="F9" s="3" t="n"/>
      <c r="G9" s="3" t="n"/>
      <c r="H9">
        <f>IF(B9="","",SQRT((B9-'1_Entradas'!$B$6)^2+(C9-'1_Entradas'!$B$7)^2))</f>
        <v/>
      </c>
      <c r="I9">
        <f>IF(B9="","",SQRT((B9-'1_Entradas'!$B$8)^2+(C9-'1_Entradas'!$B$9)^2))</f>
        <v/>
      </c>
      <c r="J9">
        <f>IF(B9="","",('1_Entradas'!$B$4/H9^2+'1_Entradas'!$B$5/I9^2)/(1/H9^2+1/I9^2))</f>
        <v/>
      </c>
      <c r="K9">
        <f>IF(D9="","",'1_Entradas'!$B$15*D9)</f>
        <v/>
      </c>
      <c r="L9">
        <f>IF(OR(D9="",J9=""),"",IF(J9&lt;=K9,0,(J9-K9)^2/(J9+(1-'1_Entradas'!$B$15)*D9)))</f>
        <v/>
      </c>
      <c r="M9">
        <f>IF(L9="","",L9/1000*'1_Entradas'!$B$14*'2_Escalares'!$B$4/3600)</f>
        <v/>
      </c>
      <c r="N9">
        <f>IF(OR(L9="",E9=""),"",'1_Entradas'!$B$17*MAX(L9*M9*'1_Entradas'!$B$14,0)^'1_Entradas'!$B$18*E9*F9*'1_Entradas'!$B$16*G9)</f>
        <v/>
      </c>
      <c r="O9">
        <f>IF(OR(L9="",'4_Totais_QGIS'!$B$12=""),"",L9*'4_Totais_QGIS'!$B$12)</f>
        <v/>
      </c>
      <c r="P9">
        <f>IF(O9="","",MIN(O9,J9))</f>
        <v/>
      </c>
      <c r="Q9">
        <f>IF(P9="","",P9/1000*'1_Entradas'!$B$14*'2_Escalares'!$B$4/3600)</f>
        <v/>
      </c>
      <c r="R9">
        <f>IF(OR(P9="",E9=""),"",'1_Entradas'!$B$17*MAX(P9*Q9*'1_Entradas'!$B$14,0)^'1_Entradas'!$B$18*E9*F9*'1_Entradas'!$B$16*G9)</f>
        <v/>
      </c>
      <c r="S9" s="5" t="n"/>
      <c r="T9" s="5" t="n"/>
      <c r="U9" s="5" t="n"/>
      <c r="V9" s="5" t="n"/>
      <c r="W9" s="5" t="n"/>
      <c r="X9">
        <f>IF(OR(J9="",S9=""),"",J9-S9)</f>
        <v/>
      </c>
      <c r="Y9">
        <f>IF(OR(L9="",T9=""),"",L9-T9)</f>
        <v/>
      </c>
      <c r="Z9">
        <f>IF(OR(N9="",U9=""),"",N9-U9)</f>
        <v/>
      </c>
      <c r="AA9">
        <f>IF(OR(P9="",V9=""),"",P9-V9)</f>
        <v/>
      </c>
      <c r="AB9">
        <f>IF(OR(R9="",W9=""),"",R9-W9)</f>
        <v/>
      </c>
    </row>
    <row r="10">
      <c r="A10" t="n">
        <v>6</v>
      </c>
      <c r="B10" s="3" t="n"/>
      <c r="C10" s="3" t="n"/>
      <c r="D10" s="3" t="n"/>
      <c r="E10" s="3" t="n"/>
      <c r="F10" s="3" t="n"/>
      <c r="G10" s="3" t="n"/>
      <c r="H10">
        <f>IF(B10="","",SQRT((B10-'1_Entradas'!$B$6)^2+(C10-'1_Entradas'!$B$7)^2))</f>
        <v/>
      </c>
      <c r="I10">
        <f>IF(B10="","",SQRT((B10-'1_Entradas'!$B$8)^2+(C10-'1_Entradas'!$B$9)^2))</f>
        <v/>
      </c>
      <c r="J10">
        <f>IF(B10="","",('1_Entradas'!$B$4/H10^2+'1_Entradas'!$B$5/I10^2)/(1/H10^2+1/I10^2))</f>
        <v/>
      </c>
      <c r="K10">
        <f>IF(D10="","",'1_Entradas'!$B$15*D10)</f>
        <v/>
      </c>
      <c r="L10">
        <f>IF(OR(D10="",J10=""),"",IF(J10&lt;=K10,0,(J10-K10)^2/(J10+(1-'1_Entradas'!$B$15)*D10)))</f>
        <v/>
      </c>
      <c r="M10">
        <f>IF(L10="","",L10/1000*'1_Entradas'!$B$14*'2_Escalares'!$B$4/3600)</f>
        <v/>
      </c>
      <c r="N10">
        <f>IF(OR(L10="",E10=""),"",'1_Entradas'!$B$17*MAX(L10*M10*'1_Entradas'!$B$14,0)^'1_Entradas'!$B$18*E10*F10*'1_Entradas'!$B$16*G10)</f>
        <v/>
      </c>
      <c r="O10">
        <f>IF(OR(L10="",'4_Totais_QGIS'!$B$12=""),"",L10*'4_Totais_QGIS'!$B$12)</f>
        <v/>
      </c>
      <c r="P10">
        <f>IF(O10="","",MIN(O10,J10))</f>
        <v/>
      </c>
      <c r="Q10">
        <f>IF(P10="","",P10/1000*'1_Entradas'!$B$14*'2_Escalares'!$B$4/3600)</f>
        <v/>
      </c>
      <c r="R10">
        <f>IF(OR(P10="",E10=""),"",'1_Entradas'!$B$17*MAX(P10*Q10*'1_Entradas'!$B$14,0)^'1_Entradas'!$B$18*E10*F10*'1_Entradas'!$B$16*G10)</f>
        <v/>
      </c>
      <c r="S10" s="5" t="n"/>
      <c r="T10" s="5" t="n"/>
      <c r="U10" s="5" t="n"/>
      <c r="V10" s="5" t="n"/>
      <c r="W10" s="5" t="n"/>
      <c r="X10">
        <f>IF(OR(J10="",S10=""),"",J10-S10)</f>
        <v/>
      </c>
      <c r="Y10">
        <f>IF(OR(L10="",T10=""),"",L10-T10)</f>
        <v/>
      </c>
      <c r="Z10">
        <f>IF(OR(N10="",U10=""),"",N10-U10)</f>
        <v/>
      </c>
      <c r="AA10">
        <f>IF(OR(P10="",V10=""),"",P10-V10)</f>
        <v/>
      </c>
      <c r="AB10">
        <f>IF(OR(R10="",W10=""),"",R10-W10)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6" customWidth="1" min="3" max="3"/>
    <col width="90" customWidth="1" min="4" max="4"/>
  </cols>
  <sheetData>
    <row r="1">
      <c r="A1" s="1" t="inlineStr">
        <is>
          <t>Totais da bacia: verde = lido no QGIS (estatística de raster); resto = planilha</t>
        </is>
      </c>
    </row>
    <row r="3">
      <c r="A3" s="2" t="inlineStr">
        <is>
          <t>Grandeza</t>
        </is>
      </c>
      <c r="B3" s="2" t="inlineStr">
        <is>
          <t>Valor</t>
        </is>
      </c>
      <c r="C3" s="2" t="inlineStr">
        <is>
          <t>Referência (CSV do projeto)</t>
        </is>
      </c>
      <c r="D3" s="2" t="inlineStr">
        <is>
          <t>Como obter / fórmula</t>
        </is>
      </c>
    </row>
    <row r="4">
      <c r="A4" t="inlineStr">
        <is>
          <t>N pixels válidos (Q, K, C e LS com dado)</t>
        </is>
      </c>
      <c r="B4" s="5" t="n"/>
      <c r="D4" t="inlineStr">
        <is>
          <t>Raster layer statistics (count) sobre Q11_CN1 já mascarado pelos 3 fatores (ver roteiro)</t>
        </is>
      </c>
    </row>
    <row r="5">
      <c r="A5" t="inlineStr">
        <is>
          <t>ΣQ sobre a máscara (mm·pixel)</t>
        </is>
      </c>
      <c r="B5" s="5" t="n"/>
      <c r="D5" t="inlineStr">
        <is>
          <t>Raster layer statistics → soma</t>
        </is>
      </c>
    </row>
    <row r="6">
      <c r="A6" t="inlineStr">
        <is>
          <t>V_calc (m³)</t>
        </is>
      </c>
      <c r="B6">
        <f>IF(B5="","",B5/1000*'1_Entradas'!$B$14)</f>
        <v/>
      </c>
      <c r="D6" t="inlineStr">
        <is>
          <t>ΣQ/1000 × 900</t>
        </is>
      </c>
    </row>
    <row r="7">
      <c r="A7" t="inlineStr">
        <is>
          <t>V_medido T_R_m3 (m³)</t>
        </is>
      </c>
      <c r="B7">
        <f>'1_Entradas'!$B$12</f>
        <v/>
      </c>
      <c r="D7" t="inlineStr">
        <is>
          <t>aba 1</t>
        </is>
      </c>
    </row>
    <row r="8">
      <c r="A8" t="inlineStr">
        <is>
          <t>Erro do volume simulado (%)</t>
        </is>
      </c>
      <c r="B8">
        <f>IF(B6="","",100*(B6-B7)/B7)</f>
        <v/>
      </c>
      <c r="D8" t="inlineStr">
        <is>
          <t>(V_calc − V_med)/V_med</t>
        </is>
      </c>
    </row>
    <row r="9">
      <c r="A9" t="inlineStr">
        <is>
          <t>ΣE_unit simulado (t)</t>
        </is>
      </c>
      <c r="B9" s="5" t="n"/>
      <c r="C9" t="n">
        <v>6881.898294061932</v>
      </c>
      <c r="D9" t="inlineStr">
        <is>
          <t>Raster layer statistics sobre E_unit11</t>
        </is>
      </c>
    </row>
    <row r="10">
      <c r="A10" t="inlineStr">
        <is>
          <t>SY simulado (t)</t>
        </is>
      </c>
      <c r="B10">
        <f>IF(B9="","",'1_Entradas'!$B$19*B9)</f>
        <v/>
      </c>
      <c r="C10" t="n">
        <v>750.4637308090416</v>
      </c>
      <c r="D10" t="inlineStr">
        <is>
          <t>c × ΣE</t>
        </is>
      </c>
    </row>
    <row r="11">
      <c r="A11" t="inlineStr">
        <is>
          <t>Erro SY simulado (%)</t>
        </is>
      </c>
      <c r="B11">
        <f>IF(B10="","",100*(B10-'1_Entradas'!$B$13)/'1_Entradas'!$B$13)</f>
        <v/>
      </c>
      <c r="C11" t="n">
        <v>-58.80541860901351</v>
      </c>
      <c r="D11" t="inlineStr"/>
    </row>
    <row r="12">
      <c r="A12" t="inlineStr">
        <is>
          <t>Fator f = T_R_m3 / V_calc</t>
        </is>
      </c>
      <c r="B12">
        <f>IF(B6="","",B7/B6)</f>
        <v/>
      </c>
      <c r="D12" t="inlineStr">
        <is>
          <t>multiplica Q em todos os pixels</t>
        </is>
      </c>
    </row>
    <row r="13">
      <c r="A13" t="inlineStr">
        <is>
          <t>N pixels com Q·f &gt; P (limitados à chuva)</t>
        </is>
      </c>
      <c r="B13" s="5" t="n"/>
      <c r="D13" t="inlineStr">
        <is>
          <t>Raster calculator: soma de ("Q"*f &gt; "P"); o relatório geral cita 0,48% dos pixels nos 17 eventos</t>
        </is>
      </c>
    </row>
    <row r="14">
      <c r="A14" t="inlineStr">
        <is>
          <t>ΣE_unit forçado (t)</t>
        </is>
      </c>
      <c r="B14" s="5" t="n"/>
      <c r="C14" t="n">
        <v>8634.273315452905</v>
      </c>
      <c r="D14" t="inlineStr">
        <is>
          <t>Raster layer statistics sobre E_unit11_obs</t>
        </is>
      </c>
    </row>
    <row r="15">
      <c r="A15" t="inlineStr">
        <is>
          <t>SY forçado (t)</t>
        </is>
      </c>
      <c r="B15">
        <f>IF(B14="","",'1_Entradas'!$B$20*B14)</f>
        <v/>
      </c>
      <c r="C15" t="n">
        <v>1216.088895856651</v>
      </c>
      <c r="D15" t="inlineStr">
        <is>
          <t>c_obs × ΣE_obs</t>
        </is>
      </c>
    </row>
    <row r="16">
      <c r="A16" t="inlineStr">
        <is>
          <t>Erro SY forçado (%)</t>
        </is>
      </c>
      <c r="B16">
        <f>IF(B15="","",100*(B15-'1_Entradas'!$B$13)/'1_Entradas'!$B$13)</f>
        <v/>
      </c>
      <c r="C16" t="n">
        <v>-33.24624369916566</v>
      </c>
      <c r="D16" t="inlineStr"/>
    </row>
    <row r="17">
      <c r="A17" t="inlineStr">
        <is>
          <t>ΣE_forçado / ΣE_simulado</t>
        </is>
      </c>
      <c r="B17">
        <f>IF(OR(B9="",B14=""),"",B14/B9)</f>
        <v/>
      </c>
      <c r="C17" t="n">
        <v>1.2547</v>
      </c>
      <c r="D17" t="inlineStr">
        <is>
          <t>razão de referência ≈ 1,2547 (8634,27/6881,90)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Calibração de c nos 17 eventos (tudo em planilha, dados do comparacao_SY_previsao_vs_restrito.csv)</t>
        </is>
      </c>
    </row>
    <row r="3">
      <c r="A3" s="2" t="inlineStr">
        <is>
          <t>Evento</t>
        </is>
      </c>
      <c r="B3" s="2" t="inlineStr">
        <is>
          <t>SY_obs (t)</t>
        </is>
      </c>
      <c r="C3" s="2" t="inlineStr">
        <is>
          <t>ΣE_unit simulado (t)</t>
        </is>
      </c>
      <c r="D3" s="2" t="inlineStr">
        <is>
          <t>ΣE_unit forçado (t)</t>
        </is>
      </c>
      <c r="E3" s="2" t="inlineStr">
        <is>
          <t>SY simulado</t>
        </is>
      </c>
      <c r="F3" s="2" t="inlineStr">
        <is>
          <t>erro %</t>
        </is>
      </c>
      <c r="G3" s="2" t="inlineStr">
        <is>
          <t>SY forçado</t>
        </is>
      </c>
      <c r="H3" s="2" t="inlineStr">
        <is>
          <t>erro %</t>
        </is>
      </c>
    </row>
    <row r="4">
      <c r="A4" t="n">
        <v>1</v>
      </c>
      <c r="B4" t="n">
        <v>266.356596971754</v>
      </c>
      <c r="C4" t="n">
        <v>842.9142041145665</v>
      </c>
      <c r="D4" t="n">
        <v>3190.166606779539</v>
      </c>
      <c r="E4">
        <f>$B$24*C4</f>
        <v/>
      </c>
      <c r="F4">
        <f>100*(E4-B4)/B4</f>
        <v/>
      </c>
      <c r="G4">
        <f>$B$25*D4</f>
        <v/>
      </c>
      <c r="H4">
        <f>100*(G4-B4)/B4</f>
        <v/>
      </c>
    </row>
    <row r="5">
      <c r="A5" t="n">
        <v>2</v>
      </c>
      <c r="B5" t="n">
        <v>2039.885510542506</v>
      </c>
      <c r="C5" t="n">
        <v>5580.648537629706</v>
      </c>
      <c r="D5" t="n">
        <v>13864.30865908844</v>
      </c>
      <c r="E5">
        <f>$B$24*C5</f>
        <v/>
      </c>
      <c r="F5">
        <f>100*(E5-B5)/B5</f>
        <v/>
      </c>
      <c r="G5">
        <f>$B$25*D5</f>
        <v/>
      </c>
      <c r="H5">
        <f>100*(G5-B5)/B5</f>
        <v/>
      </c>
    </row>
    <row r="6">
      <c r="A6" t="n">
        <v>3</v>
      </c>
      <c r="B6" t="n">
        <v>927.775972140902</v>
      </c>
      <c r="C6" t="n">
        <v>13120.26766654263</v>
      </c>
      <c r="D6" t="n">
        <v>8645.820893928945</v>
      </c>
      <c r="E6">
        <f>$B$24*C6</f>
        <v/>
      </c>
      <c r="F6">
        <f>100*(E6-B6)/B6</f>
        <v/>
      </c>
      <c r="G6">
        <f>$B$25*D6</f>
        <v/>
      </c>
      <c r="H6">
        <f>100*(G6-B6)/B6</f>
        <v/>
      </c>
    </row>
    <row r="7">
      <c r="A7" t="n">
        <v>4</v>
      </c>
      <c r="B7" t="n">
        <v>1379.8615715214</v>
      </c>
      <c r="C7" t="n">
        <v>3151.759389157989</v>
      </c>
      <c r="D7" t="n">
        <v>14952.0762252948</v>
      </c>
      <c r="E7">
        <f>$B$24*C7</f>
        <v/>
      </c>
      <c r="F7">
        <f>100*(E7-B7)/B7</f>
        <v/>
      </c>
      <c r="G7">
        <f>$B$25*D7</f>
        <v/>
      </c>
      <c r="H7">
        <f>100*(G7-B7)/B7</f>
        <v/>
      </c>
    </row>
    <row r="8">
      <c r="A8" t="n">
        <v>5</v>
      </c>
      <c r="B8" t="n">
        <v>1371.70090641517</v>
      </c>
      <c r="C8" t="n">
        <v>10290.74616192623</v>
      </c>
      <c r="D8" t="n">
        <v>13754.37661063588</v>
      </c>
      <c r="E8">
        <f>$B$24*C8</f>
        <v/>
      </c>
      <c r="F8">
        <f>100*(E8-B8)/B8</f>
        <v/>
      </c>
      <c r="G8">
        <f>$B$25*D8</f>
        <v/>
      </c>
      <c r="H8">
        <f>100*(G8-B8)/B8</f>
        <v/>
      </c>
    </row>
    <row r="9">
      <c r="A9" t="n">
        <v>6</v>
      </c>
      <c r="B9" t="n">
        <v>198.5585811262063</v>
      </c>
      <c r="C9" t="n">
        <v>3165.930673486924</v>
      </c>
      <c r="D9" t="n">
        <v>2453.322635281992</v>
      </c>
      <c r="E9">
        <f>$B$24*C9</f>
        <v/>
      </c>
      <c r="F9">
        <f>100*(E9-B9)/B9</f>
        <v/>
      </c>
      <c r="G9">
        <f>$B$25*D9</f>
        <v/>
      </c>
      <c r="H9">
        <f>100*(G9-B9)/B9</f>
        <v/>
      </c>
    </row>
    <row r="10">
      <c r="A10" t="n">
        <v>7</v>
      </c>
      <c r="B10" t="n">
        <v>1316.556161297211</v>
      </c>
      <c r="C10" t="n">
        <v>1989.165643551656</v>
      </c>
      <c r="D10" t="n">
        <v>7638.53166457633</v>
      </c>
      <c r="E10">
        <f>$B$24*C10</f>
        <v/>
      </c>
      <c r="F10">
        <f>100*(E10-B10)/B10</f>
        <v/>
      </c>
      <c r="G10">
        <f>$B$25*D10</f>
        <v/>
      </c>
      <c r="H10">
        <f>100*(G10-B10)/B10</f>
        <v/>
      </c>
    </row>
    <row r="11">
      <c r="A11" t="n">
        <v>8</v>
      </c>
      <c r="B11" t="n">
        <v>2108.502321472945</v>
      </c>
      <c r="C11" t="n">
        <v>14634.44300214534</v>
      </c>
      <c r="D11" t="n">
        <v>15048.69739699891</v>
      </c>
      <c r="E11">
        <f>$B$24*C11</f>
        <v/>
      </c>
      <c r="F11">
        <f>100*(E11-B11)/B11</f>
        <v/>
      </c>
      <c r="G11">
        <f>$B$25*D11</f>
        <v/>
      </c>
      <c r="H11">
        <f>100*(G11-B11)/B11</f>
        <v/>
      </c>
    </row>
    <row r="12">
      <c r="A12" t="n">
        <v>9</v>
      </c>
      <c r="B12" t="n">
        <v>1154.553334353747</v>
      </c>
      <c r="C12" t="n">
        <v>14906.42238133546</v>
      </c>
      <c r="D12" t="n">
        <v>7659.403853050337</v>
      </c>
      <c r="E12">
        <f>$B$24*C12</f>
        <v/>
      </c>
      <c r="F12">
        <f>100*(E12-B12)/B12</f>
        <v/>
      </c>
      <c r="G12">
        <f>$B$25*D12</f>
        <v/>
      </c>
      <c r="H12">
        <f>100*(G12-B12)/B12</f>
        <v/>
      </c>
    </row>
    <row r="13">
      <c r="A13" t="n">
        <v>10</v>
      </c>
      <c r="B13" t="n">
        <v>847.3217734505544</v>
      </c>
      <c r="C13" t="n">
        <v>916.937996938145</v>
      </c>
      <c r="D13" t="n">
        <v>7743.182398988578</v>
      </c>
      <c r="E13">
        <f>$B$24*C13</f>
        <v/>
      </c>
      <c r="F13">
        <f>100*(E13-B13)/B13</f>
        <v/>
      </c>
      <c r="G13">
        <f>$B$25*D13</f>
        <v/>
      </c>
      <c r="H13">
        <f>100*(G13-B13)/B13</f>
        <v/>
      </c>
    </row>
    <row r="14">
      <c r="A14" t="n">
        <v>11</v>
      </c>
      <c r="B14" t="n">
        <v>1821.753506089142</v>
      </c>
      <c r="C14" t="n">
        <v>6881.898294061932</v>
      </c>
      <c r="D14" t="n">
        <v>8634.273315452905</v>
      </c>
      <c r="E14">
        <f>$B$24*C14</f>
        <v/>
      </c>
      <c r="F14">
        <f>100*(E14-B14)/B14</f>
        <v/>
      </c>
      <c r="G14">
        <f>$B$25*D14</f>
        <v/>
      </c>
      <c r="H14">
        <f>100*(G14-B14)/B14</f>
        <v/>
      </c>
    </row>
    <row r="15">
      <c r="A15" t="n">
        <v>12</v>
      </c>
      <c r="B15" t="n">
        <v>210.7012060187048</v>
      </c>
      <c r="C15" t="n">
        <v>1702.198712432513</v>
      </c>
      <c r="D15" t="n">
        <v>1751.047644507943</v>
      </c>
      <c r="E15">
        <f>$B$24*C15</f>
        <v/>
      </c>
      <c r="F15">
        <f>100*(E15-B15)/B15</f>
        <v/>
      </c>
      <c r="G15">
        <f>$B$25*D15</f>
        <v/>
      </c>
      <c r="H15">
        <f>100*(G15-B15)/B15</f>
        <v/>
      </c>
    </row>
    <row r="16">
      <c r="A16" t="n">
        <v>13</v>
      </c>
      <c r="B16" t="n">
        <v>1196.490406908975</v>
      </c>
      <c r="C16" t="n">
        <v>13851.63645086249</v>
      </c>
      <c r="D16" t="n">
        <v>7461.55875270522</v>
      </c>
      <c r="E16">
        <f>$B$24*C16</f>
        <v/>
      </c>
      <c r="F16">
        <f>100*(E16-B16)/B16</f>
        <v/>
      </c>
      <c r="G16">
        <f>$B$25*D16</f>
        <v/>
      </c>
      <c r="H16">
        <f>100*(G16-B16)/B16</f>
        <v/>
      </c>
    </row>
    <row r="17">
      <c r="A17" t="n">
        <v>14</v>
      </c>
      <c r="B17" t="n">
        <v>1731.22851952016</v>
      </c>
      <c r="C17" t="n">
        <v>16718.94379868203</v>
      </c>
      <c r="D17" t="n">
        <v>11525.47180134803</v>
      </c>
      <c r="E17">
        <f>$B$24*C17</f>
        <v/>
      </c>
      <c r="F17">
        <f>100*(E17-B17)/B17</f>
        <v/>
      </c>
      <c r="G17">
        <f>$B$25*D17</f>
        <v/>
      </c>
      <c r="H17">
        <f>100*(G17-B17)/B17</f>
        <v/>
      </c>
    </row>
    <row r="18">
      <c r="A18" t="n">
        <v>15</v>
      </c>
      <c r="B18" t="n">
        <v>3828.831861169188</v>
      </c>
      <c r="C18" t="n">
        <v>39972.68540983042</v>
      </c>
      <c r="D18" t="n">
        <v>24968.83257991281</v>
      </c>
      <c r="E18">
        <f>$B$24*C18</f>
        <v/>
      </c>
      <c r="F18">
        <f>100*(E18-B18)/B18</f>
        <v/>
      </c>
      <c r="G18">
        <f>$B$25*D18</f>
        <v/>
      </c>
      <c r="H18">
        <f>100*(G18-B18)/B18</f>
        <v/>
      </c>
    </row>
    <row r="19">
      <c r="A19" t="n">
        <v>16</v>
      </c>
      <c r="B19" t="n">
        <v>1736.072419972066</v>
      </c>
      <c r="C19" t="n">
        <v>13110.51641438784</v>
      </c>
      <c r="D19" t="n">
        <v>12308.81641936293</v>
      </c>
      <c r="E19">
        <f>$B$24*C19</f>
        <v/>
      </c>
      <c r="F19">
        <f>100*(E19-B19)/B19</f>
        <v/>
      </c>
      <c r="G19">
        <f>$B$25*D19</f>
        <v/>
      </c>
      <c r="H19">
        <f>100*(G19-B19)/B19</f>
        <v/>
      </c>
    </row>
    <row r="20">
      <c r="A20" t="n">
        <v>17</v>
      </c>
      <c r="B20" t="n">
        <v>1709.560387372542</v>
      </c>
      <c r="C20" t="n">
        <v>11307.75273978076</v>
      </c>
      <c r="D20" t="n">
        <v>6032.736020709297</v>
      </c>
      <c r="E20">
        <f>$B$24*C20</f>
        <v/>
      </c>
      <c r="F20">
        <f>100*(E20-B20)/B20</f>
        <v/>
      </c>
      <c r="G20">
        <f>$B$25*D20</f>
        <v/>
      </c>
      <c r="H20">
        <f>100*(G20-B20)/B20</f>
        <v/>
      </c>
    </row>
    <row r="23">
      <c r="A23" s="1" t="inlineStr">
        <is>
          <t>Fórmulas</t>
        </is>
      </c>
    </row>
    <row r="24">
      <c r="A24" t="inlineStr">
        <is>
          <t>c simulado</t>
        </is>
      </c>
      <c r="B24">
        <f>SUMPRODUCT(C4:C20,B4:B20)/SUMSQ(C4:C20)</f>
        <v/>
      </c>
      <c r="C24" t="inlineStr">
        <is>
          <t>esperado 0,109049</t>
        </is>
      </c>
    </row>
    <row r="25">
      <c r="A25" t="inlineStr">
        <is>
          <t>c forçado</t>
        </is>
      </c>
      <c r="B25">
        <f>SUMPRODUCT(D4:D20,B4:B20)/SUMSQ(D4:D20)</f>
        <v/>
      </c>
      <c r="C25" t="inlineStr">
        <is>
          <t>esperado 0,140844</t>
        </is>
      </c>
    </row>
    <row r="26">
      <c r="A26" t="inlineStr">
        <is>
          <t>NSE simulado</t>
        </is>
      </c>
      <c r="B26">
        <f>1-SUMXMY2(B4:B20,E4:E20)/DEVSQ(B4:B20)</f>
        <v/>
      </c>
      <c r="C26" t="inlineStr">
        <is>
          <t>esperado 0,3714</t>
        </is>
      </c>
    </row>
    <row r="27">
      <c r="A27" t="inlineStr">
        <is>
          <t>NSE forçado</t>
        </is>
      </c>
      <c r="B27">
        <f>1-SUMXMY2(B4:B20,G4:G20)/DEVSQ(B4:B20)</f>
        <v/>
      </c>
      <c r="C27" t="inlineStr">
        <is>
          <t>esperado 0,8052</t>
        </is>
      </c>
    </row>
    <row r="28">
      <c r="A28" t="inlineStr">
        <is>
          <t>PBIAS simulado (%)</t>
        </is>
      </c>
      <c r="B28">
        <f>100*(SUM(E4:E20)-SUM(B4:B20))/SUM(B4:B20)</f>
        <v/>
      </c>
    </row>
    <row r="29">
      <c r="A29" t="inlineStr">
        <is>
          <t>PBIAS forçado (%)</t>
        </is>
      </c>
      <c r="B29">
        <f>100*(SUM(G4:G20)-SUM(B4:B20))/SUM(B4:B20)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2026-10-06T15:48:49Z</dcterms:created>
  <dcterms:modified xmlns:dcterms="http://purl.org/dc/terms/" xmlns:xsi="http://www.w3.org/2001/XMLSchema-instance" xsi:type="dcterms:W3CDTF">2026-10-06T15:48:49Z</dcterms:modified>
</cp:coreProperties>
</file>