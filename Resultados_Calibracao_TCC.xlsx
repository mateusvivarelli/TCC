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Volume (Q)" sheetId="2" state="visible" r:id="rId2"/>
    <sheet name="Qp (vazão de pico)" sheetId="3" state="visible" r:id="rId3"/>
    <sheet name="Calibração de λ" sheetId="4" state="visible" r:id="rId4"/>
    <sheet name="Área da bacia (MDE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&quot;%&quot;"/>
    <numFmt numFmtId="166" formatCode="0.0"/>
    <numFmt numFmtId="167" formatCode="0.000"/>
    <numFmt numFmtId="168" formatCode="0.00&quot;%&quot;"/>
  </numFmts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3" borderId="1" pivotButton="0" quotePrefix="0" xfId="0"/>
    <xf numFmtId="164" fontId="5" fillId="3" borderId="1" pivotButton="0" quotePrefix="0" xfId="0"/>
    <xf numFmtId="0" fontId="5" fillId="0" borderId="0" applyAlignment="1" pivotButton="0" quotePrefix="0" xfId="0">
      <alignment vertical="top" wrapText="1"/>
    </xf>
    <xf numFmtId="0" fontId="5" fillId="0" borderId="1" pivotButton="0" quotePrefix="0" xfId="0"/>
    <xf numFmtId="3" fontId="5" fillId="0" borderId="1" pivotButton="0" quotePrefix="0" xfId="0"/>
    <xf numFmtId="165" fontId="5" fillId="0" borderId="1" pivotButton="0" quotePrefix="0" xfId="0"/>
    <xf numFmtId="165" fontId="3" fillId="3" borderId="1" pivotButton="0" quotePrefix="0" xfId="0"/>
    <xf numFmtId="2" fontId="5" fillId="0" borderId="1" pivotButton="0" quotePrefix="0" xfId="0"/>
    <xf numFmtId="3" fontId="5" fillId="0" borderId="1" applyAlignment="1" pivotButton="0" quotePrefix="0" xfId="0">
      <alignment vertical="top" wrapText="1"/>
    </xf>
    <xf numFmtId="166" fontId="5" fillId="0" borderId="1" applyAlignment="1" pivotButton="0" quotePrefix="0" xfId="0">
      <alignment vertical="top" wrapText="1"/>
    </xf>
    <xf numFmtId="167" fontId="5" fillId="0" borderId="1" applyAlignment="1" pivotButton="0" quotePrefix="0" xfId="0">
      <alignment vertical="top" wrapText="1"/>
    </xf>
    <xf numFmtId="0" fontId="3" fillId="3" borderId="1" pivotButton="0" quotePrefix="0" xfId="0"/>
    <xf numFmtId="167" fontId="3" fillId="3" borderId="1" pivotButton="0" quotePrefix="0" xfId="0"/>
    <xf numFmtId="2" fontId="5" fillId="0" borderId="1" applyAlignment="1" pivotButton="0" quotePrefix="0" xfId="0">
      <alignment vertical="top" wrapText="1"/>
    </xf>
    <xf numFmtId="168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TCC</author>
  </authors>
  <commentList>
    <comment ref="B13" authorId="0" shapeId="0">
      <text>
        <t>Erro médio do cenário CN-1 com λ=0,2 (padrão SCS), calculado antes da calibração desta sessão.</t>
      </text>
    </comment>
    <comment ref="B14" authorId="0" shapeId="0">
      <text>
        <t>Erro médio do Método Racional (Qp=C·i·A/3,6), descartado por inadequação de escala (bacia de 138 km², método válido só até poucos km²).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Calibração CN-SCS + Qp — Bacia do Rio Jundiaí (TCC)</t>
        </is>
      </c>
    </row>
    <row r="2">
      <c r="A2" s="2" t="inlineStr">
        <is>
          <t>Sessão de trabalho em QGIS/Python — comparação medido x calculado, 17 eventos de chuva-vazão</t>
        </is>
      </c>
    </row>
    <row r="4">
      <c r="A4" s="3" t="inlineStr">
        <is>
          <t>1. Evolução da metodologia</t>
        </is>
      </c>
    </row>
    <row r="5">
      <c r="A5" s="4" t="inlineStr">
        <is>
          <t>Item</t>
        </is>
      </c>
      <c r="B5" s="4" t="inlineStr">
        <is>
          <t>Antes</t>
        </is>
      </c>
      <c r="C5" s="4" t="inlineStr">
        <is>
          <t>Depois</t>
        </is>
      </c>
    </row>
    <row r="6">
      <c r="A6" s="5" t="inlineStr">
        <is>
          <t>Volume (Q)</t>
        </is>
      </c>
      <c r="B6" s="5" t="inlineStr">
        <is>
          <t>3 cenários fixos de CN (seco/normal/úmido), λ=0,2 (padrão SCS)</t>
        </is>
      </c>
      <c r="C6" s="5" t="inlineStr">
        <is>
          <t>CN-1 (seco) + λ=0,05 (calibrado nesta sessão)</t>
        </is>
      </c>
    </row>
    <row r="7">
      <c r="A7" s="5" t="inlineStr">
        <is>
          <t>Vazão de pico (Qp)</t>
        </is>
      </c>
      <c r="B7" s="5" t="inlineStr">
        <is>
          <t>Método Racional (Qp=C·i·A/3,6)</t>
        </is>
      </c>
      <c r="C7" s="5" t="inlineStr">
        <is>
          <t>HU-SCS por convolução horária; Tc pela fórmula de Giandotti (10,65h) e fator de pico do HU-SCS recalibrado (2,08→1,1184, dentro da faixa documentada na literatura para bacias atenuadas/planas)</t>
        </is>
      </c>
    </row>
    <row r="8">
      <c r="A8" s="5" t="inlineStr">
        <is>
          <t>Área da bacia no exutório</t>
        </is>
      </c>
      <c r="B8" s="5" t="inlineStr">
        <is>
          <t>109,79 km² (flow accumulation com barreiras não corrigidas)</t>
        </is>
      </c>
      <c r="C8" s="5" t="inlineStr">
        <is>
          <t>137,80 km² (barreiras de rede corrigidas — 0,14% da área oficial de 138 km²)</t>
        </is>
      </c>
    </row>
    <row r="11">
      <c r="A11" s="3" t="inlineStr">
        <is>
          <t>2. Erros medido x calculado (resumo)</t>
        </is>
      </c>
    </row>
    <row r="12">
      <c r="A12" s="4" t="inlineStr">
        <is>
          <t>Métrica</t>
        </is>
      </c>
      <c r="B12" s="4" t="inlineStr">
        <is>
          <t>Erro médio (antes)</t>
        </is>
      </c>
      <c r="C12" s="4" t="inlineStr">
        <is>
          <t>Erro médio (depois)</t>
        </is>
      </c>
      <c r="D12" s="4" t="inlineStr">
        <is>
          <t>Erro médio absoluto (antes)</t>
        </is>
      </c>
      <c r="E12" s="4" t="inlineStr">
        <is>
          <t>Erro médio absoluto (depois)</t>
        </is>
      </c>
    </row>
    <row r="13">
      <c r="A13" s="6" t="inlineStr">
        <is>
          <t>Volume (Q), CN-1</t>
        </is>
      </c>
      <c r="B13" s="7" t="n">
        <v>-0.626</v>
      </c>
      <c r="C13" s="7">
        <f>'Volume (Q)'!G22/100</f>
        <v/>
      </c>
      <c r="D13" s="7" t="n">
        <v>0.626</v>
      </c>
      <c r="E13" s="7">
        <f>'Volume (Q)'!G23/100</f>
        <v/>
      </c>
    </row>
    <row r="14">
      <c r="A14" s="6" t="inlineStr">
        <is>
          <t>Vazão de pico (Qp)</t>
        </is>
      </c>
      <c r="B14" s="7" t="n">
        <v>16.562</v>
      </c>
      <c r="C14" s="7">
        <f>'Qp (vazão de pico)'!E22/100</f>
        <v/>
      </c>
      <c r="D14" s="7" t="n">
        <v>16.599</v>
      </c>
      <c r="E14" s="7">
        <f>'Qp (vazão de pico)'!E23/100</f>
        <v/>
      </c>
    </row>
    <row r="17">
      <c r="A17" s="3" t="inlineStr">
        <is>
          <t>3. O que ainda pode melhorar</t>
        </is>
      </c>
    </row>
    <row r="18" ht="42" customHeight="1">
      <c r="A18" s="8" t="inlineStr">
        <is>
          <t>• O erro que resta no Volume (~47% médio absoluto) não parece ser falta de calibração: testamos um λ ótimo por evento e ele varia de 0,009 a 0,198 sem um padrão simples e confiável — 5 dos 17 eventos nem têm solução com CN-1 em nenhum λ razoável.</t>
        </is>
      </c>
    </row>
    <row r="19" ht="42" customHeight="1">
      <c r="A19" s="8" t="inlineStr">
        <is>
          <t>• Isso aponta pra limitação dos DADOS DE ENTRADA, não do método: a chuva espacial vem de apenas 2 postos pluviométricos (IDW), e a fórmula do CN-SCS é bem sensível a erros na lâmina de chuva.</t>
        </is>
      </c>
    </row>
    <row r="20" ht="42" customHeight="1">
      <c r="A20" s="8" t="inlineStr">
        <is>
          <t>• No Qp, confirmamos que ele herda o erro do volume (correlação r=0,80) e investigamos se o mecanismo de conversão volume→pico (HU-SCS) adicionava erro extra. Recalibramos o Tc (fórmula de Giandotti) e o fator de pico do HU-SCS (2,08→1,1184, dentro da faixa documentada na literatura para bacias planas/atenuadas) — o piso de erro do Qp (46,0% absoluto médio) ficou praticamente igual ao do volume (47,4%), confirmando que a conversão pra pico não está mais adicionando erro estrutural.</t>
        </is>
      </c>
    </row>
    <row r="21" ht="42" customHeight="1">
      <c r="A21" s="8" t="inlineStr">
        <is>
          <t>• DECISÃO PENDENTE COM O ORIENTADOR: o fator de pico calibrado minimiza o erro absoluto mas deixa um viés de -38,4% (subestima picos sistematicamente). É possível recalibrar para viés ~0%, mas o erro absoluto sobe pra ~55-65%. Qual critério priorizar depende do uso pretendido (ajuste geral vs. segurança em dimensionamento de cheias).</t>
        </is>
      </c>
    </row>
    <row r="22" ht="42" customHeight="1">
      <c r="A22" s="8" t="inlineStr">
        <is>
          <t>• Dados que mais ajudariam, em ordem de prioridade: (1) mais postos pluviométricos na bacia (ANA/CEMADEN/DAEE); (2) produto de chuva por satélite/radar (IMERG, CHIRPS, radar IPMet-Unesp) como complemento; (3) curva-chave (rating curve) da estação de vazão, pra checar se a incerteza de medição em vazões de pico explica parte do erro; (4) mapa de uso do solo/solo mais recente, pra refinar o CN em si.</t>
        </is>
      </c>
    </row>
    <row r="23" ht="42" customHeight="1">
      <c r="A23" s="8" t="inlineStr">
        <is>
          <t>• Ver abas 'Volume (Q)', 'Qp (vazão de pico)' e 'Calibração de λ' para os dados evento a evento por trás desses números.</t>
        </is>
      </c>
    </row>
  </sheetData>
  <mergeCells count="8">
    <mergeCell ref="A2:F2"/>
    <mergeCell ref="A19:F19"/>
    <mergeCell ref="A1:F1"/>
    <mergeCell ref="A23:F23"/>
    <mergeCell ref="A22:F22"/>
    <mergeCell ref="A18:F18"/>
    <mergeCell ref="A20:F20"/>
    <mergeCell ref="A21:F2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5" customWidth="1" min="4" max="4"/>
    <col width="15" customWidth="1" min="5" max="5"/>
    <col width="15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Volume total de escoamento direto (Q) — medido x calculado (CN-SCS, λ=0,05)</t>
        </is>
      </c>
    </row>
    <row r="3">
      <c r="A3" s="4" t="inlineStr">
        <is>
          <t>Evento</t>
        </is>
      </c>
      <c r="B3" s="4" t="inlineStr">
        <is>
          <t>T_R_m³ medido</t>
        </is>
      </c>
      <c r="C3" s="4" t="inlineStr">
        <is>
          <t>Q_pico medido (m³/s)</t>
        </is>
      </c>
      <c r="D3" s="4" t="inlineStr">
        <is>
          <t>Vol CN-1 calc (m³)</t>
        </is>
      </c>
      <c r="E3" s="4" t="inlineStr">
        <is>
          <t>Vol CN-2 calc (m³)</t>
        </is>
      </c>
      <c r="F3" s="4" t="inlineStr">
        <is>
          <t>Vol CN-3 calc (m³)</t>
        </is>
      </c>
      <c r="G3" s="4" t="inlineStr">
        <is>
          <t>Erro CN-1 (%)</t>
        </is>
      </c>
      <c r="H3" s="4" t="inlineStr">
        <is>
          <t>Erro CN-2 (%)</t>
        </is>
      </c>
      <c r="I3" s="4" t="inlineStr">
        <is>
          <t>Erro CN-3 (%)</t>
        </is>
      </c>
    </row>
    <row r="4">
      <c r="A4" s="9" t="n">
        <v>1</v>
      </c>
      <c r="B4" s="10" t="n">
        <v>409024.8</v>
      </c>
      <c r="C4" s="10" t="n">
        <v>10.288</v>
      </c>
      <c r="D4" s="10" t="n">
        <v>123696.1890651938</v>
      </c>
      <c r="E4" s="10" t="n">
        <v>470332.1014859229</v>
      </c>
      <c r="F4" s="10" t="n">
        <v>1045064.095990539</v>
      </c>
      <c r="G4" s="11">
        <f>100*(D4-B4)/B4</f>
        <v/>
      </c>
      <c r="H4" s="11">
        <f>100*(E4-B4)/B4</f>
        <v/>
      </c>
      <c r="I4" s="11">
        <f>100*(F4-B4)/B4</f>
        <v/>
      </c>
    </row>
    <row r="5">
      <c r="A5" s="9" t="n">
        <v>2</v>
      </c>
      <c r="B5" s="10" t="n">
        <v>2629890</v>
      </c>
      <c r="C5" s="10" t="n">
        <v>30.385</v>
      </c>
      <c r="D5" s="10" t="n">
        <v>1170643.80252111</v>
      </c>
      <c r="E5" s="10" t="n">
        <v>2648365.628355026</v>
      </c>
      <c r="F5" s="10" t="n">
        <v>4361231.301892281</v>
      </c>
      <c r="G5" s="11">
        <f>100*(D5-B5)/B5</f>
        <v/>
      </c>
      <c r="H5" s="11">
        <f>100*(E5-B5)/B5</f>
        <v/>
      </c>
      <c r="I5" s="11">
        <f>100*(F5-B5)/B5</f>
        <v/>
      </c>
    </row>
    <row r="6">
      <c r="A6" s="9" t="n">
        <v>3</v>
      </c>
      <c r="B6" s="10" t="n">
        <v>1070229.6</v>
      </c>
      <c r="C6" s="10" t="n">
        <v>16.56</v>
      </c>
      <c r="D6" s="10" t="n">
        <v>1564733.413693607</v>
      </c>
      <c r="E6" s="10" t="n">
        <v>3310974.965432167</v>
      </c>
      <c r="F6" s="10" t="n">
        <v>5218456.387122154</v>
      </c>
      <c r="G6" s="11">
        <f>100*(D6-B6)/B6</f>
        <v/>
      </c>
      <c r="H6" s="11">
        <f>100*(E6-B6)/B6</f>
        <v/>
      </c>
      <c r="I6" s="11">
        <f>100*(F6-B6)/B6</f>
        <v/>
      </c>
    </row>
    <row r="7">
      <c r="A7" s="9" t="n">
        <v>4</v>
      </c>
      <c r="B7" s="10" t="n">
        <v>1703552.4</v>
      </c>
      <c r="C7" s="10" t="n">
        <v>17.028</v>
      </c>
      <c r="D7" s="10" t="n">
        <v>423112.8885403276</v>
      </c>
      <c r="E7" s="10" t="n">
        <v>1179630.755423009</v>
      </c>
      <c r="F7" s="10" t="n">
        <v>2218597.395231009</v>
      </c>
      <c r="G7" s="11">
        <f>100*(D7-B7)/B7</f>
        <v/>
      </c>
      <c r="H7" s="11">
        <f>100*(E7-B7)/B7</f>
        <v/>
      </c>
      <c r="I7" s="11">
        <f>100*(F7-B7)/B7</f>
        <v/>
      </c>
    </row>
    <row r="8">
      <c r="A8" s="9" t="n">
        <v>5</v>
      </c>
      <c r="B8" s="10" t="n">
        <v>1839636</v>
      </c>
      <c r="C8" s="10" t="n">
        <v>22.085</v>
      </c>
      <c r="D8" s="10" t="n">
        <v>1429488.816284582</v>
      </c>
      <c r="E8" s="10" t="n">
        <v>3000488.490820289</v>
      </c>
      <c r="F8" s="10" t="n">
        <v>4717035.042955399</v>
      </c>
      <c r="G8" s="11">
        <f>100*(D8-B8)/B8</f>
        <v/>
      </c>
      <c r="H8" s="11">
        <f>100*(E8-B8)/B8</f>
        <v/>
      </c>
      <c r="I8" s="11">
        <f>100*(F8-B8)/B8</f>
        <v/>
      </c>
    </row>
    <row r="9">
      <c r="A9" s="9" t="n">
        <v>6</v>
      </c>
      <c r="B9" s="10" t="n">
        <v>325375.2</v>
      </c>
      <c r="C9" s="10" t="n">
        <v>14.687</v>
      </c>
      <c r="D9" s="10" t="n">
        <v>411892.4536639456</v>
      </c>
      <c r="E9" s="10" t="n">
        <v>1097320.158415117</v>
      </c>
      <c r="F9" s="10" t="n">
        <v>2015482.265368134</v>
      </c>
      <c r="G9" s="11">
        <f>100*(D9-B9)/B9</f>
        <v/>
      </c>
      <c r="H9" s="11">
        <f>100*(E9-B9)/B9</f>
        <v/>
      </c>
      <c r="I9" s="11">
        <f>100*(F9-B9)/B9</f>
        <v/>
      </c>
    </row>
    <row r="10">
      <c r="A10" s="9" t="n">
        <v>7</v>
      </c>
      <c r="B10" s="10" t="n">
        <v>1301475.6</v>
      </c>
      <c r="C10" s="10" t="n">
        <v>16.419</v>
      </c>
      <c r="D10" s="10" t="n">
        <v>390523.8366295279</v>
      </c>
      <c r="E10" s="10" t="n">
        <v>1097208.374476075</v>
      </c>
      <c r="F10" s="10" t="n">
        <v>2072653.394948006</v>
      </c>
      <c r="G10" s="11">
        <f>100*(D10-B10)/B10</f>
        <v/>
      </c>
      <c r="H10" s="11">
        <f>100*(E10-B10)/B10</f>
        <v/>
      </c>
      <c r="I10" s="11">
        <f>100*(F10-B10)/B10</f>
        <v/>
      </c>
    </row>
    <row r="11">
      <c r="A11" s="9" t="n">
        <v>8</v>
      </c>
      <c r="B11" s="10" t="n">
        <v>2581041.6</v>
      </c>
      <c r="C11" s="10" t="n">
        <v>20.389</v>
      </c>
      <c r="D11" s="10" t="n">
        <v>2536102.338403046</v>
      </c>
      <c r="E11" s="10" t="n">
        <v>4868207.095079899</v>
      </c>
      <c r="F11" s="10" t="n">
        <v>7183597.714201927</v>
      </c>
      <c r="G11" s="11">
        <f>100*(D11-B11)/B11</f>
        <v/>
      </c>
      <c r="H11" s="11">
        <f>100*(E11-B11)/B11</f>
        <v/>
      </c>
      <c r="I11" s="11">
        <f>100*(F11-B11)/B11</f>
        <v/>
      </c>
    </row>
    <row r="12">
      <c r="A12" s="9" t="n">
        <v>9</v>
      </c>
      <c r="B12" s="10" t="n">
        <v>1736787.6</v>
      </c>
      <c r="C12" s="10" t="n">
        <v>11.792</v>
      </c>
      <c r="D12" s="10" t="n">
        <v>3170406.998989105</v>
      </c>
      <c r="E12" s="10" t="n">
        <v>5863110.64905262</v>
      </c>
      <c r="F12" s="10" t="n">
        <v>8429270.887161255</v>
      </c>
      <c r="G12" s="11">
        <f>100*(D12-B12)/B12</f>
        <v/>
      </c>
      <c r="H12" s="11">
        <f>100*(E12-B12)/B12</f>
        <v/>
      </c>
      <c r="I12" s="11">
        <f>100*(F12-B12)/B12</f>
        <v/>
      </c>
    </row>
    <row r="13">
      <c r="A13" s="9" t="n">
        <v>10</v>
      </c>
      <c r="B13" s="10" t="n">
        <v>1235833.2</v>
      </c>
      <c r="C13" s="10" t="n">
        <v>10.618</v>
      </c>
      <c r="D13" s="10" t="n">
        <v>179388.6911229527</v>
      </c>
      <c r="E13" s="10" t="n">
        <v>591953.6145826876</v>
      </c>
      <c r="F13" s="10" t="n">
        <v>1228345.152161896</v>
      </c>
      <c r="G13" s="11">
        <f>100*(D13-B13)/B13</f>
        <v/>
      </c>
      <c r="H13" s="11">
        <f>100*(E13-B13)/B13</f>
        <v/>
      </c>
      <c r="I13" s="11">
        <f>100*(F13-B13)/B13</f>
        <v/>
      </c>
    </row>
    <row r="14">
      <c r="A14" s="9" t="n">
        <v>11</v>
      </c>
      <c r="B14" s="10" t="n">
        <v>2436681.600000001</v>
      </c>
      <c r="C14" s="10" t="n">
        <v>20.95</v>
      </c>
      <c r="D14" s="10" t="n">
        <v>2004014.906006098</v>
      </c>
      <c r="E14" s="10" t="n">
        <v>4064608.745090485</v>
      </c>
      <c r="F14" s="10" t="n">
        <v>6221259.368570328</v>
      </c>
      <c r="G14" s="11">
        <f>100*(D14-B14)/B14</f>
        <v/>
      </c>
      <c r="H14" s="11">
        <f>100*(E14-B14)/B14</f>
        <v/>
      </c>
      <c r="I14" s="11">
        <f>100*(F14-B14)/B14</f>
        <v/>
      </c>
    </row>
    <row r="15">
      <c r="A15" s="9" t="n">
        <v>12</v>
      </c>
      <c r="B15" s="10" t="n">
        <v>187488</v>
      </c>
      <c r="C15" s="10" t="n">
        <v>13.149</v>
      </c>
      <c r="D15" s="10" t="n">
        <v>184420.8483122107</v>
      </c>
      <c r="E15" s="10" t="n">
        <v>572778.2063612544</v>
      </c>
      <c r="F15" s="10" t="n">
        <v>1150300.283961203</v>
      </c>
      <c r="G15" s="11">
        <f>100*(D15-B15)/B15</f>
        <v/>
      </c>
      <c r="H15" s="11">
        <f>100*(E15-B15)/B15</f>
        <v/>
      </c>
      <c r="I15" s="11">
        <f>100*(F15-B15)/B15</f>
        <v/>
      </c>
    </row>
    <row r="16">
      <c r="A16" s="9" t="n">
        <v>13</v>
      </c>
      <c r="B16" s="10" t="n">
        <v>1198490.4</v>
      </c>
      <c r="C16" s="10" t="n">
        <v>16.012</v>
      </c>
      <c r="D16" s="10" t="n">
        <v>2097661.723912746</v>
      </c>
      <c r="E16" s="10" t="n">
        <v>4163532.030292273</v>
      </c>
      <c r="F16" s="10" t="n">
        <v>6287911.481749535</v>
      </c>
      <c r="G16" s="11">
        <f>100*(D16-B16)/B16</f>
        <v/>
      </c>
      <c r="H16" s="11">
        <f>100*(E16-B16)/B16</f>
        <v/>
      </c>
      <c r="I16" s="11">
        <f>100*(F16-B16)/B16</f>
        <v/>
      </c>
    </row>
    <row r="17">
      <c r="A17" s="9" t="n">
        <v>14</v>
      </c>
      <c r="B17" s="10" t="n">
        <v>1822248</v>
      </c>
      <c r="C17" s="10" t="n">
        <v>22.256</v>
      </c>
      <c r="D17" s="10" t="n">
        <v>2558874.605521262</v>
      </c>
      <c r="E17" s="10" t="n">
        <v>4866292.978785276</v>
      </c>
      <c r="F17" s="10" t="n">
        <v>7140172.716825485</v>
      </c>
      <c r="G17" s="11">
        <f>100*(D17-B17)/B17</f>
        <v/>
      </c>
      <c r="H17" s="11">
        <f>100*(E17-B17)/B17</f>
        <v/>
      </c>
      <c r="I17" s="11">
        <f>100*(F17-B17)/B17</f>
        <v/>
      </c>
    </row>
    <row r="18">
      <c r="A18" s="9" t="n">
        <v>15</v>
      </c>
      <c r="B18" s="10" t="n">
        <v>4279861.35</v>
      </c>
      <c r="C18" s="10" t="n">
        <v>28.371</v>
      </c>
      <c r="D18" s="10" t="n">
        <v>6561599.845775604</v>
      </c>
      <c r="E18" s="10" t="n">
        <v>10746923.60087776</v>
      </c>
      <c r="F18" s="10" t="n">
        <v>14211845.62889862</v>
      </c>
      <c r="G18" s="11">
        <f>100*(D18-B18)/B18</f>
        <v/>
      </c>
      <c r="H18" s="11">
        <f>100*(E18-B18)/B18</f>
        <v/>
      </c>
      <c r="I18" s="11">
        <f>100*(F18-B18)/B18</f>
        <v/>
      </c>
    </row>
    <row r="19">
      <c r="A19" s="9" t="n">
        <v>16</v>
      </c>
      <c r="B19" s="10" t="n">
        <v>3293269.2</v>
      </c>
      <c r="C19" s="10" t="n">
        <v>23.114</v>
      </c>
      <c r="D19" s="10" t="n">
        <v>3509609.386702299</v>
      </c>
      <c r="E19" s="10" t="n">
        <v>6389395.161970139</v>
      </c>
      <c r="F19" s="10" t="n">
        <v>9084672.496114731</v>
      </c>
      <c r="G19" s="11">
        <f>100*(D19-B19)/B19</f>
        <v/>
      </c>
      <c r="H19" s="11">
        <f>100*(E19-B19)/B19</f>
        <v/>
      </c>
      <c r="I19" s="11">
        <f>100*(F19-B19)/B19</f>
        <v/>
      </c>
    </row>
    <row r="20">
      <c r="A20" s="9" t="n">
        <v>17</v>
      </c>
      <c r="B20" s="10" t="n">
        <v>883083.6</v>
      </c>
      <c r="C20" s="10" t="n">
        <v>21.362</v>
      </c>
      <c r="D20" s="10" t="n">
        <v>1559029.343022346</v>
      </c>
      <c r="E20" s="10" t="n">
        <v>3333075.001868248</v>
      </c>
      <c r="F20" s="10" t="n">
        <v>5285286.086261749</v>
      </c>
      <c r="G20" s="11">
        <f>100*(D20-B20)/B20</f>
        <v/>
      </c>
      <c r="H20" s="11">
        <f>100*(E20-B20)/B20</f>
        <v/>
      </c>
      <c r="I20" s="11">
        <f>100*(F20-B20)/B20</f>
        <v/>
      </c>
    </row>
    <row r="22">
      <c r="A22" s="3" t="inlineStr">
        <is>
          <t>Erro médio (%)</t>
        </is>
      </c>
      <c r="G22" s="12">
        <f>AVERAGE(G4:G20)</f>
        <v/>
      </c>
      <c r="H22" s="12">
        <f>AVERAGE(H4:H20)</f>
        <v/>
      </c>
      <c r="I22" s="12">
        <f>AVERAGE(I4:I20)</f>
        <v/>
      </c>
    </row>
    <row r="23">
      <c r="A23" s="3" t="inlineStr">
        <is>
          <t>Erro médio absoluto (%)</t>
        </is>
      </c>
      <c r="G23" s="12">
        <f>SUMPRODUCT(ABS(G4:G20))/COUNT(G4:G20)</f>
        <v/>
      </c>
      <c r="H23" s="12">
        <f>SUMPRODUCT(ABS(H4:H20))/COUNT(H4:H20)</f>
        <v/>
      </c>
      <c r="I23" s="12">
        <f>SUMPRODUCT(ABS(I4:I20))/COUNT(I4:I20)</f>
        <v/>
      </c>
    </row>
    <row r="24">
      <c r="A24" s="3" t="inlineStr">
        <is>
          <t>Desvio-padrão (%)</t>
        </is>
      </c>
      <c r="G24" s="12">
        <f>STDEV(G4:G20)</f>
        <v/>
      </c>
      <c r="H24" s="12">
        <f>STDEV(H4:H20)</f>
        <v/>
      </c>
      <c r="I24" s="12">
        <f>STDEV(I4:I20)</f>
        <v/>
      </c>
    </row>
  </sheetData>
  <mergeCells count="4">
    <mergeCell ref="A1:I1"/>
    <mergeCell ref="A22:F22"/>
    <mergeCell ref="A24:F24"/>
    <mergeCell ref="A23:F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20" customWidth="1" min="4" max="4"/>
    <col width="12" customWidth="1" min="5" max="5"/>
  </cols>
  <sheetData>
    <row r="1">
      <c r="A1" s="3" t="inlineStr">
        <is>
          <t>Vazão de pico (Qp) — medido x calculado (HU-SCS, convolução horária)</t>
        </is>
      </c>
    </row>
    <row r="3">
      <c r="A3" s="4" t="inlineStr">
        <is>
          <t>Evento</t>
        </is>
      </c>
      <c r="B3" s="4" t="inlineStr">
        <is>
          <t>Qp medido - planilha (m³/s)</t>
        </is>
      </c>
      <c r="C3" s="4" t="inlineStr">
        <is>
          <t>Qp medido - série horária (m³/s)</t>
        </is>
      </c>
      <c r="D3" s="4" t="inlineStr">
        <is>
          <t>Qp calculado (m³/s)</t>
        </is>
      </c>
      <c r="E3" s="4" t="inlineStr">
        <is>
          <t>Erro (%)</t>
        </is>
      </c>
    </row>
    <row r="4">
      <c r="A4" s="9" t="n">
        <v>1</v>
      </c>
      <c r="B4" s="13" t="n">
        <v>10.288</v>
      </c>
      <c r="C4" s="13" t="n">
        <v>10.288</v>
      </c>
      <c r="D4" s="13" t="n">
        <v>0.8886214143256832</v>
      </c>
      <c r="E4" s="11">
        <f>100*(D4-B4)/B4</f>
        <v/>
      </c>
    </row>
    <row r="5">
      <c r="A5" s="9" t="n">
        <v>2</v>
      </c>
      <c r="B5" s="13" t="n">
        <v>30.385</v>
      </c>
      <c r="C5" s="13" t="n">
        <v>30.385</v>
      </c>
      <c r="D5" s="13" t="n">
        <v>9.400222608881471</v>
      </c>
      <c r="E5" s="11">
        <f>100*(D5-B5)/B5</f>
        <v/>
      </c>
    </row>
    <row r="6">
      <c r="A6" s="9" t="n">
        <v>3</v>
      </c>
      <c r="B6" s="13" t="n">
        <v>16.56</v>
      </c>
      <c r="C6" s="13" t="n">
        <v>16.56</v>
      </c>
      <c r="D6" s="13" t="n">
        <v>17.91407052561233</v>
      </c>
      <c r="E6" s="11">
        <f>100*(D6-B6)/B6</f>
        <v/>
      </c>
    </row>
    <row r="7">
      <c r="A7" s="9" t="n">
        <v>4</v>
      </c>
      <c r="B7" s="13" t="n">
        <v>17.028</v>
      </c>
      <c r="C7" s="13" t="n">
        <v>17.028</v>
      </c>
      <c r="D7" s="13" t="n">
        <v>4.138907526969003</v>
      </c>
      <c r="E7" s="11">
        <f>100*(D7-B7)/B7</f>
        <v/>
      </c>
    </row>
    <row r="8">
      <c r="A8" s="9" t="n">
        <v>5</v>
      </c>
      <c r="B8" s="13" t="n">
        <v>22.085</v>
      </c>
      <c r="C8" s="13" t="n">
        <v>22.085</v>
      </c>
      <c r="D8" s="13" t="n">
        <v>9.784094526272357</v>
      </c>
      <c r="E8" s="11">
        <f>100*(D8-B8)/B8</f>
        <v/>
      </c>
    </row>
    <row r="9">
      <c r="A9" s="9" t="n">
        <v>6</v>
      </c>
      <c r="B9" s="13" t="n">
        <v>14.687</v>
      </c>
      <c r="C9" s="13" t="n">
        <v>14.687</v>
      </c>
      <c r="D9" s="13" t="n">
        <v>3.384649617838292</v>
      </c>
      <c r="E9" s="11">
        <f>100*(D9-B9)/B9</f>
        <v/>
      </c>
    </row>
    <row r="10">
      <c r="A10" s="9" t="n">
        <v>7</v>
      </c>
      <c r="B10" s="13" t="n">
        <v>16.419</v>
      </c>
      <c r="C10" s="13" t="n">
        <v>16.419</v>
      </c>
      <c r="D10" s="13" t="n">
        <v>3.465849897786006</v>
      </c>
      <c r="E10" s="11">
        <f>100*(D10-B10)/B10</f>
        <v/>
      </c>
    </row>
    <row r="11">
      <c r="A11" s="9" t="n">
        <v>8</v>
      </c>
      <c r="B11" s="13" t="n">
        <v>20.389</v>
      </c>
      <c r="C11" s="13" t="n">
        <v>20.389</v>
      </c>
      <c r="D11" s="13" t="n">
        <v>12.32512594582617</v>
      </c>
      <c r="E11" s="11">
        <f>100*(D11-B11)/B11</f>
        <v/>
      </c>
    </row>
    <row r="12">
      <c r="A12" s="9" t="n">
        <v>9</v>
      </c>
      <c r="B12" s="13" t="n">
        <v>11.792</v>
      </c>
      <c r="C12" s="13" t="n">
        <v>11.792</v>
      </c>
      <c r="D12" s="13" t="n">
        <v>10.90617878184193</v>
      </c>
      <c r="E12" s="11">
        <f>100*(D12-B12)/B12</f>
        <v/>
      </c>
    </row>
    <row r="13">
      <c r="A13" s="9" t="n">
        <v>10</v>
      </c>
      <c r="B13" s="13" t="n">
        <v>10.618</v>
      </c>
      <c r="C13" s="13" t="n">
        <v>10.618</v>
      </c>
      <c r="D13" s="13" t="n">
        <v>1.296556585032135</v>
      </c>
      <c r="E13" s="11">
        <f>100*(D13-B13)/B13</f>
        <v/>
      </c>
    </row>
    <row r="14">
      <c r="A14" s="9" t="n">
        <v>11</v>
      </c>
      <c r="B14" s="13" t="n">
        <v>20.95</v>
      </c>
      <c r="C14" s="13" t="n">
        <v>20.95</v>
      </c>
      <c r="D14" s="13" t="n">
        <v>16.50506363692435</v>
      </c>
      <c r="E14" s="11">
        <f>100*(D14-B14)/B14</f>
        <v/>
      </c>
    </row>
    <row r="15">
      <c r="A15" s="9" t="n">
        <v>12</v>
      </c>
      <c r="B15" s="13" t="n">
        <v>13.149</v>
      </c>
      <c r="C15" s="13" t="n">
        <v>13.149</v>
      </c>
      <c r="D15" s="13" t="n">
        <v>0.9695370583452519</v>
      </c>
      <c r="E15" s="11">
        <f>100*(D15-B15)/B15</f>
        <v/>
      </c>
    </row>
    <row r="16">
      <c r="A16" s="9" t="n">
        <v>13</v>
      </c>
      <c r="B16" s="13" t="n">
        <v>16.012</v>
      </c>
      <c r="C16" s="13" t="n">
        <v>16.012</v>
      </c>
      <c r="D16" s="13" t="n">
        <v>21.74328751488976</v>
      </c>
      <c r="E16" s="11">
        <f>100*(D16-B16)/B16</f>
        <v/>
      </c>
    </row>
    <row r="17">
      <c r="A17" s="9" t="n">
        <v>14</v>
      </c>
      <c r="B17" s="13" t="n">
        <v>22.256</v>
      </c>
      <c r="C17" s="13" t="n">
        <v>22.256</v>
      </c>
      <c r="D17" s="13" t="n">
        <v>23.5520939769861</v>
      </c>
      <c r="E17" s="11">
        <f>100*(D17-B17)/B17</f>
        <v/>
      </c>
    </row>
    <row r="18">
      <c r="A18" s="9" t="n">
        <v>15</v>
      </c>
      <c r="B18" s="13" t="n">
        <v>28.371</v>
      </c>
      <c r="C18" s="13" t="n">
        <v>28.371</v>
      </c>
      <c r="D18" s="13" t="n">
        <v>32.57609518381514</v>
      </c>
      <c r="E18" s="11">
        <f>100*(D18-B18)/B18</f>
        <v/>
      </c>
    </row>
    <row r="19">
      <c r="A19" s="9" t="n">
        <v>16</v>
      </c>
      <c r="B19" s="13" t="n">
        <v>23.114</v>
      </c>
      <c r="C19" s="13" t="n">
        <v>23.114</v>
      </c>
      <c r="D19" s="13" t="n">
        <v>23.11306469234545</v>
      </c>
      <c r="E19" s="11">
        <f>100*(D19-B19)/B19</f>
        <v/>
      </c>
    </row>
    <row r="20">
      <c r="A20" s="9" t="n">
        <v>17</v>
      </c>
      <c r="B20" s="13" t="n">
        <v>21.362</v>
      </c>
      <c r="C20" s="13" t="n">
        <v>21.362</v>
      </c>
      <c r="D20" s="13" t="n">
        <v>17.02455559258836</v>
      </c>
      <c r="E20" s="11">
        <f>100*(D20-B20)/B20</f>
        <v/>
      </c>
    </row>
    <row r="22">
      <c r="A22" s="3" t="inlineStr">
        <is>
          <t>Erro médio (%)</t>
        </is>
      </c>
      <c r="E22" s="12">
        <f>AVERAGE(E4:E20)</f>
        <v/>
      </c>
    </row>
    <row r="23">
      <c r="A23" s="3" t="inlineStr">
        <is>
          <t>Erro médio absoluto (%)</t>
        </is>
      </c>
      <c r="E23" s="12">
        <f>SUMPRODUCT(ABS(E4:E20))/COUNT(E4:E20)</f>
        <v/>
      </c>
    </row>
    <row r="24">
      <c r="A24" s="3" t="inlineStr">
        <is>
          <t>Desvio-padrão (%)</t>
        </is>
      </c>
      <c r="E24" s="12">
        <f>STDEV(E4:E20)</f>
        <v/>
      </c>
    </row>
  </sheetData>
  <mergeCells count="4">
    <mergeCell ref="A23:C23"/>
    <mergeCell ref="A1:E1"/>
    <mergeCell ref="A24:C24"/>
    <mergeCell ref="A22:C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0" customWidth="1" min="4" max="4"/>
    <col width="55" customWidth="1" min="5" max="5"/>
  </cols>
  <sheetData>
    <row r="1">
      <c r="A1" s="3" t="inlineStr">
        <is>
          <t>λ ótimo por evento (CN-1 fixo) — teste de calibração adicional</t>
        </is>
      </c>
    </row>
    <row r="2">
      <c r="A2" s="2" t="inlineStr">
        <is>
          <t>Resolvido numericamente: valor de λ que reproduz exatamente o volume medido, para cada evento, mantendo o raster S do cenário CN-1 (seco) fixo.</t>
        </is>
      </c>
    </row>
    <row r="4">
      <c r="A4" s="4" t="inlineStr">
        <is>
          <t>Evento</t>
        </is>
      </c>
      <c r="B4" s="4" t="inlineStr">
        <is>
          <t>T_R_m³ medido</t>
        </is>
      </c>
      <c r="C4" s="4" t="inlineStr">
        <is>
          <t>Chuva do evento (mm)</t>
        </is>
      </c>
      <c r="D4" s="4" t="inlineStr">
        <is>
          <t>λ ótimo</t>
        </is>
      </c>
      <c r="E4" s="4" t="inlineStr">
        <is>
          <t>Observação</t>
        </is>
      </c>
    </row>
    <row r="5">
      <c r="A5" s="5" t="n">
        <v>1</v>
      </c>
      <c r="B5" s="14" t="n">
        <v>409024.8</v>
      </c>
      <c r="C5" s="15" t="n">
        <v>23.36426484642652</v>
      </c>
      <c r="D5" s="5" t="n"/>
      <c r="E5" s="5" t="inlineStr">
        <is>
          <t>medido &gt; volume maximo possivel (lambda=0.001 -&gt; 329,488) - precisaria de lambda&lt;0.001</t>
        </is>
      </c>
    </row>
    <row r="6">
      <c r="A6" s="5" t="n">
        <v>2</v>
      </c>
      <c r="B6" s="14" t="n">
        <v>2629890</v>
      </c>
      <c r="C6" s="15" t="n">
        <v>57.33948237422189</v>
      </c>
      <c r="D6" s="5" t="n"/>
      <c r="E6" s="5" t="inlineStr">
        <is>
          <t>medido &gt; volume maximo possivel (lambda=0.001 -&gt; 1,676,470) - precisaria de lambda&lt;0.001</t>
        </is>
      </c>
    </row>
    <row r="7">
      <c r="A7" s="5" t="n">
        <v>3</v>
      </c>
      <c r="B7" s="14" t="n">
        <v>1070229.6</v>
      </c>
      <c r="C7" s="15" t="n">
        <v>65.4311237493948</v>
      </c>
      <c r="D7" s="16" t="n">
        <v>0.1054846434223437</v>
      </c>
      <c r="E7" s="5" t="inlineStr"/>
    </row>
    <row r="8">
      <c r="A8" s="5" t="n">
        <v>4</v>
      </c>
      <c r="B8" s="14" t="n">
        <v>1703552.4</v>
      </c>
      <c r="C8" s="15" t="n">
        <v>36.18587938465417</v>
      </c>
      <c r="D8" s="5" t="n"/>
      <c r="E8" s="5" t="inlineStr">
        <is>
          <t>medido &gt; volume maximo possivel (lambda=0.001 -&gt; 760,992) - precisaria de lambda&lt;0.001</t>
        </is>
      </c>
    </row>
    <row r="9">
      <c r="A9" s="5" t="n">
        <v>5</v>
      </c>
      <c r="B9" s="14" t="n">
        <v>1839636</v>
      </c>
      <c r="C9" s="15" t="n">
        <v>60.91037628300431</v>
      </c>
      <c r="D9" s="16" t="n">
        <v>0.0086673064623853</v>
      </c>
      <c r="E9" s="5" t="inlineStr"/>
    </row>
    <row r="10">
      <c r="A10" s="5" t="n">
        <v>6</v>
      </c>
      <c r="B10" s="14" t="n">
        <v>325375.2</v>
      </c>
      <c r="C10" s="15" t="n">
        <v>34.45057552503602</v>
      </c>
      <c r="D10" s="16" t="n">
        <v>0.0694169204594933</v>
      </c>
      <c r="E10" s="5" t="inlineStr"/>
    </row>
    <row r="11">
      <c r="A11" s="5" t="n">
        <v>7</v>
      </c>
      <c r="B11" s="14" t="n">
        <v>1301475.6</v>
      </c>
      <c r="C11" s="15" t="n">
        <v>35.52175833712536</v>
      </c>
      <c r="D11" s="5" t="n"/>
      <c r="E11" s="5" t="inlineStr">
        <is>
          <t>medido &gt; volume maximo possivel (lambda=0.001 -&gt; 707,152) - precisaria de lambda&lt;0.001</t>
        </is>
      </c>
    </row>
    <row r="12">
      <c r="A12" s="5" t="n">
        <v>8</v>
      </c>
      <c r="B12" s="14" t="n">
        <v>2581041.6</v>
      </c>
      <c r="C12" s="15" t="n">
        <v>82.53515909871037</v>
      </c>
      <c r="D12" s="16" t="n">
        <v>0.0463183547560576</v>
      </c>
      <c r="E12" s="5" t="inlineStr"/>
    </row>
    <row r="13">
      <c r="A13" s="5" t="n">
        <v>9</v>
      </c>
      <c r="B13" s="14" t="n">
        <v>1736787.6</v>
      </c>
      <c r="C13" s="15" t="n">
        <v>92.93905058685878</v>
      </c>
      <c r="D13" s="16" t="n">
        <v>0.1805675693660384</v>
      </c>
      <c r="E13" s="5" t="inlineStr"/>
    </row>
    <row r="14">
      <c r="A14" s="5" t="n">
        <v>10</v>
      </c>
      <c r="B14" s="14" t="n">
        <v>1235833.2</v>
      </c>
      <c r="C14" s="15" t="n">
        <v>25.77838533776657</v>
      </c>
      <c r="D14" s="5" t="n"/>
      <c r="E14" s="5" t="inlineStr">
        <is>
          <t>medido &gt; volume maximo possivel (lambda=0.001 -&gt; 398,426) - precisaria de lambda&lt;0.001</t>
        </is>
      </c>
    </row>
    <row r="15">
      <c r="A15" s="5" t="n">
        <v>11</v>
      </c>
      <c r="B15" s="14" t="n">
        <v>2436681.600000001</v>
      </c>
      <c r="C15" s="15" t="n">
        <v>74.0396279229755</v>
      </c>
      <c r="D15" s="16" t="n">
        <v>0.0143741434127576</v>
      </c>
      <c r="E15" s="5" t="inlineStr"/>
    </row>
    <row r="16">
      <c r="A16" s="5" t="n">
        <v>12</v>
      </c>
      <c r="B16" s="14" t="n">
        <v>187488</v>
      </c>
      <c r="C16" s="15" t="n">
        <v>23.72809902341498</v>
      </c>
      <c r="D16" s="16" t="n">
        <v>0.0489693800217608</v>
      </c>
      <c r="E16" s="5" t="inlineStr"/>
    </row>
    <row r="17">
      <c r="A17" s="5" t="n">
        <v>13</v>
      </c>
      <c r="B17" s="14" t="n">
        <v>1198490.4</v>
      </c>
      <c r="C17" s="15" t="n">
        <v>74.88242008507203</v>
      </c>
      <c r="D17" s="16" t="n">
        <v>0.1471814949243829</v>
      </c>
      <c r="E17" s="5" t="inlineStr"/>
    </row>
    <row r="18">
      <c r="A18" s="5" t="n">
        <v>14</v>
      </c>
      <c r="B18" s="14" t="n">
        <v>1822248</v>
      </c>
      <c r="C18" s="15" t="n">
        <v>82.20345666216136</v>
      </c>
      <c r="D18" s="16" t="n">
        <v>0.1198729148943352</v>
      </c>
      <c r="E18" s="5" t="inlineStr"/>
    </row>
    <row r="19">
      <c r="A19" s="5" t="n">
        <v>15</v>
      </c>
      <c r="B19" s="14" t="n">
        <v>4279861.35</v>
      </c>
      <c r="C19" s="15" t="n">
        <v>139.4229078755475</v>
      </c>
      <c r="D19" s="16" t="n">
        <v>0.1980157971354589</v>
      </c>
      <c r="E19" s="5" t="inlineStr"/>
    </row>
    <row r="20">
      <c r="A20" s="5" t="n">
        <v>16</v>
      </c>
      <c r="B20" s="14" t="n">
        <v>3293269.2</v>
      </c>
      <c r="C20" s="15" t="n">
        <v>97.67780797059078</v>
      </c>
      <c r="D20" s="16" t="n">
        <v>0.0657534657576863</v>
      </c>
      <c r="E20" s="5" t="inlineStr"/>
    </row>
    <row r="21">
      <c r="A21" s="5" t="n">
        <v>17</v>
      </c>
      <c r="B21" s="14" t="n">
        <v>883083.6</v>
      </c>
      <c r="C21" s="15" t="n">
        <v>65.64106835314121</v>
      </c>
      <c r="D21" s="16" t="n">
        <v>0.1278566319035775</v>
      </c>
      <c r="E21" s="5" t="inlineStr"/>
    </row>
    <row r="23">
      <c r="A23" s="3" t="inlineStr">
        <is>
          <t>Eventos com λ ótimo válido</t>
        </is>
      </c>
      <c r="D23" s="17">
        <f>COUNT(D5:D21)&amp;" de 17"</f>
        <v/>
      </c>
    </row>
    <row r="24">
      <c r="A24" s="3" t="inlineStr">
        <is>
          <t>Correlação λ ótimo x Chuva do evento</t>
        </is>
      </c>
      <c r="D24" s="18">
        <f>CORREL(D5:D21,C5:C21)</f>
        <v/>
      </c>
    </row>
  </sheetData>
  <mergeCells count="4">
    <mergeCell ref="A2:E2"/>
    <mergeCell ref="A23:C23"/>
    <mergeCell ref="A1:E1"/>
    <mergeCell ref="A24:C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55" customWidth="1" min="3" max="3"/>
  </cols>
  <sheetData>
    <row r="1">
      <c r="A1" s="3" t="inlineStr">
        <is>
          <t>Área de drenagem no exutório — delimitação por MDE</t>
        </is>
      </c>
    </row>
    <row r="3">
      <c r="A3" s="4" t="inlineStr">
        <is>
          <t>Estágio</t>
        </is>
      </c>
      <c r="B3" s="4" t="inlineStr">
        <is>
          <t>Área (km²)</t>
        </is>
      </c>
      <c r="C3" s="4" t="inlineStr">
        <is>
          <t>Nota</t>
        </is>
      </c>
    </row>
    <row r="4" ht="30" customHeight="1">
      <c r="A4" s="5" t="inlineStr">
        <is>
          <t>Área oficial (informada pelo usuário)</t>
        </is>
      </c>
      <c r="B4" s="19" t="n">
        <v>138</v>
      </c>
      <c r="C4" s="5" t="inlineStr">
        <is>
          <t>Valor de referência usado em todos os cálculos de Q e Qp</t>
        </is>
      </c>
    </row>
    <row r="5" ht="30" customHeight="1">
      <c r="A5" s="5" t="inlineStr">
        <is>
          <t>Polígono da máscara rasterizado (Máscara Jundiaí.shp)</t>
        </is>
      </c>
      <c r="B5" s="19" t="n">
        <v>138.86</v>
      </c>
      <c r="C5" s="5" t="inlineStr">
        <is>
          <t>Confirma que o polígono em si bate com a área oficial</t>
        </is>
      </c>
    </row>
    <row r="6" ht="30" customHeight="1">
      <c r="A6" s="5" t="inlineStr">
        <is>
          <t>Flow accumulation original (antes da correção de barreiras)</t>
        </is>
      </c>
      <c r="B6" s="19" t="n">
        <v>109.79</v>
      </c>
      <c r="C6" s="5" t="inlineStr">
        <is>
          <t>20,4% abaixo do oficial — causa: barreiras (aterros de estrada) na rede de drenagem cortando ~27 km² do fluxo antes do exutório</t>
        </is>
      </c>
    </row>
    <row r="7" ht="30" customHeight="1">
      <c r="A7" s="5" t="inlineStr">
        <is>
          <t>Flow accumulation corrigido (após forçar perfil monotônico na rede)</t>
        </is>
      </c>
      <c r="B7" s="19" t="n">
        <v>137.8</v>
      </c>
      <c r="C7" s="5" t="inlineStr">
        <is>
          <t>0,14% de diferença em relação ao oficial — arquivo: flowacc_corrigido.tif</t>
        </is>
      </c>
    </row>
    <row r="9">
      <c r="A9" s="3" t="inlineStr">
        <is>
          <t>Diferença do corrigido vs. oficial</t>
        </is>
      </c>
      <c r="B9" s="20">
        <f>100*(B7-B4)/B4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2026-09-13T13:26:53Z</dcterms:created>
  <dcterms:modified xsi:type="dcterms:W3CDTF">2026-09-13T13:26:53Z</dcterms:modified>
</cp:coreProperties>
</file>